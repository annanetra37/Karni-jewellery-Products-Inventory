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signs" sheetId="2" state="visible" r:id="rId4"/>
    <sheet name="Variants" sheetId="3" state="visible" r:id="rId5"/>
    <sheet name="Transactions" sheetId="4" state="visible" r:id="rId6"/>
    <sheet name="Dashboard" sheetId="5" state="visible" r:id="rId7"/>
    <sheet name="Shopify Export" sheetId="6" state="visible" r:id="rId8"/>
    <sheet name="Etsy Export" sheetId="7" state="visible" r:id="rId9"/>
    <sheet name="Dropdow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A2" authorId="0">
      <text>
        <r>
          <rPr>
            <sz val="10"/>
            <rFont val="Arial"/>
            <family val="2"/>
          </rPr>
          <t xml:space="preserve">Auto: Materials + Labor + Packaging. Fill the blue cost cells to activate margin analytics.</t>
        </r>
      </text>
    </comment>
    <comment ref="AB2" authorId="0">
      <text>
        <r>
          <rPr>
            <sz val="10"/>
            <rFont val="Arial"/>
            <family val="2"/>
          </rPr>
          <t xml:space="preserve">Auto: (Base price − Total cost) / Base price.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2" authorId="0">
      <text>
        <r>
          <rPr>
            <sz val="10"/>
            <rFont val="Arial"/>
            <family val="2"/>
          </rPr>
          <t xml:space="preserve">Auto: Stock on hand − Reserved.</t>
        </r>
      </text>
    </comment>
    <comment ref="S2" authorId="0">
      <text>
        <r>
          <rPr>
            <sz val="10"/>
            <rFont val="Arial"/>
            <family val="2"/>
          </rPr>
          <t xml:space="preserve">Auto: flags ⚠ REORDER when Available ≤ Reorder point.</t>
        </r>
      </text>
    </comment>
    <comment ref="AE2" authorId="0">
      <text>
        <r>
          <rPr>
            <sz val="10"/>
            <rFont val="Arial"/>
            <family val="2"/>
          </rPr>
          <t xml:space="preserve">Auto: sums Sale rows from Transactions for this SKU.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Log every sale, restock, return here. Variants &amp; Dashboard read from this sheet automatically.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Auto-generated from Variants + Designs. Save as CSV to import into Shopify.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Auto-generated from Variants + Designs. Reference for Etsy listing upload.</t>
        </r>
      </text>
    </comment>
  </commentList>
</comments>
</file>

<file path=xl/sharedStrings.xml><?xml version="1.0" encoding="utf-8"?>
<sst xmlns="http://schemas.openxmlformats.org/spreadsheetml/2006/main" count="9086" uniqueCount="1017">
  <si>
    <t xml:space="preserve">Karni Jewellery — Master Product Database</t>
  </si>
  <si>
    <t xml:space="preserve">8 linked sheets · 474 variants · 163 designs · live analytics</t>
  </si>
  <si>
    <t xml:space="preserve">The 8 sheets</t>
  </si>
  <si>
    <t xml:space="preserve">DESIGNS — one row per design concept (163). Story, materials, cost, marketing copy, base price live here once.</t>
  </si>
  <si>
    <t xml:space="preserve">VARIANTS — your 474 SKUs, enriched. Stock, barcode, channel flags, prices in 4 currencies, auto-margins &amp; sales pulled from Transactions.</t>
  </si>
  <si>
    <t xml:space="preserve">TRANSACTIONS — log every sale / restock / return here. This powers all sales &amp; profit analytics.</t>
  </si>
  <si>
    <t xml:space="preserve">DASHBOARD — live KPIs: inventory health, sales, profit, channel split, catalog breakdown.</t>
  </si>
  <si>
    <t xml:space="preserve">SHOPIFY EXPORT — auto-built, Shopify CSV schema. Save as CSV to import.</t>
  </si>
  <si>
    <t xml:space="preserve">ETSY EXPORT — auto-built, Etsy listing reference.</t>
  </si>
  <si>
    <t xml:space="preserve">DROPDOWNS — control lists, FX rates (USD/EUR/RUB), channel list, cleanup log.</t>
  </si>
  <si>
    <t xml:space="preserve">README — this sheet.</t>
  </si>
  <si>
    <t xml:space="preserve">Colour coding (industry standard)</t>
  </si>
  <si>
    <t xml:space="preserve">BLUE text = inputs you type (price, stock, cost, barcode).</t>
  </si>
  <si>
    <t xml:space="preserve">GREEN text = automatic cross-sheet formulas — don't overwrite.</t>
  </si>
  <si>
    <t xml:space="preserve">Black = labels/static.</t>
  </si>
  <si>
    <t xml:space="preserve">To activate profit analytics</t>
  </si>
  <si>
    <t xml:space="preserve">On DESIGNS, fill the blue cost cells: Materials cost, Labor cost, Packaging cost.</t>
  </si>
  <si>
    <t xml:space="preserve">Total cost, Gross margin %, and Markup auto-calculate. Variants &amp; Dashboard margins light up.</t>
  </si>
  <si>
    <t xml:space="preserve">Until then, margin fields show blank / '— (add costs)'.</t>
  </si>
  <si>
    <t xml:space="preserve">To track sales</t>
  </si>
  <si>
    <t xml:space="preserve">Add a row in TRANSACTIONS for each sale (Date, SKU, Type=Sale, Channel, Qty, Unit price).</t>
  </si>
  <si>
    <t xml:space="preserve">Line total auto-calculates. Variants 'Units sold' / 'Revenue' / 'Last sold' update automatically.</t>
  </si>
  <si>
    <t xml:space="preserve">Dashboard sales &amp; channel metrics update too.</t>
  </si>
  <si>
    <t xml:space="preserve">Use Type=Restock to add inventory; remember to also raise Stock on hand on the Variants sheet.</t>
  </si>
  <si>
    <t xml:space="preserve">Cleanup applied to your upload</t>
  </si>
  <si>
    <t xml:space="preserve">• 10 rows — standardized capitalization: 'Artsakhi khachanakhsh' → 'Artsakhi Khachanakhsh'.</t>
  </si>
  <si>
    <t xml:space="preserve">• 170 rows — auto-filled: blank Design names auto-filled from Category + Collection.</t>
  </si>
  <si>
    <t xml:space="preserve">Full log on the Dropdowns sheet (right side). All 474 original rows preserved.</t>
  </si>
  <si>
    <t xml:space="preserve">IDENTIFICATION</t>
  </si>
  <si>
    <t xml:space="preserve">STORY &amp; CULTURE</t>
  </si>
  <si>
    <t xml:space="preserve">MATERIALS &amp; CRAFT</t>
  </si>
  <si>
    <t xml:space="preserve">COST · PRICE · MARGIN</t>
  </si>
  <si>
    <t xml:space="preserve">MARKETING / DIGITAL</t>
  </si>
  <si>
    <t xml:space="preserve">LIFECYCLE</t>
  </si>
  <si>
    <t xml:space="preserve">DesignID</t>
  </si>
  <si>
    <t xml:space="preserve">Design name (EN)</t>
  </si>
  <si>
    <t xml:space="preserve">Design name (HY)</t>
  </si>
  <si>
    <t xml:space="preserve">Category</t>
  </si>
  <si>
    <t xml:space="preserve">Collection</t>
  </si>
  <si>
    <t xml:space="preserve">Subcollection</t>
  </si>
  <si>
    <t xml:space="preserve">Variant count</t>
  </si>
  <si>
    <t xml:space="preserve">Motif / Symbol</t>
  </si>
  <si>
    <t xml:space="preserve">Cultural meaning (EN)</t>
  </si>
  <si>
    <t xml:space="preserve">Cultural meaning (HY)</t>
  </si>
  <si>
    <t xml:space="preserve">Inspiration source</t>
  </si>
  <si>
    <t xml:space="preserve">Metal</t>
  </si>
  <si>
    <t xml:space="preserve">Plating / Finish</t>
  </si>
  <si>
    <t xml:space="preserve">Enamel type</t>
  </si>
  <si>
    <t xml:space="preserve">Stones / Inlays</t>
  </si>
  <si>
    <t xml:space="preserve">Base weight (g)</t>
  </si>
  <si>
    <t xml:space="preserve">Length (mm)</t>
  </si>
  <si>
    <t xml:space="preserve">Width (mm)</t>
  </si>
  <si>
    <t xml:space="preserve">Chain length (mm)</t>
  </si>
  <si>
    <t xml:space="preserve">Clasp</t>
  </si>
  <si>
    <t xml:space="preserve">Handmade</t>
  </si>
  <si>
    <t xml:space="preserve">Production time (days)</t>
  </si>
  <si>
    <t xml:space="preserve">Base price (AMD)</t>
  </si>
  <si>
    <t xml:space="preserve">Materials cost (AMD)</t>
  </si>
  <si>
    <t xml:space="preserve">Labor cost (AMD)</t>
  </si>
  <si>
    <t xml:space="preserve">Packaging cost (AMD)</t>
  </si>
  <si>
    <t xml:space="preserve">Total cost (AMD)</t>
  </si>
  <si>
    <t xml:space="preserve">Gross margin %</t>
  </si>
  <si>
    <t xml:space="preserve">Markup x</t>
  </si>
  <si>
    <t xml:space="preserve">Status</t>
  </si>
  <si>
    <t xml:space="preserve">Made to order</t>
  </si>
  <si>
    <t xml:space="preserve">Primary image URL</t>
  </si>
  <si>
    <t xml:space="preserve">IG post URL</t>
  </si>
  <si>
    <t xml:space="preserve">Caption (EN)</t>
  </si>
  <si>
    <t xml:space="preserve">Caption (HY)</t>
  </si>
  <si>
    <t xml:space="preserve">Hashtags</t>
  </si>
  <si>
    <t xml:space="preserve">SEO title</t>
  </si>
  <si>
    <t xml:space="preserve">SEO description</t>
  </si>
  <si>
    <t xml:space="preserve">Hero product?</t>
  </si>
  <si>
    <t xml:space="preserve">Launch date</t>
  </si>
  <si>
    <t xml:space="preserve">Discontinued date</t>
  </si>
  <si>
    <t xml:space="preserve">Notes</t>
  </si>
  <si>
    <t xml:space="preserve">DSGN-PEND-ALPHA-AYB</t>
  </si>
  <si>
    <t xml:space="preserve">Bird Letter Pendant</t>
  </si>
  <si>
    <t xml:space="preserve">Pendant</t>
  </si>
  <si>
    <t xml:space="preserve">Alphabet</t>
  </si>
  <si>
    <t xml:space="preserve">Ա</t>
  </si>
  <si>
    <t xml:space="preserve">Armenian bird letter (թռչնագիր)</t>
  </si>
  <si>
    <t xml:space="preserve">Bird letters are an ornamental medieval Armenian script where each letter is formed from stylised birds, used in illuminated manuscripts.</t>
  </si>
  <si>
    <t xml:space="preserve">925 Silver Gold-Plated</t>
  </si>
  <si>
    <t xml:space="preserve">24k Gold Plate</t>
  </si>
  <si>
    <t xml:space="preserve">Hot / Vitreous</t>
  </si>
  <si>
    <t xml:space="preserve">Yes</t>
  </si>
  <si>
    <t xml:space="preserve">Active</t>
  </si>
  <si>
    <t xml:space="preserve">No</t>
  </si>
  <si>
    <t xml:space="preserve">DSGN-PEND-ALPHA-BEN</t>
  </si>
  <si>
    <t xml:space="preserve">Բ</t>
  </si>
  <si>
    <t xml:space="preserve">DSGN-PEND-ALPHA-GIM</t>
  </si>
  <si>
    <t xml:space="preserve">Գ</t>
  </si>
  <si>
    <t xml:space="preserve">DSGN-PEND-ALPHA-DA</t>
  </si>
  <si>
    <t xml:space="preserve">Դ</t>
  </si>
  <si>
    <t xml:space="preserve">DSGN-PEND-ALPHA-YECH</t>
  </si>
  <si>
    <t xml:space="preserve">Ե</t>
  </si>
  <si>
    <t xml:space="preserve">DSGN-PEND-ALPHA-ZA</t>
  </si>
  <si>
    <t xml:space="preserve">Զ</t>
  </si>
  <si>
    <t xml:space="preserve">DSGN-PEND-ALPHA-E</t>
  </si>
  <si>
    <t xml:space="preserve">Է</t>
  </si>
  <si>
    <t xml:space="preserve">DSGN-PEND-ALPHA-YT</t>
  </si>
  <si>
    <t xml:space="preserve">Ը</t>
  </si>
  <si>
    <t xml:space="preserve">DSGN-PEND-ALPHA-TO</t>
  </si>
  <si>
    <t xml:space="preserve">Թ</t>
  </si>
  <si>
    <t xml:space="preserve">DSGN-PEND-ALPHA-ZHE</t>
  </si>
  <si>
    <t xml:space="preserve">Ժ</t>
  </si>
  <si>
    <t xml:space="preserve">DSGN-PEND-ALPHA-INI</t>
  </si>
  <si>
    <t xml:space="preserve">Ի</t>
  </si>
  <si>
    <t xml:space="preserve">DSGN-PEND-ALPHA-LYUN</t>
  </si>
  <si>
    <t xml:space="preserve">Լ</t>
  </si>
  <si>
    <t xml:space="preserve">DSGN-PEND-ALPHA-KHE</t>
  </si>
  <si>
    <t xml:space="preserve">Խ</t>
  </si>
  <si>
    <t xml:space="preserve">DSGN-PEND-ALPHA-TSA</t>
  </si>
  <si>
    <t xml:space="preserve">Ծ</t>
  </si>
  <si>
    <t xml:space="preserve">DSGN-PEND-ALPHA-KEN</t>
  </si>
  <si>
    <t xml:space="preserve">Կ</t>
  </si>
  <si>
    <t xml:space="preserve">DSGN-PEND-ALPHA-HO</t>
  </si>
  <si>
    <t xml:space="preserve">Հ</t>
  </si>
  <si>
    <t xml:space="preserve">DSGN-PEND-ALPHA-DZA</t>
  </si>
  <si>
    <t xml:space="preserve">Ձ</t>
  </si>
  <si>
    <t xml:space="preserve">DSGN-PEND-ALPHA-GHAT</t>
  </si>
  <si>
    <t xml:space="preserve">Ղ</t>
  </si>
  <si>
    <t xml:space="preserve">DSGN-PEND-ALPHA-CHEH</t>
  </si>
  <si>
    <t xml:space="preserve">Ճ</t>
  </si>
  <si>
    <t xml:space="preserve">DSGN-PEND-ALPHA-MEN</t>
  </si>
  <si>
    <t xml:space="preserve">Մ</t>
  </si>
  <si>
    <t xml:space="preserve">DSGN-PEND-ALPHA-HI</t>
  </si>
  <si>
    <t xml:space="preserve">Յ</t>
  </si>
  <si>
    <t xml:space="preserve">DSGN-PEND-ALPHA-NU</t>
  </si>
  <si>
    <t xml:space="preserve">Ն</t>
  </si>
  <si>
    <t xml:space="preserve">DSGN-PEND-ALPHA-SHA</t>
  </si>
  <si>
    <t xml:space="preserve">Շ</t>
  </si>
  <si>
    <t xml:space="preserve">DSGN-PEND-ALPHA-VO</t>
  </si>
  <si>
    <t xml:space="preserve">Ո</t>
  </si>
  <si>
    <t xml:space="preserve">DSGN-PEND-ALPHA-CHA</t>
  </si>
  <si>
    <t xml:space="preserve">Չ</t>
  </si>
  <si>
    <t xml:space="preserve">DSGN-PEND-ALPHA-PEH</t>
  </si>
  <si>
    <t xml:space="preserve">Պ</t>
  </si>
  <si>
    <t xml:space="preserve">DSGN-PEND-ALPHA-JHEH</t>
  </si>
  <si>
    <t xml:space="preserve">Ջ</t>
  </si>
  <si>
    <t xml:space="preserve">DSGN-PEND-ALPHA-RA</t>
  </si>
  <si>
    <t xml:space="preserve">Ռ</t>
  </si>
  <si>
    <t xml:space="preserve">DSGN-PEND-ALPHA-SEH</t>
  </si>
  <si>
    <t xml:space="preserve">Ս</t>
  </si>
  <si>
    <t xml:space="preserve">DSGN-PEND-ALPHA-VEV</t>
  </si>
  <si>
    <t xml:space="preserve">Վ</t>
  </si>
  <si>
    <t xml:space="preserve">DSGN-PEND-ALPHA-TYUN</t>
  </si>
  <si>
    <t xml:space="preserve">Տ</t>
  </si>
  <si>
    <t xml:space="preserve">DSGN-PEND-ALPHA-REH</t>
  </si>
  <si>
    <t xml:space="preserve">Ր</t>
  </si>
  <si>
    <t xml:space="preserve">DSGN-PEND-ALPHA-TSO</t>
  </si>
  <si>
    <t xml:space="preserve">Ց</t>
  </si>
  <si>
    <t xml:space="preserve">DSGN-PEND-ALPHA-VYUN</t>
  </si>
  <si>
    <t xml:space="preserve">Ւ</t>
  </si>
  <si>
    <t xml:space="preserve">DSGN-PEND-ALPHA-PYUR</t>
  </si>
  <si>
    <t xml:space="preserve">Փ</t>
  </si>
  <si>
    <t xml:space="preserve">DSGN-PEND-ALPHA-QEH</t>
  </si>
  <si>
    <t xml:space="preserve">Ք</t>
  </si>
  <si>
    <t xml:space="preserve">DSGN-PEND-ALPHA-OH</t>
  </si>
  <si>
    <t xml:space="preserve">Օ</t>
  </si>
  <si>
    <t xml:space="preserve">DSGN-PEND-ALPHA-FEH</t>
  </si>
  <si>
    <t xml:space="preserve">Ֆ</t>
  </si>
  <si>
    <t xml:space="preserve">DSGN-BRAC-ALPHA-AYB</t>
  </si>
  <si>
    <t xml:space="preserve">Bird Letter Bracelet</t>
  </si>
  <si>
    <t xml:space="preserve">Bracelet</t>
  </si>
  <si>
    <t xml:space="preserve">DSGN-BRAC-ALPHA-BEN</t>
  </si>
  <si>
    <t xml:space="preserve">DSGN-BRAC-ALPHA-GIM</t>
  </si>
  <si>
    <t xml:space="preserve">DSGN-BRAC-ALPHA-DA</t>
  </si>
  <si>
    <t xml:space="preserve">DSGN-BRAC-ALPHA-YECH</t>
  </si>
  <si>
    <t xml:space="preserve">DSGN-BRAC-ALPHA-ZA</t>
  </si>
  <si>
    <t xml:space="preserve">DSGN-BRAC-ALPHA-E</t>
  </si>
  <si>
    <t xml:space="preserve">DSGN-BRAC-ALPHA-YT</t>
  </si>
  <si>
    <t xml:space="preserve">DSGN-BRAC-ALPHA-TO</t>
  </si>
  <si>
    <t xml:space="preserve">DSGN-BRAC-ALPHA-ZHE</t>
  </si>
  <si>
    <t xml:space="preserve">DSGN-BRAC-ALPHA-INI</t>
  </si>
  <si>
    <t xml:space="preserve">DSGN-BRAC-ALPHA-LYUN</t>
  </si>
  <si>
    <t xml:space="preserve">DSGN-BRAC-ALPHA-KHE</t>
  </si>
  <si>
    <t xml:space="preserve">DSGN-BRAC-ALPHA-TSA</t>
  </si>
  <si>
    <t xml:space="preserve">DSGN-BRAC-ALPHA-KEN</t>
  </si>
  <si>
    <t xml:space="preserve">DSGN-BRAC-ALPHA-HO</t>
  </si>
  <si>
    <t xml:space="preserve">DSGN-BRAC-ALPHA-DZA</t>
  </si>
  <si>
    <t xml:space="preserve">DSGN-BRAC-ALPHA-GHAT</t>
  </si>
  <si>
    <t xml:space="preserve">DSGN-BRAC-ALPHA-CHEH</t>
  </si>
  <si>
    <t xml:space="preserve">DSGN-BRAC-ALPHA-MEN</t>
  </si>
  <si>
    <t xml:space="preserve">DSGN-BRAC-ALPHA-HI</t>
  </si>
  <si>
    <t xml:space="preserve">DSGN-BRAC-ALPHA-NU</t>
  </si>
  <si>
    <t xml:space="preserve">DSGN-BRAC-ALPHA-SHA</t>
  </si>
  <si>
    <t xml:space="preserve">DSGN-BRAC-ALPHA-VO</t>
  </si>
  <si>
    <t xml:space="preserve">DSGN-BRAC-ALPHA-CHA</t>
  </si>
  <si>
    <t xml:space="preserve">DSGN-BRAC-ALPHA-PEH</t>
  </si>
  <si>
    <t xml:space="preserve">DSGN-BRAC-ALPHA-JHEH</t>
  </si>
  <si>
    <t xml:space="preserve">DSGN-BRAC-ALPHA-RA</t>
  </si>
  <si>
    <t xml:space="preserve">DSGN-BRAC-ALPHA-SEH</t>
  </si>
  <si>
    <t xml:space="preserve">DSGN-BRAC-ALPHA-VEV</t>
  </si>
  <si>
    <t xml:space="preserve">DSGN-BRAC-ALPHA-TYUN</t>
  </si>
  <si>
    <t xml:space="preserve">DSGN-BRAC-ALPHA-REH</t>
  </si>
  <si>
    <t xml:space="preserve">DSGN-BRAC-ALPHA-TSO</t>
  </si>
  <si>
    <t xml:space="preserve">DSGN-BRAC-ALPHA-VYUN</t>
  </si>
  <si>
    <t xml:space="preserve">DSGN-BRAC-ALPHA-PYUR</t>
  </si>
  <si>
    <t xml:space="preserve">DSGN-BRAC-ALPHA-QEH</t>
  </si>
  <si>
    <t xml:space="preserve">DSGN-BRAC-ALPHA-OH</t>
  </si>
  <si>
    <t xml:space="preserve">DSGN-BRAC-ALPHA-FEH</t>
  </si>
  <si>
    <t xml:space="preserve">DSGN-BRCH-ALPHA-AYB</t>
  </si>
  <si>
    <t xml:space="preserve">Bird Letter Brooch</t>
  </si>
  <si>
    <t xml:space="preserve">Brooch</t>
  </si>
  <si>
    <t xml:space="preserve">DSGN-BRCH-ALPHA-BEN</t>
  </si>
  <si>
    <t xml:space="preserve">DSGN-BRCH-ALPHA-GIM</t>
  </si>
  <si>
    <t xml:space="preserve">DSGN-BRCH-ALPHA-DA</t>
  </si>
  <si>
    <t xml:space="preserve">DSGN-BRCH-ALPHA-YECH</t>
  </si>
  <si>
    <t xml:space="preserve">DSGN-BRCH-ALPHA-ZA</t>
  </si>
  <si>
    <t xml:space="preserve">DSGN-BRCH-ALPHA-E</t>
  </si>
  <si>
    <t xml:space="preserve">DSGN-BRCH-ALPHA-YT</t>
  </si>
  <si>
    <t xml:space="preserve">DSGN-BRCH-ALPHA-TO</t>
  </si>
  <si>
    <t xml:space="preserve">DSGN-BRCH-ALPHA-ZHE</t>
  </si>
  <si>
    <t xml:space="preserve">DSGN-BRCH-ALPHA-INI</t>
  </si>
  <si>
    <t xml:space="preserve">DSGN-BRCH-ALPHA-LYUN</t>
  </si>
  <si>
    <t xml:space="preserve">DSGN-BRCH-ALPHA-KHE</t>
  </si>
  <si>
    <t xml:space="preserve">DSGN-BRCH-ALPHA-TSA</t>
  </si>
  <si>
    <t xml:space="preserve">DSGN-BRCH-ALPHA-KEN</t>
  </si>
  <si>
    <t xml:space="preserve">DSGN-BRCH-ALPHA-HO</t>
  </si>
  <si>
    <t xml:space="preserve">DSGN-BRCH-ALPHA-DZA</t>
  </si>
  <si>
    <t xml:space="preserve">DSGN-BRCH-ALPHA-GHAT</t>
  </si>
  <si>
    <t xml:space="preserve">DSGN-BRCH-ALPHA-CHEH</t>
  </si>
  <si>
    <t xml:space="preserve">DSGN-BRCH-ALPHA-MEN</t>
  </si>
  <si>
    <t xml:space="preserve">DSGN-BRCH-ALPHA-HI</t>
  </si>
  <si>
    <t xml:space="preserve">DSGN-BRCH-ALPHA-NU</t>
  </si>
  <si>
    <t xml:space="preserve">DSGN-BRCH-ALPHA-SHA</t>
  </si>
  <si>
    <t xml:space="preserve">DSGN-BRCH-ALPHA-VO</t>
  </si>
  <si>
    <t xml:space="preserve">DSGN-BRCH-ALPHA-CHA</t>
  </si>
  <si>
    <t xml:space="preserve">DSGN-BRCH-ALPHA-PEH</t>
  </si>
  <si>
    <t xml:space="preserve">DSGN-BRCH-ALPHA-JHEH</t>
  </si>
  <si>
    <t xml:space="preserve">DSGN-BRCH-ALPHA-RA</t>
  </si>
  <si>
    <t xml:space="preserve">DSGN-BRCH-ALPHA-SEH</t>
  </si>
  <si>
    <t xml:space="preserve">DSGN-BRCH-ALPHA-VEV</t>
  </si>
  <si>
    <t xml:space="preserve">DSGN-BRCH-ALPHA-TYUN</t>
  </si>
  <si>
    <t xml:space="preserve">DSGN-BRCH-ALPHA-REH</t>
  </si>
  <si>
    <t xml:space="preserve">DSGN-BRCH-ALPHA-TSO</t>
  </si>
  <si>
    <t xml:space="preserve">DSGN-BRCH-ALPHA-VYUN</t>
  </si>
  <si>
    <t xml:space="preserve">DSGN-BRCH-ALPHA-PYUR</t>
  </si>
  <si>
    <t xml:space="preserve">DSGN-BRCH-ALPHA-QEH</t>
  </si>
  <si>
    <t xml:space="preserve">DSGN-BRCH-ALPHA-OH</t>
  </si>
  <si>
    <t xml:space="preserve">DSGN-BRCH-ALPHA-FEH</t>
  </si>
  <si>
    <t xml:space="preserve">DSGN-EARRNG-MARASH-S</t>
  </si>
  <si>
    <t xml:space="preserve">Marash Earrings</t>
  </si>
  <si>
    <t xml:space="preserve">Earring</t>
  </si>
  <si>
    <t xml:space="preserve">Marash</t>
  </si>
  <si>
    <t xml:space="preserve">Marash embroidery motif</t>
  </si>
  <si>
    <t xml:space="preserve">Marash-work is a distinctive Armenian embroidery style from Cilician Marash, known for its interlaced geometric patterns.</t>
  </si>
  <si>
    <t xml:space="preserve">DSGN-EARRNG-MARASH-M</t>
  </si>
  <si>
    <t xml:space="preserve">DSGN-EARRNG-VAN-S</t>
  </si>
  <si>
    <t xml:space="preserve">Van Earrings</t>
  </si>
  <si>
    <t xml:space="preserve">Van</t>
  </si>
  <si>
    <t xml:space="preserve">Van / Vaspurakan motif</t>
  </si>
  <si>
    <t xml:space="preserve">Motifs from the Van/Vaspurakan region, echoing the ornament of the Lake Van heartland of historic Armenia.</t>
  </si>
  <si>
    <t xml:space="preserve">DSGN-EARRNG-VAN-M</t>
  </si>
  <si>
    <t xml:space="preserve">DSGN-EARRNG-ARTSAKHIKHACHANAKHSH-S</t>
  </si>
  <si>
    <t xml:space="preserve">Artsakhi Khachanakhsh Earrings</t>
  </si>
  <si>
    <t xml:space="preserve">Artsakhi Khachanakhsh</t>
  </si>
  <si>
    <t xml:space="preserve">Artsakh cross-ornament (khachanakhsh)</t>
  </si>
  <si>
    <t xml:space="preserve">Cross-ornament patterns from Artsakh, carrying the carved cross-stone heritage of the region.</t>
  </si>
  <si>
    <t xml:space="preserve">DSGN-EARRNG-ARTSAKHIKHACHANAKHSH-M</t>
  </si>
  <si>
    <t xml:space="preserve">DSGN-EARRNG-VISHAB-S</t>
  </si>
  <si>
    <t xml:space="preserve">Vishab Earrings</t>
  </si>
  <si>
    <t xml:space="preserve">Vishab</t>
  </si>
  <si>
    <t xml:space="preserve">Vishap (dragon-stone) motif</t>
  </si>
  <si>
    <t xml:space="preserve">Vishaps are ancient Armenian dragon-stones (vishapakar) found in the highlands, among the oldest carved monuments in the region.</t>
  </si>
  <si>
    <t xml:space="preserve">DSGN-EARRNG-VISHAB-M</t>
  </si>
  <si>
    <t xml:space="preserve">DSGN-EARRNG-VISHABAREVAGORG-S</t>
  </si>
  <si>
    <t xml:space="preserve">Արեւագորգի Վիշապ</t>
  </si>
  <si>
    <t xml:space="preserve">Vishab Arevagorg</t>
  </si>
  <si>
    <t xml:space="preserve">Vishap + Arevagorg (sun-carpet) motif</t>
  </si>
  <si>
    <t xml:space="preserve">Combines the vishap (dragon) motif with the arevagorg (sun-carpet) — an Armenian solar ornament symbolising life and eternity.</t>
  </si>
  <si>
    <t xml:space="preserve">DSGN-EARRNG-VISHABAREVAGORG-M</t>
  </si>
  <si>
    <t xml:space="preserve">DSGN-EARRNG2-MARASH</t>
  </si>
  <si>
    <t xml:space="preserve">Marash Earrings (2 pcs)</t>
  </si>
  <si>
    <t xml:space="preserve">earrings 2 pcs.</t>
  </si>
  <si>
    <t xml:space="preserve">DSGN-EARRNG2-VISHAB</t>
  </si>
  <si>
    <t xml:space="preserve">Vishab Earrings (2 pcs)</t>
  </si>
  <si>
    <t xml:space="preserve">DSGN-EARRNG2-VAN</t>
  </si>
  <si>
    <t xml:space="preserve">Van Earrings (2 pcs)</t>
  </si>
  <si>
    <t xml:space="preserve">DSGN-EARRNG2-ARTSAKHIKHACHANAKHSH</t>
  </si>
  <si>
    <t xml:space="preserve">Artsakhi Khachanakhsh Earrings (2 pcs)</t>
  </si>
  <si>
    <t xml:space="preserve">DSGN-EARRNG2-VISHABAREVAGORG</t>
  </si>
  <si>
    <t xml:space="preserve">DSGN-EARRNG-MARASH-L</t>
  </si>
  <si>
    <t xml:space="preserve">DSGN-RING-MARASH-S</t>
  </si>
  <si>
    <t xml:space="preserve">Marash Ring</t>
  </si>
  <si>
    <t xml:space="preserve">Ring</t>
  </si>
  <si>
    <t xml:space="preserve">DSGN-RING-VAN-S</t>
  </si>
  <si>
    <t xml:space="preserve">Van Ring</t>
  </si>
  <si>
    <t xml:space="preserve">DSGN-RING-VISHABAREVAGORG-S</t>
  </si>
  <si>
    <t xml:space="preserve">DSGN-RING-VISHAB-S</t>
  </si>
  <si>
    <t xml:space="preserve">Vishab Ring</t>
  </si>
  <si>
    <t xml:space="preserve">DSGN-RING-ARTSAKHIKHACHANAKHSH-S</t>
  </si>
  <si>
    <t xml:space="preserve">Artsakhi Khachanakhsh Ring</t>
  </si>
  <si>
    <t xml:space="preserve">DSGN-RINGTWIN-MARASH</t>
  </si>
  <si>
    <t xml:space="preserve">Marash Twin Ring</t>
  </si>
  <si>
    <t xml:space="preserve">ring twin</t>
  </si>
  <si>
    <t xml:space="preserve">DSGN-RINGTWIN-VAN</t>
  </si>
  <si>
    <t xml:space="preserve">Van Twin Ring</t>
  </si>
  <si>
    <t xml:space="preserve">DSGN-RINGTWIN-VISHAB</t>
  </si>
  <si>
    <t xml:space="preserve">Vishab Twin Ring</t>
  </si>
  <si>
    <t xml:space="preserve">DSGN-RING-VAN-M</t>
  </si>
  <si>
    <t xml:space="preserve">DSGN-RING-MARASH-M</t>
  </si>
  <si>
    <t xml:space="preserve">DSGN-RING-ARTSAKHIKHACHANAKHSH-M</t>
  </si>
  <si>
    <t xml:space="preserve">DSGN-RING-VISHAB-M</t>
  </si>
  <si>
    <t xml:space="preserve">DSGN-RING-VISHABAREVAGORG-M</t>
  </si>
  <si>
    <t xml:space="preserve">DSGN-PEND-MARASH-M</t>
  </si>
  <si>
    <t xml:space="preserve">Marash Pendant</t>
  </si>
  <si>
    <t xml:space="preserve">DSGN-PEND-VAN-M</t>
  </si>
  <si>
    <t xml:space="preserve">Van Pendant</t>
  </si>
  <si>
    <t xml:space="preserve">DSGN-PEND-ARTSAKHIKHACHANAKHSH-M</t>
  </si>
  <si>
    <t xml:space="preserve">Artsakhi Khachanakhsh Pendant</t>
  </si>
  <si>
    <t xml:space="preserve">DSGN-PEND-VISHAB-M</t>
  </si>
  <si>
    <t xml:space="preserve">Vishab Pendant</t>
  </si>
  <si>
    <t xml:space="preserve">DSGN-PEND-VISHABAREVAGORG-M</t>
  </si>
  <si>
    <t xml:space="preserve">DSGN-PEND-MARASH-L</t>
  </si>
  <si>
    <t xml:space="preserve">DSGN-PEND-VAN-L</t>
  </si>
  <si>
    <t xml:space="preserve">DSGN-PEND-ARTSAKHIKHACHANAKHSH-L</t>
  </si>
  <si>
    <t xml:space="preserve">DSGN-PEND-VISHAB-L</t>
  </si>
  <si>
    <t xml:space="preserve">DSGN-PEND-VISHABAREVAGORG-L</t>
  </si>
  <si>
    <t xml:space="preserve">DSGN-CHNECK-MARASH</t>
  </si>
  <si>
    <t xml:space="preserve">Marash Chain Necklace</t>
  </si>
  <si>
    <t xml:space="preserve">chain necklace</t>
  </si>
  <si>
    <t xml:space="preserve">DSGN-CHNECK-VAN</t>
  </si>
  <si>
    <t xml:space="preserve">Van Chain Necklace</t>
  </si>
  <si>
    <t xml:space="preserve">DSGN-CHNECK-VISHAB</t>
  </si>
  <si>
    <t xml:space="preserve">Vishab Chain Necklace</t>
  </si>
  <si>
    <t xml:space="preserve">DSGN-CHNECK-VISHABAREVAGORG</t>
  </si>
  <si>
    <t xml:space="preserve">DSGN-CHNECK-ARTSAKHIKHACHANAKHSH</t>
  </si>
  <si>
    <t xml:space="preserve">Artsakhi Khachanakhsh Chain Necklace</t>
  </si>
  <si>
    <t xml:space="preserve">DSGN-CHBRAC-ARTSAKHIKHACHANAKHSH</t>
  </si>
  <si>
    <t xml:space="preserve">Artsakhi Khachanakhsh Chain Bracelet</t>
  </si>
  <si>
    <t xml:space="preserve">chain bracelet</t>
  </si>
  <si>
    <t xml:space="preserve">DSGN-CHBRAC-MARASH</t>
  </si>
  <si>
    <t xml:space="preserve">Marash Chain Bracelet</t>
  </si>
  <si>
    <t xml:space="preserve">DSGN-CHBRAC-VAN</t>
  </si>
  <si>
    <t xml:space="preserve">Van Chain Bracelet</t>
  </si>
  <si>
    <t xml:space="preserve">DSGN-CHBRAC-VISHAB</t>
  </si>
  <si>
    <t xml:space="preserve">Vishab Chain Bracelet</t>
  </si>
  <si>
    <t xml:space="preserve">DSGN-CHBRAC-VISHABAREVAGORG</t>
  </si>
  <si>
    <t xml:space="preserve">PRODUCT</t>
  </si>
  <si>
    <t xml:space="preserve">PRICING</t>
  </si>
  <si>
    <t xml:space="preserve">INVENTORY</t>
  </si>
  <si>
    <t xml:space="preserve">COMPLIANCE / PHYSICAL</t>
  </si>
  <si>
    <t xml:space="preserve">CHANNELS</t>
  </si>
  <si>
    <t xml:space="preserve">PERFORMANCE</t>
  </si>
  <si>
    <t xml:space="preserve">ID (SKU)</t>
  </si>
  <si>
    <t xml:space="preserve">Design name</t>
  </si>
  <si>
    <t xml:space="preserve">Subcollection (letter)</t>
  </si>
  <si>
    <t xml:space="preserve">Size</t>
  </si>
  <si>
    <t xml:space="preserve">Color</t>
  </si>
  <si>
    <t xml:space="preserve">Price (AMD)</t>
  </si>
  <si>
    <t xml:space="preserve">Price (USD)</t>
  </si>
  <si>
    <t xml:space="preserve">Price (EUR)</t>
  </si>
  <si>
    <t xml:space="preserve">Price (RUB)</t>
  </si>
  <si>
    <t xml:space="preserve">Cost (AMD)</t>
  </si>
  <si>
    <t xml:space="preserve">Margin %</t>
  </si>
  <si>
    <t xml:space="preserve">Stock on hand</t>
  </si>
  <si>
    <t xml:space="preserve">Reserved</t>
  </si>
  <si>
    <t xml:space="preserve">Available</t>
  </si>
  <si>
    <t xml:space="preserve">Reorder point</t>
  </si>
  <si>
    <t xml:space="preserve">Reorder flag</t>
  </si>
  <si>
    <t xml:space="preserve">Location / Bin</t>
  </si>
  <si>
    <t xml:space="preserve">Barcode / GTIN</t>
  </si>
  <si>
    <t xml:space="preserve">HS code</t>
  </si>
  <si>
    <t xml:space="preserve">Country of origin</t>
  </si>
  <si>
    <t xml:space="preserve">Weight (g)</t>
  </si>
  <si>
    <t xml:space="preserve">Variant image URL</t>
  </si>
  <si>
    <t xml:space="preserve">On website?</t>
  </si>
  <si>
    <t xml:space="preserve">On Etsy?</t>
  </si>
  <si>
    <t xml:space="preserve">On IG?</t>
  </si>
  <si>
    <t xml:space="preserve">In stockists?</t>
  </si>
  <si>
    <t xml:space="preserve">Units sold</t>
  </si>
  <si>
    <t xml:space="preserve">Revenue (AMD)</t>
  </si>
  <si>
    <t xml:space="preserve">Last sold</t>
  </si>
  <si>
    <t xml:space="preserve">KARNI-PEND-ALPHA-AYB-RED</t>
  </si>
  <si>
    <t xml:space="preserve">red</t>
  </si>
  <si>
    <t xml:space="preserve">7117.19</t>
  </si>
  <si>
    <t xml:space="preserve">Armenia</t>
  </si>
  <si>
    <t xml:space="preserve">KARNI-PEND-ALPHA-AYB-TURQUOISE</t>
  </si>
  <si>
    <t xml:space="preserve">turquoise</t>
  </si>
  <si>
    <t xml:space="preserve">KARNI-PEND-ALPHA-AYB-WHITE</t>
  </si>
  <si>
    <t xml:space="preserve">white</t>
  </si>
  <si>
    <t xml:space="preserve">KARNI-PEND-ALPHA-BEN-RED</t>
  </si>
  <si>
    <t xml:space="preserve">KARNI-PEND-ALPHA-BEN-TURQUOISE</t>
  </si>
  <si>
    <t xml:space="preserve">KARNI-PEND-ALPHA-BEN-WHITE</t>
  </si>
  <si>
    <t xml:space="preserve">KARNI-PEND-ALPHA-GIM-RED</t>
  </si>
  <si>
    <t xml:space="preserve">KARNI-PEND-ALPHA-GIM-TURQUOISE</t>
  </si>
  <si>
    <t xml:space="preserve">KARNI-PEND-ALPHA-GIM-WHITE</t>
  </si>
  <si>
    <t xml:space="preserve">KARNI-PEND-ALPHA-DA-RED</t>
  </si>
  <si>
    <t xml:space="preserve">KARNI-PEND-ALPHA-DA-TURQUOISE</t>
  </si>
  <si>
    <t xml:space="preserve">KARNI-PEND-ALPHA-DA-WHITE</t>
  </si>
  <si>
    <t xml:space="preserve">KARNI-PEND-ALPHA-YECH-RED</t>
  </si>
  <si>
    <t xml:space="preserve">KARNI-PEND-ALPHA-YECH-TURQUOISE</t>
  </si>
  <si>
    <t xml:space="preserve">KARNI-PEND-ALPHA-YECH-WHITE</t>
  </si>
  <si>
    <t xml:space="preserve">KARNI-PEND-ALPHA-ZA-RED</t>
  </si>
  <si>
    <t xml:space="preserve">KARNI-PEND-ALPHA-ZA-TURQUOISE</t>
  </si>
  <si>
    <t xml:space="preserve">KARNI-PEND-ALPHA-ZA-WHITE</t>
  </si>
  <si>
    <t xml:space="preserve">KARNI-PEND-ALPHA-E-RED</t>
  </si>
  <si>
    <t xml:space="preserve">KARNI-PEND-ALPHA-E-TURQUOISE</t>
  </si>
  <si>
    <t xml:space="preserve">KARNI-PEND-ALPHA-E-WHITE</t>
  </si>
  <si>
    <t xml:space="preserve">KARNI-PEND-ALPHA-YT-RED</t>
  </si>
  <si>
    <t xml:space="preserve">KARNI-PEND-ALPHA-YT-TURQUOISE</t>
  </si>
  <si>
    <t xml:space="preserve">KARNI-PEND-ALPHA-YT-WHITE</t>
  </si>
  <si>
    <t xml:space="preserve">KARNI-PEND-ALPHA-TO-RED</t>
  </si>
  <si>
    <t xml:space="preserve">KARNI-PEND-ALPHA-TO-TURQUOISE</t>
  </si>
  <si>
    <t xml:space="preserve">KARNI-PEND-ALPHA-TO-WHITE</t>
  </si>
  <si>
    <t xml:space="preserve">KARNI-PEND-ALPHA-ZHE-RED</t>
  </si>
  <si>
    <t xml:space="preserve">KARNI-PEND-ALPHA-ZHE-TURQUOISE</t>
  </si>
  <si>
    <t xml:space="preserve">KARNI-PEND-ALPHA-ZHE-WHITE</t>
  </si>
  <si>
    <t xml:space="preserve">KARNI-PEND-ALPHA-INI-RED</t>
  </si>
  <si>
    <t xml:space="preserve">KARNI-PEND-ALPHA-INI-TURQUOISE</t>
  </si>
  <si>
    <t xml:space="preserve">KARNI-PEND-ALPHA-INI-WHITE</t>
  </si>
  <si>
    <t xml:space="preserve">KARNI-PEND-ALPHA-LYUN-RED</t>
  </si>
  <si>
    <t xml:space="preserve">KARNI-PEND-ALPHA-LYUN-TURQUOISE</t>
  </si>
  <si>
    <t xml:space="preserve">KARNI-PEND-ALPHA-LYUN-WHITE</t>
  </si>
  <si>
    <t xml:space="preserve">KARNI-PEND-ALPHA-KHE-RED</t>
  </si>
  <si>
    <t xml:space="preserve">KARNI-PEND-ALPHA-KHE-TURQUOISE</t>
  </si>
  <si>
    <t xml:space="preserve">KARNI-PEND-ALPHA-KHE-WHITE</t>
  </si>
  <si>
    <t xml:space="preserve">KARNI-PEND-ALPHA-TSA-RED</t>
  </si>
  <si>
    <t xml:space="preserve">KARNI-PEND-ALPHA-TSA-TURQUOISE</t>
  </si>
  <si>
    <t xml:space="preserve">KARNI-PEND-ALPHA-TSA-WHITE</t>
  </si>
  <si>
    <t xml:space="preserve">KARNI-PEND-ALPHA-KEN-RED</t>
  </si>
  <si>
    <t xml:space="preserve">KARNI-PEND-ALPHA-KEN-TURQUOISE</t>
  </si>
  <si>
    <t xml:space="preserve">KARNI-PEND-ALPHA-KEN-WHITE</t>
  </si>
  <si>
    <t xml:space="preserve">KARNI-PEND-ALPHA-HO-RED</t>
  </si>
  <si>
    <t xml:space="preserve">KARNI-PEND-ALPHA-HO-TURQUOISE</t>
  </si>
  <si>
    <t xml:space="preserve">KARNI-PEND-ALPHA-HO-WHITE</t>
  </si>
  <si>
    <t xml:space="preserve">KARNI-PEND-ALPHA-DZA-RED</t>
  </si>
  <si>
    <t xml:space="preserve">KARNI-PEND-ALPHA-DZA-TURQUOISE</t>
  </si>
  <si>
    <t xml:space="preserve">KARNI-PEND-ALPHA-DZA-WHITE</t>
  </si>
  <si>
    <t xml:space="preserve">KARNI-PEND-ALPHA-GHAT-RED</t>
  </si>
  <si>
    <t xml:space="preserve">KARNI-PEND-ALPHA-GHAT-TURQUOISE</t>
  </si>
  <si>
    <t xml:space="preserve">KARNI-PEND-ALPHA-GHAT-WHITE</t>
  </si>
  <si>
    <t xml:space="preserve">KARNI-PEND-ALPHA-CHEH-RED</t>
  </si>
  <si>
    <t xml:space="preserve">KARNI-PEND-ALPHA-CHEH-TURQUOISE</t>
  </si>
  <si>
    <t xml:space="preserve">KARNI-PEND-ALPHA-CHEH-WHITE</t>
  </si>
  <si>
    <t xml:space="preserve">KARNI-PEND-ALPHA-MEN-RED</t>
  </si>
  <si>
    <t xml:space="preserve">KARNI-PEND-ALPHA-MEN-TURQUOISE</t>
  </si>
  <si>
    <t xml:space="preserve">KARNI-PEND-ALPHA-MEN-WHITE</t>
  </si>
  <si>
    <t xml:space="preserve">KARNI-PEND-ALPHA-HI-RED</t>
  </si>
  <si>
    <t xml:space="preserve">KARNI-PEND-ALPHA-HI-TURQUOISE</t>
  </si>
  <si>
    <t xml:space="preserve">KARNI-PEND-ALPHA-HI-WHITE</t>
  </si>
  <si>
    <t xml:space="preserve">KARNI-PEND-ALPHA-NU-RED</t>
  </si>
  <si>
    <t xml:space="preserve">KARNI-PEND-ALPHA-NU-TURQUOISE</t>
  </si>
  <si>
    <t xml:space="preserve">KARNI-PEND-ALPHA-NU-WHITE</t>
  </si>
  <si>
    <t xml:space="preserve">KARNI-PEND-ALPHA-SHA-RED</t>
  </si>
  <si>
    <t xml:space="preserve">KARNI-PEND-ALPHA-SHA-TURQUOISE</t>
  </si>
  <si>
    <t xml:space="preserve">KARNI-PEND-ALPHA-SHA-WHITE</t>
  </si>
  <si>
    <t xml:space="preserve">KARNI-PEND-ALPHA-VO-RED</t>
  </si>
  <si>
    <t xml:space="preserve">KARNI-PEND-ALPHA-VO-TURQUOISE</t>
  </si>
  <si>
    <t xml:space="preserve">KARNI-PEND-ALPHA-VO-WHITE</t>
  </si>
  <si>
    <t xml:space="preserve">KARNI-PEND-ALPHA-CHA-RED</t>
  </si>
  <si>
    <t xml:space="preserve">KARNI-PEND-ALPHA-CHA-TURQUOISE</t>
  </si>
  <si>
    <t xml:space="preserve">KARNI-PEND-ALPHA-CHA-WHITE</t>
  </si>
  <si>
    <t xml:space="preserve">KARNI-PEND-ALPHA-PEH-RED</t>
  </si>
  <si>
    <t xml:space="preserve">KARNI-PEND-ALPHA-PEH-TURQUOISE</t>
  </si>
  <si>
    <t xml:space="preserve">KARNI-PEND-ALPHA-PEH-WHITE</t>
  </si>
  <si>
    <t xml:space="preserve">KARNI-PEND-ALPHA-JHEH-RED</t>
  </si>
  <si>
    <t xml:space="preserve">KARNI-PEND-ALPHA-JHEH-TURQUOISE</t>
  </si>
  <si>
    <t xml:space="preserve">KARNI-PEND-ALPHA-JHEH-WHITE</t>
  </si>
  <si>
    <t xml:space="preserve">KARNI-PEND-ALPHA-RA-RED</t>
  </si>
  <si>
    <t xml:space="preserve">KARNI-PEND-ALPHA-RA-TURQUOISE</t>
  </si>
  <si>
    <t xml:space="preserve">KARNI-PEND-ALPHA-RA-WHITE</t>
  </si>
  <si>
    <t xml:space="preserve">KARNI-PEND-ALPHA-SEH-RED</t>
  </si>
  <si>
    <t xml:space="preserve">KARNI-PEND-ALPHA-SEH-TURQUOISE</t>
  </si>
  <si>
    <t xml:space="preserve">KARNI-PEND-ALPHA-SEH-WHITE</t>
  </si>
  <si>
    <t xml:space="preserve">KARNI-PEND-ALPHA-VEV-RED</t>
  </si>
  <si>
    <t xml:space="preserve">KARNI-PEND-ALPHA-VEV-TURQUOISE</t>
  </si>
  <si>
    <t xml:space="preserve">KARNI-PEND-ALPHA-VEV-WHITE</t>
  </si>
  <si>
    <t xml:space="preserve">KARNI-PEND-ALPHA-TYUN-RED</t>
  </si>
  <si>
    <t xml:space="preserve">KARNI-PEND-ALPHA-TYUN-TURQUOISE</t>
  </si>
  <si>
    <t xml:space="preserve">KARNI-PEND-ALPHA-TYUN-WHITE</t>
  </si>
  <si>
    <t xml:space="preserve">KARNI-PEND-ALPHA-REH-RED</t>
  </si>
  <si>
    <t xml:space="preserve">KARNI-PEND-ALPHA-REH-TURQUOISE</t>
  </si>
  <si>
    <t xml:space="preserve">KARNI-PEND-ALPHA-REH-WHITE</t>
  </si>
  <si>
    <t xml:space="preserve">KARNI-PEND-ALPHA-TSO-RED</t>
  </si>
  <si>
    <t xml:space="preserve">KARNI-PEND-ALPHA-TSO-TURQUOISE</t>
  </si>
  <si>
    <t xml:space="preserve">KARNI-PEND-ALPHA-TSO-WHITE</t>
  </si>
  <si>
    <t xml:space="preserve">KARNI-PEND-ALPHA-VYUN-RED</t>
  </si>
  <si>
    <t xml:space="preserve">KARNI-PEND-ALPHA-VYUN-TURQUOISE</t>
  </si>
  <si>
    <t xml:space="preserve">KARNI-PEND-ALPHA-VYUN-WHITE</t>
  </si>
  <si>
    <t xml:space="preserve">KARNI-PEND-ALPHA-PYUR-RED</t>
  </si>
  <si>
    <t xml:space="preserve">KARNI-PEND-ALPHA-PYUR-TURQUOISE</t>
  </si>
  <si>
    <t xml:space="preserve">KARNI-PEND-ALPHA-PYUR-WHITE</t>
  </si>
  <si>
    <t xml:space="preserve">KARNI-PEND-ALPHA-QEH-RED</t>
  </si>
  <si>
    <t xml:space="preserve">KARNI-PEND-ALPHA-QEH-TURQUOISE</t>
  </si>
  <si>
    <t xml:space="preserve">KARNI-PEND-ALPHA-QEH-WHITE</t>
  </si>
  <si>
    <t xml:space="preserve">KARNI-PEND-ALPHA-OH-RED</t>
  </si>
  <si>
    <t xml:space="preserve">KARNI-PEND-ALPHA-OH-TURQUOISE</t>
  </si>
  <si>
    <t xml:space="preserve">KARNI-PEND-ALPHA-OH-WHITE</t>
  </si>
  <si>
    <t xml:space="preserve">KARNI-PEND-ALPHA-FEH-RED</t>
  </si>
  <si>
    <t xml:space="preserve">KARNI-PEND-ALPHA-FEH-TURQUOISE</t>
  </si>
  <si>
    <t xml:space="preserve">KARNI-PEND-ALPHA-FEH-WHITE</t>
  </si>
  <si>
    <t xml:space="preserve">KARNI-BRAC-ALPHA-AYB-RED</t>
  </si>
  <si>
    <t xml:space="preserve">KARNI-BRAC-ALPHA-AYB-TURQUOISE</t>
  </si>
  <si>
    <t xml:space="preserve">KARNI-BRAC-ALPHA-AYB-WHITE</t>
  </si>
  <si>
    <t xml:space="preserve">KARNI-BRAC-ALPHA-BEN-RED</t>
  </si>
  <si>
    <t xml:space="preserve">KARNI-BRAC-ALPHA-BEN-TURQUOISE</t>
  </si>
  <si>
    <t xml:space="preserve">KARNI-BRAC-ALPHA-BEN-WHITE</t>
  </si>
  <si>
    <t xml:space="preserve">KARNI-BRAC-ALPHA-GIM-RED</t>
  </si>
  <si>
    <t xml:space="preserve">KARNI-BRAC-ALPHA-GIM-TURQUOISE</t>
  </si>
  <si>
    <t xml:space="preserve">KARNI-BRAC-ALPHA-GIM-WHITE</t>
  </si>
  <si>
    <t xml:space="preserve">KARNI-BRAC-ALPHA-DA-RED</t>
  </si>
  <si>
    <t xml:space="preserve">KARNI-BRAC-ALPHA-DA-TURQUOISE</t>
  </si>
  <si>
    <t xml:space="preserve">KARNI-BRAC-ALPHA-DA-WHITE</t>
  </si>
  <si>
    <t xml:space="preserve">KARNI-BRAC-ALPHA-YECH-RED</t>
  </si>
  <si>
    <t xml:space="preserve">KARNI-BRAC-ALPHA-YECH-TURQUOISE</t>
  </si>
  <si>
    <t xml:space="preserve">KARNI-BRAC-ALPHA-YECH-WHITE</t>
  </si>
  <si>
    <t xml:space="preserve">KARNI-BRAC-ALPHA-ZA-RED</t>
  </si>
  <si>
    <t xml:space="preserve">KARNI-BRAC-ALPHA-ZA-TURQUOISE</t>
  </si>
  <si>
    <t xml:space="preserve">KARNI-BRAC-ALPHA-ZA-WHITE</t>
  </si>
  <si>
    <t xml:space="preserve">KARNI-BRAC-ALPHA-E-RED</t>
  </si>
  <si>
    <t xml:space="preserve">KARNI-BRAC-ALPHA-E-TURQUOISE</t>
  </si>
  <si>
    <t xml:space="preserve">KARNI-BRAC-ALPHA-E-WHITE</t>
  </si>
  <si>
    <t xml:space="preserve">KARNI-BRAC-ALPHA-YT-RED</t>
  </si>
  <si>
    <t xml:space="preserve">KARNI-BRAC-ALPHA-YT-TURQUOISE</t>
  </si>
  <si>
    <t xml:space="preserve">KARNI-BRAC-ALPHA-YT-WHITE</t>
  </si>
  <si>
    <t xml:space="preserve">KARNI-BRAC-ALPHA-TO-RED</t>
  </si>
  <si>
    <t xml:space="preserve">KARNI-BRAC-ALPHA-TO-TURQUOISE</t>
  </si>
  <si>
    <t xml:space="preserve">KARNI-BRAC-ALPHA-TO-WHITE</t>
  </si>
  <si>
    <t xml:space="preserve">KARNI-BRAC-ALPHA-ZHE-RED</t>
  </si>
  <si>
    <t xml:space="preserve">KARNI-BRAC-ALPHA-ZHE-TURQUOISE</t>
  </si>
  <si>
    <t xml:space="preserve">KARNI-BRAC-ALPHA-ZHE-WHITE</t>
  </si>
  <si>
    <t xml:space="preserve">KARNI-BRAC-ALPHA-INI-RED</t>
  </si>
  <si>
    <t xml:space="preserve">KARNI-BRAC-ALPHA-INI-TURQUOISE</t>
  </si>
  <si>
    <t xml:space="preserve">KARNI-BRAC-ALPHA-INI-WHITE</t>
  </si>
  <si>
    <t xml:space="preserve">KARNI-BRAC-ALPHA-LYUN-RED</t>
  </si>
  <si>
    <t xml:space="preserve">KARNI-BRAC-ALPHA-LYUN-TURQUOISE</t>
  </si>
  <si>
    <t xml:space="preserve">KARNI-BRAC-ALPHA-LYUN-WHITE</t>
  </si>
  <si>
    <t xml:space="preserve">KARNI-BRAC-ALPHA-KHE-RED</t>
  </si>
  <si>
    <t xml:space="preserve">KARNI-BRAC-ALPHA-KHE-TURQUOISE</t>
  </si>
  <si>
    <t xml:space="preserve">KARNI-BRAC-ALPHA-KHE-WHITE</t>
  </si>
  <si>
    <t xml:space="preserve">KARNI-BRAC-ALPHA-TSA-RED</t>
  </si>
  <si>
    <t xml:space="preserve">KARNI-BRAC-ALPHA-TSA-TURQUOISE</t>
  </si>
  <si>
    <t xml:space="preserve">KARNI-BRAC-ALPHA-TSA-WHITE</t>
  </si>
  <si>
    <t xml:space="preserve">KARNI-BRAC-ALPHA-KEN-RED</t>
  </si>
  <si>
    <t xml:space="preserve">KARNI-BRAC-ALPHA-KEN-TURQUOISE</t>
  </si>
  <si>
    <t xml:space="preserve">KARNI-BRAC-ALPHA-KEN-WHITE</t>
  </si>
  <si>
    <t xml:space="preserve">KARNI-BRAC-ALPHA-HO-RED</t>
  </si>
  <si>
    <t xml:space="preserve">KARNI-BRAC-ALPHA-HO-TURQUOISE</t>
  </si>
  <si>
    <t xml:space="preserve">KARNI-BRAC-ALPHA-HO-WHITE</t>
  </si>
  <si>
    <t xml:space="preserve">KARNI-BRAC-ALPHA-DZA-RED</t>
  </si>
  <si>
    <t xml:space="preserve">KARNI-BRAC-ALPHA-DZA-TURQUOISE</t>
  </si>
  <si>
    <t xml:space="preserve">KARNI-BRAC-ALPHA-DZA-WHITE</t>
  </si>
  <si>
    <t xml:space="preserve">KARNI-BRAC-ALPHA-GHAT-RED</t>
  </si>
  <si>
    <t xml:space="preserve">KARNI-BRAC-ALPHA-GHAT-TURQUOISE</t>
  </si>
  <si>
    <t xml:space="preserve">KARNI-BRAC-ALPHA-GHAT-WHITE</t>
  </si>
  <si>
    <t xml:space="preserve">KARNI-BRAC-ALPHA-CHEH-RED</t>
  </si>
  <si>
    <t xml:space="preserve">KARNI-BRAC-ALPHA-CHEH-TURQUOISE</t>
  </si>
  <si>
    <t xml:space="preserve">KARNI-BRAC-ALPHA-CHEH-WHITE</t>
  </si>
  <si>
    <t xml:space="preserve">KARNI-BRAC-ALPHA-MEN-RED</t>
  </si>
  <si>
    <t xml:space="preserve">KARNI-BRAC-ALPHA-MEN-TURQUOISE</t>
  </si>
  <si>
    <t xml:space="preserve">KARNI-BRAC-ALPHA-MEN-WHITE</t>
  </si>
  <si>
    <t xml:space="preserve">KARNI-BRAC-ALPHA-HI-RED</t>
  </si>
  <si>
    <t xml:space="preserve">KARNI-BRAC-ALPHA-HI-TURQUOISE</t>
  </si>
  <si>
    <t xml:space="preserve">KARNI-BRAC-ALPHA-HI-WHITE</t>
  </si>
  <si>
    <t xml:space="preserve">KARNI-BRAC-ALPHA-NU-RED</t>
  </si>
  <si>
    <t xml:space="preserve">KARNI-BRAC-ALPHA-NU-TURQUOISE</t>
  </si>
  <si>
    <t xml:space="preserve">KARNI-BRAC-ALPHA-NU-WHITE</t>
  </si>
  <si>
    <t xml:space="preserve">KARNI-BRAC-ALPHA-SHA-RED</t>
  </si>
  <si>
    <t xml:space="preserve">KARNI-BRAC-ALPHA-SHA-TURQUOISE</t>
  </si>
  <si>
    <t xml:space="preserve">KARNI-BRAC-ALPHA-SHA-WHITE</t>
  </si>
  <si>
    <t xml:space="preserve">KARNI-BRAC-ALPHA-VO-RED</t>
  </si>
  <si>
    <t xml:space="preserve">KARNI-BRAC-ALPHA-VO-TURQUOISE</t>
  </si>
  <si>
    <t xml:space="preserve">KARNI-BRAC-ALPHA-VO-WHITE</t>
  </si>
  <si>
    <t xml:space="preserve">KARNI-BRAC-ALPHA-CHA-RED</t>
  </si>
  <si>
    <t xml:space="preserve">KARNI-BRAC-ALPHA-CHA-TURQUOISE</t>
  </si>
  <si>
    <t xml:space="preserve">KARNI-BRAC-ALPHA-CHA-WHITE</t>
  </si>
  <si>
    <t xml:space="preserve">KARNI-BRAC-ALPHA-PEH-RED</t>
  </si>
  <si>
    <t xml:space="preserve">KARNI-BRAC-ALPHA-PEH-TURQUOISE</t>
  </si>
  <si>
    <t xml:space="preserve">KARNI-BRAC-ALPHA-PEH-WHITE</t>
  </si>
  <si>
    <t xml:space="preserve">KARNI-BRAC-ALPHA-JHEH-RED</t>
  </si>
  <si>
    <t xml:space="preserve">KARNI-BRAC-ALPHA-JHEH-TURQUOISE</t>
  </si>
  <si>
    <t xml:space="preserve">KARNI-BRAC-ALPHA-JHEH-WHITE</t>
  </si>
  <si>
    <t xml:space="preserve">KARNI-BRAC-ALPHA-RA-RED</t>
  </si>
  <si>
    <t xml:space="preserve">KARNI-BRAC-ALPHA-RA-TURQUOISE</t>
  </si>
  <si>
    <t xml:space="preserve">KARNI-BRAC-ALPHA-RA-WHITE</t>
  </si>
  <si>
    <t xml:space="preserve">KARNI-BRAC-ALPHA-SEH-RED</t>
  </si>
  <si>
    <t xml:space="preserve">KARNI-BRAC-ALPHA-SEH-TURQUOISE</t>
  </si>
  <si>
    <t xml:space="preserve">KARNI-BRAC-ALPHA-SEH-WHITE</t>
  </si>
  <si>
    <t xml:space="preserve">KARNI-BRAC-ALPHA-VEV-RED</t>
  </si>
  <si>
    <t xml:space="preserve">KARNI-BRAC-ALPHA-VEV-TURQUOISE</t>
  </si>
  <si>
    <t xml:space="preserve">KARNI-BRAC-ALPHA-VEV-WHITE</t>
  </si>
  <si>
    <t xml:space="preserve">KARNI-BRAC-ALPHA-TYUN-RED</t>
  </si>
  <si>
    <t xml:space="preserve">KARNI-BRAC-ALPHA-TYUN-TURQUOISE</t>
  </si>
  <si>
    <t xml:space="preserve">KARNI-BRAC-ALPHA-TYUN-WHITE</t>
  </si>
  <si>
    <t xml:space="preserve">KARNI-BRAC-ALPHA-REH-RED</t>
  </si>
  <si>
    <t xml:space="preserve">KARNI-BRAC-ALPHA-REH-TURQUOISE</t>
  </si>
  <si>
    <t xml:space="preserve">KARNI-BRAC-ALPHA-REH-WHITE</t>
  </si>
  <si>
    <t xml:space="preserve">KARNI-BRAC-ALPHA-TSO-RED</t>
  </si>
  <si>
    <t xml:space="preserve">KARNI-BRAC-ALPHA-TSO-TURQUOISE</t>
  </si>
  <si>
    <t xml:space="preserve">KARNI-BRAC-ALPHA-TSO-WHITE</t>
  </si>
  <si>
    <t xml:space="preserve">KARNI-BRAC-ALPHA-VYUN-RED</t>
  </si>
  <si>
    <t xml:space="preserve">KARNI-BRAC-ALPHA-VYUN-TURQUOISE</t>
  </si>
  <si>
    <t xml:space="preserve">KARNI-BRAC-ALPHA-VYUN-WHITE</t>
  </si>
  <si>
    <t xml:space="preserve">KARNI-BRAC-ALPHA-PYUR-RED</t>
  </si>
  <si>
    <t xml:space="preserve">KARNI-BRAC-ALPHA-PYUR-TURQUOISE</t>
  </si>
  <si>
    <t xml:space="preserve">KARNI-BRAC-ALPHA-PYUR-WHITE</t>
  </si>
  <si>
    <t xml:space="preserve">KARNI-BRAC-ALPHA-QEH-RED</t>
  </si>
  <si>
    <t xml:space="preserve">KARNI-BRAC-ALPHA-QEH-TURQUOISE</t>
  </si>
  <si>
    <t xml:space="preserve">KARNI-BRAC-ALPHA-QEH-WHITE</t>
  </si>
  <si>
    <t xml:space="preserve">KARNI-BRAC-ALPHA-OH-RED</t>
  </si>
  <si>
    <t xml:space="preserve">KARNI-BRAC-ALPHA-OH-TURQUOISE</t>
  </si>
  <si>
    <t xml:space="preserve">KARNI-BRAC-ALPHA-OH-WHITE</t>
  </si>
  <si>
    <t xml:space="preserve">KARNI-BRAC-ALPHA-FEH-RED</t>
  </si>
  <si>
    <t xml:space="preserve">KARNI-BRAC-ALPHA-FEH-TURQUOISE</t>
  </si>
  <si>
    <t xml:space="preserve">KARNI-BRAC-ALPHA-FEH-WHITE</t>
  </si>
  <si>
    <t xml:space="preserve">KARNI-BRCH-ALPHA-AYB-TURQUOISE</t>
  </si>
  <si>
    <t xml:space="preserve">KARNI-BRCH-ALPHA-BEN-TURQUOISE</t>
  </si>
  <si>
    <t xml:space="preserve">KARNI-BRCH-ALPHA-GIM-TURQUOISE</t>
  </si>
  <si>
    <t xml:space="preserve">KARNI-BRCH-ALPHA-DA-TURQUOISE</t>
  </si>
  <si>
    <t xml:space="preserve">KARNI-BRCH-ALPHA-YECH-TURQUOISE</t>
  </si>
  <si>
    <t xml:space="preserve">KARNI-BRCH-ALPHA-ZA-TURQUOISE</t>
  </si>
  <si>
    <t xml:space="preserve">KARNI-BRCH-ALPHA-E-TURQUOISE</t>
  </si>
  <si>
    <t xml:space="preserve">KARNI-BRCH-ALPHA-YT-TURQUOISE</t>
  </si>
  <si>
    <t xml:space="preserve">KARNI-BRCH-ALPHA-TO-TURQUOISE</t>
  </si>
  <si>
    <t xml:space="preserve">KARNI-BRCH-ALPHA-ZHE-TURQUOISE</t>
  </si>
  <si>
    <t xml:space="preserve">KARNI-BRCH-ALPHA-INI-TURQUOISE</t>
  </si>
  <si>
    <t xml:space="preserve">KARNI-BRCH-ALPHA-LYUN-TURQUOISE</t>
  </si>
  <si>
    <t xml:space="preserve">KARNI-BRCH-ALPHA-KHE-TURQUOISE</t>
  </si>
  <si>
    <t xml:space="preserve">KARNI-BRCH-ALPHA-TSA-TURQUOISE</t>
  </si>
  <si>
    <t xml:space="preserve">KARNI-BRCH-ALPHA-KEN-TURQUOISE</t>
  </si>
  <si>
    <t xml:space="preserve">KARNI-BRCH-ALPHA-HO-TURQUOISE</t>
  </si>
  <si>
    <t xml:space="preserve">KARNI-BRCH-ALPHA-DZA-TURQUOISE</t>
  </si>
  <si>
    <t xml:space="preserve">KARNI-BRCH-ALPHA-GHAT-TURQUOISE</t>
  </si>
  <si>
    <t xml:space="preserve">KARNI-BRCH-ALPHA-CHEH-TURQUOISE</t>
  </si>
  <si>
    <t xml:space="preserve">KARNI-BRCH-ALPHA-MEN-TURQUOISE</t>
  </si>
  <si>
    <t xml:space="preserve">KARNI-BRCH-ALPHA-HI-TURQUOISE</t>
  </si>
  <si>
    <t xml:space="preserve">KARNI-BRCH-ALPHA-NU-TURQUOISE</t>
  </si>
  <si>
    <t xml:space="preserve">KARNI-BRCH-ALPHA-SHA-TURQUOISE</t>
  </si>
  <si>
    <t xml:space="preserve">KARNI-BRCH-ALPHA-VO-TURQUOISE</t>
  </si>
  <si>
    <t xml:space="preserve">KARNI-BRCH-ALPHA-CHA-TURQUOISE</t>
  </si>
  <si>
    <t xml:space="preserve">KARNI-BRCH-ALPHA-PEH-TURQUOISE</t>
  </si>
  <si>
    <t xml:space="preserve">KARNI-BRCH-ALPHA-JHEH-TURQUOISE</t>
  </si>
  <si>
    <t xml:space="preserve">KARNI-BRCH-ALPHA-RA-TURQUOISE</t>
  </si>
  <si>
    <t xml:space="preserve">KARNI-BRCH-ALPHA-SEH-TURQUOISE</t>
  </si>
  <si>
    <t xml:space="preserve">KARNI-BRCH-ALPHA-VEV-TURQUOISE</t>
  </si>
  <si>
    <t xml:space="preserve">KARNI-BRCH-ALPHA-TYUN-TURQUOISE</t>
  </si>
  <si>
    <t xml:space="preserve">KARNI-BRCH-ALPHA-REH-TURQUOISE</t>
  </si>
  <si>
    <t xml:space="preserve">KARNI-BRCH-ALPHA-TSO-TURQUOISE</t>
  </si>
  <si>
    <t xml:space="preserve">KARNI-BRCH-ALPHA-VYUN-TURQUOISE</t>
  </si>
  <si>
    <t xml:space="preserve">KARNI-BRCH-ALPHA-PYUR-TURQUOISE</t>
  </si>
  <si>
    <t xml:space="preserve">KARNI-BRCH-ALPHA-QEH-TURQUOISE</t>
  </si>
  <si>
    <t xml:space="preserve">KARNI-BRCH-ALPHA-OH-TURQUOISE</t>
  </si>
  <si>
    <t xml:space="preserve">KARNI-BRCH-ALPHA-FEH-TURQUOISE</t>
  </si>
  <si>
    <t xml:space="preserve">KARNI-EARRNG-MARASH-S-BLUE</t>
  </si>
  <si>
    <t xml:space="preserve">small</t>
  </si>
  <si>
    <t xml:space="preserve">blue</t>
  </si>
  <si>
    <t xml:space="preserve">KARNI-EARRNG-MARASH-S-WHITE</t>
  </si>
  <si>
    <t xml:space="preserve">KARNI-EARRNG-MARASH-S-BORDEAUX</t>
  </si>
  <si>
    <t xml:space="preserve">bordeaux</t>
  </si>
  <si>
    <t xml:space="preserve">KARNI-EARRNG-MARASH-S-TURQUOISE</t>
  </si>
  <si>
    <t xml:space="preserve">KARNI-EARRNG-MARASH-S-GREEN</t>
  </si>
  <si>
    <t xml:space="preserve">green</t>
  </si>
  <si>
    <t xml:space="preserve">KARNI-EARRNG-MARASH-M-BLUE-WHITE</t>
  </si>
  <si>
    <t xml:space="preserve">medium</t>
  </si>
  <si>
    <t xml:space="preserve">blue-white</t>
  </si>
  <si>
    <t xml:space="preserve">KARNI-EARRNG-MARASH-M-WHITE-BLUE</t>
  </si>
  <si>
    <t xml:space="preserve">white-blue</t>
  </si>
  <si>
    <t xml:space="preserve">KARNI-EARRNG-MARASH-M-WHITE-BORDEAUX</t>
  </si>
  <si>
    <t xml:space="preserve">white-bordeaux</t>
  </si>
  <si>
    <t xml:space="preserve">KARNI-EARRNG-MARASH-M-TURQUOISE-BLUE</t>
  </si>
  <si>
    <t xml:space="preserve">turquoise-blue</t>
  </si>
  <si>
    <t xml:space="preserve">KARNI-EARRNG-VAN-S-BLUE</t>
  </si>
  <si>
    <t xml:space="preserve">KARNI-EARRNG-VAN-S-WHITE</t>
  </si>
  <si>
    <t xml:space="preserve">KARNI-EARRNG-VAN-S-BORDEAUX</t>
  </si>
  <si>
    <t xml:space="preserve">KARNI-EARRNG-VAN-S-TURQUOISE</t>
  </si>
  <si>
    <t xml:space="preserve">KARNI-EARRNG-VAN-S-GREEN</t>
  </si>
  <si>
    <t xml:space="preserve">KARNI-EARRNG-VAN-M-WHITE</t>
  </si>
  <si>
    <t xml:space="preserve">KARNI-EARRNG-VAN-M-TURQUOISE</t>
  </si>
  <si>
    <t xml:space="preserve">KARNI-EARRNG-VAN-M-CAMEL</t>
  </si>
  <si>
    <t xml:space="preserve">camel</t>
  </si>
  <si>
    <t xml:space="preserve">KARNI-EARRNG-VAN-M-BLUE</t>
  </si>
  <si>
    <t xml:space="preserve">KARNI-EARRNG-ARTSAKHKHACH-S-BLUE</t>
  </si>
  <si>
    <t xml:space="preserve">KARNI-EARRNG-ARTSAKHKHACH-S-WHITE-RED-DOT</t>
  </si>
  <si>
    <t xml:space="preserve">white red dot</t>
  </si>
  <si>
    <t xml:space="preserve">KARNI-EARRNG-ARTSAKHKHACH-S-WHITE-BLUE-DOT</t>
  </si>
  <si>
    <t xml:space="preserve">white blue dot</t>
  </si>
  <si>
    <t xml:space="preserve">KARNI-EARRNG-ARTSAKHKHACH-S-BORDEAUX</t>
  </si>
  <si>
    <t xml:space="preserve">KARNI-EARRNG-ARTSAKHKHACH-S-TURQUOISE</t>
  </si>
  <si>
    <t xml:space="preserve">KARNI-EARRNG-ARTSAKHKHACH-S-GREEN</t>
  </si>
  <si>
    <t xml:space="preserve">KARNI-EARRNG-ARTSAKHKHACH-M-BLUE-WHITE-RED</t>
  </si>
  <si>
    <t xml:space="preserve">blue-white-red</t>
  </si>
  <si>
    <t xml:space="preserve">KARNI-EARRNG-ARTSAKHKHACH-M-TURQUOISE-BLUE-WHITE</t>
  </si>
  <si>
    <t xml:space="preserve">turquoise-blue-white</t>
  </si>
  <si>
    <t xml:space="preserve">KARNI-EARRNG-ARTSAKHKHACH-M-WHITE-BORDEAUX-BLUE</t>
  </si>
  <si>
    <t xml:space="preserve">white-bordeaux-blue</t>
  </si>
  <si>
    <t xml:space="preserve">KARNI-EARRNG-ARTSAKHKHACH-M-BLUE-WHITE-YELLOW</t>
  </si>
  <si>
    <t xml:space="preserve">blue-white-yellow</t>
  </si>
  <si>
    <t xml:space="preserve">KARNI-EARRNG-VISHAB-S-BLUE</t>
  </si>
  <si>
    <t xml:space="preserve">KARNI-EARRNG-VISHAB-S-WHITE</t>
  </si>
  <si>
    <t xml:space="preserve">KARNI-EARRNG-VISHAB-S-BORDEAUX</t>
  </si>
  <si>
    <t xml:space="preserve">KARNI-EARRNG-VISHAB-S-TURQUOISE</t>
  </si>
  <si>
    <t xml:space="preserve">KARNI-EARRNG-VISHAB-S-GREEN</t>
  </si>
  <si>
    <t xml:space="preserve">KARNI-EARRNG-VISHAB-M-WHITE-BLUE</t>
  </si>
  <si>
    <t xml:space="preserve">KARNI-EARRNG-VISHAB-M-WHITE-BORDEAUX</t>
  </si>
  <si>
    <t xml:space="preserve">KARNI-EARRNG-VISHAB-M-TURQUOISE-BLUE</t>
  </si>
  <si>
    <t xml:space="preserve">KARNI-EARRNG-VISHAB-M-BLUE-RED</t>
  </si>
  <si>
    <t xml:space="preserve">blue-red</t>
  </si>
  <si>
    <t xml:space="preserve">KARNI-EARRNG-VISHABAREVAGORG-S-BLUE</t>
  </si>
  <si>
    <t xml:space="preserve">KARNI-EARRNG-VISHABAREVAGORG-S-WHITE</t>
  </si>
  <si>
    <t xml:space="preserve">KARNI-EARRNG-VISHABAREVAGORG-S-BORDEAUX</t>
  </si>
  <si>
    <t xml:space="preserve">KARNI-EARRNG-VISHABAREVAGORG-S-TURQUOISE</t>
  </si>
  <si>
    <t xml:space="preserve">KARNI-EARRNG-VISHABAREVAGORG-S-GREEN</t>
  </si>
  <si>
    <t xml:space="preserve">KARNI-EARRNG-VISHABAREVAGORG-M-WHITE-BLUE-YELLOW</t>
  </si>
  <si>
    <t xml:space="preserve">white-blue-yellow</t>
  </si>
  <si>
    <t xml:space="preserve">KARNI-EARRNG-VISHABAREVAGORG-M-WHITE-BORDEAUX-GREEN</t>
  </si>
  <si>
    <t xml:space="preserve">white-bordeaux-green</t>
  </si>
  <si>
    <t xml:space="preserve">KARNI-EARRNG-VISHABAREVAGORG-M-BLUE-BORDEAUX-WHITE</t>
  </si>
  <si>
    <t xml:space="preserve">blue-bordeaux-white</t>
  </si>
  <si>
    <t xml:space="preserve">KARNI-EARRNG-VISHABAREVAGORG-M-WHITE-BLUE-RED</t>
  </si>
  <si>
    <t xml:space="preserve">white-blue-red</t>
  </si>
  <si>
    <t xml:space="preserve">KARNI-EARRNG2-MARASH-BLUE-WHITE</t>
  </si>
  <si>
    <t xml:space="preserve">KARNI-EARRNG2-MARASH-WHITE-BLUE</t>
  </si>
  <si>
    <t xml:space="preserve">KARNI-EARRNG2-MARASH-WHITE-BORDEAUX</t>
  </si>
  <si>
    <t xml:space="preserve">KARNI-EARRNG2-MARASH-TURQUOISE-BLUE</t>
  </si>
  <si>
    <t xml:space="preserve">KARNI-EARRNG2-VISHAB-BLUE-WHITE</t>
  </si>
  <si>
    <t xml:space="preserve">KARNI-EARRNG2-VISHAB-BLUE-RED</t>
  </si>
  <si>
    <t xml:space="preserve">KARNI-EARRNG2-VISHAB-WHITE-BORDEAUX</t>
  </si>
  <si>
    <t xml:space="preserve">KARNI-EARRNG2-VISHAB-TURQUOISE-BLUE</t>
  </si>
  <si>
    <t xml:space="preserve">KARNI-EARRNG2-VAN-WHITE</t>
  </si>
  <si>
    <t xml:space="preserve">KARNI-EARRNG2-VAN-BLUE</t>
  </si>
  <si>
    <t xml:space="preserve">KARNI-EARRNG2-VAN-CAMEL</t>
  </si>
  <si>
    <t xml:space="preserve">KARNI-EARRNG2-VAN-TURQUOISE</t>
  </si>
  <si>
    <t xml:space="preserve">KARNI-EARRNG2-ARTSAKHIKHACHANAKHSH-BLUE-BORDEAUX</t>
  </si>
  <si>
    <t xml:space="preserve">blue-bordeaux</t>
  </si>
  <si>
    <t xml:space="preserve">KARNI-EARRNG2-VISHABAREVAGORG-WHITE-BLUE-YELLOW</t>
  </si>
  <si>
    <t xml:space="preserve">KARNI-EARRNG2-VISHABAREVAGORG-WHITE-BLUE-RED</t>
  </si>
  <si>
    <t xml:space="preserve">KARNI-EARRNG2-VISHABAREVAGORG-WHITE-BORDEAUX-GREEN</t>
  </si>
  <si>
    <t xml:space="preserve">KARNI-EARRNG2-VISHABAREVAGORG-BLUE-BORDEAUX-WHITE</t>
  </si>
  <si>
    <t xml:space="preserve">KARNI-EARRNG-MARASH-L-WHITE-BORDEAUX</t>
  </si>
  <si>
    <t xml:space="preserve">large</t>
  </si>
  <si>
    <t xml:space="preserve">KARNI-EARRNG-MARASH-L-BLUE-WHITE</t>
  </si>
  <si>
    <t xml:space="preserve">KARNI-EARRNG-MARASH-L-WHITE-GOLDEN</t>
  </si>
  <si>
    <t xml:space="preserve">white-golden</t>
  </si>
  <si>
    <t xml:space="preserve">KARNI-RING-MARASH-S-BLUE</t>
  </si>
  <si>
    <t xml:space="preserve">KARNI-RING-MARASH-S-WHITE</t>
  </si>
  <si>
    <t xml:space="preserve">KARNI-RING-MARASH-S-BORDEAUX</t>
  </si>
  <si>
    <t xml:space="preserve">KARNI-RING-MARASH-S-TURQUOISE</t>
  </si>
  <si>
    <t xml:space="preserve">KARNI-RING-MARASH-S-GREEN</t>
  </si>
  <si>
    <t xml:space="preserve">KARNI-RING-VAN-S-BLUE</t>
  </si>
  <si>
    <t xml:space="preserve">KARNI-RING-VAN-S-WHITE</t>
  </si>
  <si>
    <t xml:space="preserve">KARNI-RING-VAN-S-BORDEAUX</t>
  </si>
  <si>
    <t xml:space="preserve">KARNI-RING-VAN-S-TURQUOISE</t>
  </si>
  <si>
    <t xml:space="preserve">KARNI-RING-VAN-S-GREEN</t>
  </si>
  <si>
    <t xml:space="preserve">KARNI-RING-VISHABAREVAGORG-S-BLUE</t>
  </si>
  <si>
    <t xml:space="preserve">KARNI-RING-VISHABAREVAGORG-S-WHITE</t>
  </si>
  <si>
    <t xml:space="preserve">KARNI-RING-VISHABAREVAGORG-S-BORDEAUX</t>
  </si>
  <si>
    <t xml:space="preserve">KARNI-RING-VISHABAREVAGORG-S-TURQUOISE</t>
  </si>
  <si>
    <t xml:space="preserve">KARNI-RING-VISHABAREVAGORG-S-GREEN</t>
  </si>
  <si>
    <t xml:space="preserve">KARNI-RING-VISHAB-S-BLUE</t>
  </si>
  <si>
    <t xml:space="preserve">KARNI-RING-VISHAB-S-WHITE</t>
  </si>
  <si>
    <t xml:space="preserve">KARNI-RING-VISHAB-S-BORDEAUX</t>
  </si>
  <si>
    <t xml:space="preserve">KARNI-RING-VISHAB-S-TURQUOISE</t>
  </si>
  <si>
    <t xml:space="preserve">KARNI-RING-VISHAB-S-GREEN</t>
  </si>
  <si>
    <t xml:space="preserve">KARNI-RING-ARTSAKHIKHACHANAKHSH-S-BLUE</t>
  </si>
  <si>
    <t xml:space="preserve">KARNI-RING-ARTSAKHIKHACHANAKHSH-S-WHITE</t>
  </si>
  <si>
    <t xml:space="preserve">KARNI-RING-ARTSAKHIKHACHANAKHSH-S-BORDEAUX</t>
  </si>
  <si>
    <t xml:space="preserve">KARNI-RING-ARTSAKHIKHACHANAKHSH-S-TURQUOISE</t>
  </si>
  <si>
    <t xml:space="preserve">KARNI-RING-ARTSAKHIKHACHANAKHSH-S-GREEN</t>
  </si>
  <si>
    <t xml:space="preserve">KARNI-RING-ARTSAKHIKHACHANAKHSH-S-WHITE-RED</t>
  </si>
  <si>
    <t xml:space="preserve">white-red</t>
  </si>
  <si>
    <t xml:space="preserve">KARNI-RING-ARTSAKHIKHACHANAKHSH-S-WHITE-BLUE</t>
  </si>
  <si>
    <t xml:space="preserve">KARNI-RINGTWIN-MARASH-WHITE-BLUE</t>
  </si>
  <si>
    <t xml:space="preserve">KARNI-RINGTWIN-MARASH-WHITE-BORDEAUX</t>
  </si>
  <si>
    <t xml:space="preserve">KARNI-RINGTWIN-MARASH-WHITE-TURQUOISE</t>
  </si>
  <si>
    <t xml:space="preserve">white-turquoise</t>
  </si>
  <si>
    <t xml:space="preserve">KARNI-RINGTWIN-MARASH-WHITE-GREEN</t>
  </si>
  <si>
    <t xml:space="preserve">white-green</t>
  </si>
  <si>
    <t xml:space="preserve">KARNI-RINGTWIN-VAN-WHITE-BLUE</t>
  </si>
  <si>
    <t xml:space="preserve">KARNI-RINGTWIN-VAN-WHITE-BORDEAUX</t>
  </si>
  <si>
    <t xml:space="preserve">KARNI-RINGTWIN-VAN-WHITE-TURQUOISE</t>
  </si>
  <si>
    <t xml:space="preserve">KARNI-RINGTWIN-VAN-WHITE-GREEN</t>
  </si>
  <si>
    <t xml:space="preserve">KARNI-RINGTWIN-VISHAB-WHITE-BLUE</t>
  </si>
  <si>
    <t xml:space="preserve">KARNI-RINGTWIN-VISHAB-WHITE-BORDEAUX</t>
  </si>
  <si>
    <t xml:space="preserve">KARNI-RINGTWIN-VISHAB-WHITE-TURQUOISE</t>
  </si>
  <si>
    <t xml:space="preserve">KARNI-RINGTWIN-VISHAB-WHITE-GREEN</t>
  </si>
  <si>
    <t xml:space="preserve">KARNI-RING-VAN-M-BLUE</t>
  </si>
  <si>
    <t xml:space="preserve">KARNI-RING-VAN-M-WHITE</t>
  </si>
  <si>
    <t xml:space="preserve">KARNI-RING-VAN-M-CAMEL</t>
  </si>
  <si>
    <t xml:space="preserve">KARNI-RING-VAN-M-TURQUOISE</t>
  </si>
  <si>
    <t xml:space="preserve">KARNI-RING-MARASH-M-BLUE-WHITE</t>
  </si>
  <si>
    <t xml:space="preserve">KARNI-RING-MARASH-M-WHITE-BLUE</t>
  </si>
  <si>
    <t xml:space="preserve">KARNI-RING-MARASH-M-WHITE-BORDEAUX</t>
  </si>
  <si>
    <t xml:space="preserve">KARNI-RING-MARASH-M-TURQUOISE-BLUE</t>
  </si>
  <si>
    <t xml:space="preserve">KARNI-RING-ARTSAKHIKHACHANAKHSH-M-BLUE-WHITE</t>
  </si>
  <si>
    <t xml:space="preserve">KARNI-RING-ARTSAKHIKHACHANAKHSH-M-WHITE-BLUE</t>
  </si>
  <si>
    <t xml:space="preserve">KARNI-RING-ARTSAKHIKHACHANAKHSH-M-BLUE-BORDEAUX</t>
  </si>
  <si>
    <t xml:space="preserve">KARNI-RING-ARTSAKHIKHACHANAKHSH-M-TURQUOISE</t>
  </si>
  <si>
    <t xml:space="preserve">KARNI-RING-VISHAB-M-BLUE-RED</t>
  </si>
  <si>
    <t xml:space="preserve">KARNI-RING-VISHAB-M-WHITE-BLUE</t>
  </si>
  <si>
    <t xml:space="preserve">KARNI-RING-VISHAB-M-WHITE-BORDEAUX</t>
  </si>
  <si>
    <t xml:space="preserve">KARNI-RING-VISHAB-M-TURQUOISE-BLUE</t>
  </si>
  <si>
    <t xml:space="preserve">KARNI-RING-VISHABAREVAGORG-M-WHITE-BLUE-RED</t>
  </si>
  <si>
    <t xml:space="preserve">KARNI-RING-VISHABAREVAGORG-M-WHITE-BLUE-YELLOW</t>
  </si>
  <si>
    <t xml:space="preserve">KARNI-RING-VISHABAREVAGORG-M-WHITE-BORDEAUX-GREEN</t>
  </si>
  <si>
    <t xml:space="preserve">KARNI-RING-VISHABAREVAGORG-M-BLUE-BORDEAUX-WHITE</t>
  </si>
  <si>
    <t xml:space="preserve">KARNI-PEND-MARASH-M-WHITE-BLUE</t>
  </si>
  <si>
    <t xml:space="preserve">KARNI-PEND-MARASH-M-BLUE-WHITE</t>
  </si>
  <si>
    <t xml:space="preserve">KARNI-PEND-MARASH-M-WHITE-BORDEAUX</t>
  </si>
  <si>
    <t xml:space="preserve">KARNI-PEND-MARASH-M-BORDEAUX-WHITE</t>
  </si>
  <si>
    <t xml:space="preserve">bordeaux-white</t>
  </si>
  <si>
    <t xml:space="preserve">KARNI-PEND-VAN-M-WHITE</t>
  </si>
  <si>
    <t xml:space="preserve">KARNI-PEND-VAN-M-BLUE</t>
  </si>
  <si>
    <t xml:space="preserve">KARNI-PEND-VAN-M-CAMEL</t>
  </si>
  <si>
    <t xml:space="preserve">KARNI-PEND-VAN-M-TURQUOISE</t>
  </si>
  <si>
    <t xml:space="preserve">KARNI-PEND-ARTSAKHIKHACHANAKHSH-M-WHITE-BLUE</t>
  </si>
  <si>
    <t xml:space="preserve">KARNI-PEND-ARTSAKHIKHACHANAKHSH-M-BLUE-WHITE</t>
  </si>
  <si>
    <t xml:space="preserve">KARNI-PEND-ARTSAKHIKHACHANAKHSH-M-BLUE-BORDEAUX</t>
  </si>
  <si>
    <t xml:space="preserve">KARNI-PEND-ARTSAKHIKHACHANAKHSH-M-TURQUOISE</t>
  </si>
  <si>
    <t xml:space="preserve">KARNI-PEND-VISHAB-M-WHITE-BLUE</t>
  </si>
  <si>
    <t xml:space="preserve">KARNI-PEND-VISHAB-M-BLUE-RED</t>
  </si>
  <si>
    <t xml:space="preserve">KARNI-PEND-VISHAB-M-WHITE-BORDEAUX</t>
  </si>
  <si>
    <t xml:space="preserve">KARNI-PEND-VISHAB-M-TURQUOISE-BLUE</t>
  </si>
  <si>
    <t xml:space="preserve">KARNI-PEND-VISHABAREVAGORG-M-WHITE-BLUE-YELLOW</t>
  </si>
  <si>
    <t xml:space="preserve">KARNI-PEND-VISHABAREVAGORG-M-WHITE-BLUE-RED</t>
  </si>
  <si>
    <t xml:space="preserve">KARNI-PEND-VISHABAREVAGORG-M-WHITE-BORDEAUX-GREEN</t>
  </si>
  <si>
    <t xml:space="preserve">KARNI-PEND-VISHABAREVAGORG-M-BLUE-BORDEAUX-WHITE</t>
  </si>
  <si>
    <t xml:space="preserve">KARNI-PEND-MARASH-L-WHITE-BLUE</t>
  </si>
  <si>
    <t xml:space="preserve">KARNI-PEND-MARASH-L-WHITE</t>
  </si>
  <si>
    <t xml:space="preserve">KARNI-PEND-MARASH-L-BORDEAUX</t>
  </si>
  <si>
    <t xml:space="preserve">KARNI-PEND-MARASH-L-WHITE-GREEN</t>
  </si>
  <si>
    <t xml:space="preserve">KARNI-PEND-MARASH-L-WHITE-GOLDEN</t>
  </si>
  <si>
    <t xml:space="preserve">KARNI-PEND-MARASH-L-WHITE-TURQUOISE</t>
  </si>
  <si>
    <t xml:space="preserve">KARNI-PEND-VAN-L-BLUE</t>
  </si>
  <si>
    <t xml:space="preserve">KARNI-PEND-ARTSAKHIKHACHANAKHSH-L-WHITE-BLUE</t>
  </si>
  <si>
    <t xml:space="preserve">KARNI-PEND-ARTSAKHIKHACHANAKHSH-L-WHITE-BORDEAUX</t>
  </si>
  <si>
    <t xml:space="preserve">KARNI-PEND-VISHAB-L-WHITE-BLUE</t>
  </si>
  <si>
    <t xml:space="preserve">KARNI-PEND-VISHAB-L-WHITE-BORDEAUX</t>
  </si>
  <si>
    <t xml:space="preserve">KARNI-PEND-VISHABAREVAGORG-L-WHITE</t>
  </si>
  <si>
    <t xml:space="preserve">KARNI-PEND-VISHABAREVAGORG-L-TURQUOISE</t>
  </si>
  <si>
    <t xml:space="preserve">KARNI-CHNECK-MARASH-BLUE</t>
  </si>
  <si>
    <t xml:space="preserve">KARNI-CHNECK-MARASH-WHITE</t>
  </si>
  <si>
    <t xml:space="preserve">KARNI-CHNECK-MARASH-BORDEAUX</t>
  </si>
  <si>
    <t xml:space="preserve">KARNI-CHNECK-MARASH-TURQUOISE</t>
  </si>
  <si>
    <t xml:space="preserve">KARNI-CHNECK-MARASH-GREEN</t>
  </si>
  <si>
    <t xml:space="preserve">KARNI-CHNECK-VAN-BLUE</t>
  </si>
  <si>
    <t xml:space="preserve">KARNI-CHNECK-VAN-WHITE</t>
  </si>
  <si>
    <t xml:space="preserve">KARNI-CHNECK-VAN-BORDEAUX</t>
  </si>
  <si>
    <t xml:space="preserve">KARNI-CHNECK-VAN-TURQUOISE</t>
  </si>
  <si>
    <t xml:space="preserve">KARNI-CHNECK-VAN-GREEN</t>
  </si>
  <si>
    <t xml:space="preserve">KARNI-CHNECK-VISHAB-BLUE</t>
  </si>
  <si>
    <t xml:space="preserve">KARNI-CHNECK-VISHAB-WHITE</t>
  </si>
  <si>
    <t xml:space="preserve">KARNI-CHNECK-VISHAB-BORDEAUX</t>
  </si>
  <si>
    <t xml:space="preserve">KARNI-CHNECK-VISHAB-TURQUOISE</t>
  </si>
  <si>
    <t xml:space="preserve">KARNI-CHNECK-VISHAB-GREEN</t>
  </si>
  <si>
    <t xml:space="preserve">KARNI-CHNECK-VISHABAREVAGORG-BLUE</t>
  </si>
  <si>
    <t xml:space="preserve">KARNI-CHNECK-VISHABAREVAGORG-WHITE</t>
  </si>
  <si>
    <t xml:space="preserve">KARNI-CHNECK-VISHABAREVAGORG-BORDEAUX</t>
  </si>
  <si>
    <t xml:space="preserve">KARNI-CHNECK-VISHABAREVAGORG-TURQUOISE</t>
  </si>
  <si>
    <t xml:space="preserve">KARNI-CHNECK-VISHABAREVAGORG-GREEN</t>
  </si>
  <si>
    <t xml:space="preserve">KARNI-CHNECK-ARTSAKHIKHACHANAKHSH-WHITE</t>
  </si>
  <si>
    <t xml:space="preserve">KARNI-CHNECK-ARTSAKHIKHACHANAKHSH-WHITE-RED</t>
  </si>
  <si>
    <t xml:space="preserve">KARNI-CHNECK-ARTSAKHIKHACHANAKHSH-WHITE-BLUE</t>
  </si>
  <si>
    <t xml:space="preserve">KARNI-CHNECK-ARTSAKHIKHACHANAKHSH-BLUE</t>
  </si>
  <si>
    <t xml:space="preserve">KARNI-CHNECK-ARTSAKHIKHACHANAKHSH-BORDEAUX-GREEN</t>
  </si>
  <si>
    <t xml:space="preserve">bordeaux-green</t>
  </si>
  <si>
    <t xml:space="preserve">KARNI-CHBRAC-ARTSAKHIKHACHANAKHSH-WHITE</t>
  </si>
  <si>
    <t xml:space="preserve">KARNI-CHBRAC-ARTSAKHIKHACHANAKHSH-WHITE-RED</t>
  </si>
  <si>
    <t xml:space="preserve">KARNI-CHBRAC-ARTSAKHIKHACHANAKHSH-WHITE-BLUE</t>
  </si>
  <si>
    <t xml:space="preserve">KARNI-CHBRAC-ARTSAKHIKHACHANAKHSH-BLUE</t>
  </si>
  <si>
    <t xml:space="preserve">KARNI-CHBRAC-ARTSAKHIKHACHANAKHSH-BORDEAUX-GREEN</t>
  </si>
  <si>
    <t xml:space="preserve">KARNI-CHBRAC-MARASH-BLUE</t>
  </si>
  <si>
    <t xml:space="preserve">KARNI-CHBRAC-MARASH-WHITE</t>
  </si>
  <si>
    <t xml:space="preserve">KARNI-CHBRAC-MARASH-BORDEAUX</t>
  </si>
  <si>
    <t xml:space="preserve">KARNI-CHBRAC-MARASH-TURQUOISE</t>
  </si>
  <si>
    <t xml:space="preserve">KARNI-CHBRAC-MARASH-GREEN</t>
  </si>
  <si>
    <t xml:space="preserve">KARNI-CHBRAC-VAN-BLUE</t>
  </si>
  <si>
    <t xml:space="preserve">KARNI-CHBRAC-VAN-WHITE</t>
  </si>
  <si>
    <t xml:space="preserve">KARNI-CHBRAC-VAN-BORDEAUX</t>
  </si>
  <si>
    <t xml:space="preserve">KARNI-CHBRAC-VAN-TURQUOISE</t>
  </si>
  <si>
    <t xml:space="preserve">KARNI-CHBRAC-VAN-GREEN</t>
  </si>
  <si>
    <t xml:space="preserve">KARNI-CHBRAC-VISHAB-BLUE</t>
  </si>
  <si>
    <t xml:space="preserve">KARNI-CHBRAC-VISHAB-WHITE</t>
  </si>
  <si>
    <t xml:space="preserve">KARNI-CHBRAC-VISHAB-BORDEAUX</t>
  </si>
  <si>
    <t xml:space="preserve">KARNI-CHBRAC-VISHAB-TURQUOISE</t>
  </si>
  <si>
    <t xml:space="preserve">KARNI-CHBRAC-VISHAB-GREEN</t>
  </si>
  <si>
    <t xml:space="preserve">KARNI-CHBRAC-VISHABAREVAGORG-BLUE</t>
  </si>
  <si>
    <t xml:space="preserve">KARNI-CHBRAC-VISHABAREVAGORG-WHITE</t>
  </si>
  <si>
    <t xml:space="preserve">KARNI-CHBRAC-VISHABAREVAGORG-BORDEAUX</t>
  </si>
  <si>
    <t xml:space="preserve">KARNI-CHBRAC-VISHABAREVAGORG-TURQUOISE</t>
  </si>
  <si>
    <t xml:space="preserve">KARNI-CHBRAC-VISHABAREVAGORG-GREEN</t>
  </si>
  <si>
    <t xml:space="preserve">Txn ID</t>
  </si>
  <si>
    <t xml:space="preserve">Date</t>
  </si>
  <si>
    <t xml:space="preserve">SKU</t>
  </si>
  <si>
    <t xml:space="preserve">Type</t>
  </si>
  <si>
    <t xml:space="preserve">Channel</t>
  </si>
  <si>
    <t xml:space="preserve">Qty</t>
  </si>
  <si>
    <t xml:space="preserve">Unit price (AMD)</t>
  </si>
  <si>
    <t xml:space="preserve">Line total (AMD)</t>
  </si>
  <si>
    <t xml:space="preserve">Customer</t>
  </si>
  <si>
    <t xml:space="preserve">Order ref</t>
  </si>
  <si>
    <t xml:space="preserve">T0001</t>
  </si>
  <si>
    <t xml:space="preserve">Sale</t>
  </si>
  <si>
    <t xml:space="preserve">Instagram DM</t>
  </si>
  <si>
    <t xml:space="preserve">@customer1</t>
  </si>
  <si>
    <t xml:space="preserve">IG-2210</t>
  </si>
  <si>
    <t xml:space="preserve">T0002</t>
  </si>
  <si>
    <t xml:space="preserve">Cafesjian Center</t>
  </si>
  <si>
    <t xml:space="preserve"> </t>
  </si>
  <si>
    <t xml:space="preserve">T0003</t>
  </si>
  <si>
    <t xml:space="preserve">Restock</t>
  </si>
  <si>
    <t xml:space="preserve">Atelier batch</t>
  </si>
  <si>
    <t xml:space="preserve">Karni Jewellery — Analytics Dashboard</t>
  </si>
  <si>
    <t xml:space="preserve">Live metrics. Update as Variants &amp; Transactions fill in.</t>
  </si>
  <si>
    <t xml:space="preserve">INVENTORY HEALTH</t>
  </si>
  <si>
    <t xml:space="preserve">Total SKUs</t>
  </si>
  <si>
    <t xml:space="preserve">Active SKUs</t>
  </si>
  <si>
    <t xml:space="preserve">Total units in stock</t>
  </si>
  <si>
    <t xml:space="preserve">Stock value at retail (AMD)</t>
  </si>
  <si>
    <t xml:space="preserve">Stock value at cost (AMD)</t>
  </si>
  <si>
    <t xml:space="preserve">SKUs needing reorder</t>
  </si>
  <si>
    <t xml:space="preserve">Out-of-stock SKUs</t>
  </si>
  <si>
    <t xml:space="preserve">SALES PERFORMANCE</t>
  </si>
  <si>
    <t xml:space="preserve">Total units sold</t>
  </si>
  <si>
    <t xml:space="preserve">Total revenue (AMD)</t>
  </si>
  <si>
    <t xml:space="preserve">Total revenue (USD)</t>
  </si>
  <si>
    <t xml:space="preserve">Avg order value (AMD)</t>
  </si>
  <si>
    <t xml:space="preserve"># of sales transactions</t>
  </si>
  <si>
    <t xml:space="preserve">PROFITABILITY</t>
  </si>
  <si>
    <t xml:space="preserve">Avg gross margin %</t>
  </si>
  <si>
    <t xml:space="preserve">Designs with cost data</t>
  </si>
  <si>
    <t xml:space="preserve">REVENUE BY CHANNEL (AMD)</t>
  </si>
  <si>
    <t xml:space="preserve">  Website</t>
  </si>
  <si>
    <t xml:space="preserve">  Instagram DM</t>
  </si>
  <si>
    <t xml:space="preserve">  Cafesjian Center</t>
  </si>
  <si>
    <t xml:space="preserve">  Made By Armenia</t>
  </si>
  <si>
    <t xml:space="preserve">  Matenadaran</t>
  </si>
  <si>
    <t xml:space="preserve">  UMA</t>
  </si>
  <si>
    <t xml:space="preserve">  Megamall</t>
  </si>
  <si>
    <t xml:space="preserve">  Etsy</t>
  </si>
  <si>
    <t xml:space="preserve">  Wholesale</t>
  </si>
  <si>
    <t xml:space="preserve">CATALOG BREAKDOWN</t>
  </si>
  <si>
    <t xml:space="preserve"># SKUs</t>
  </si>
  <si>
    <t xml:space="preserve">Revenue</t>
  </si>
  <si>
    <t xml:space="preserve">Handle</t>
  </si>
  <si>
    <t xml:space="preserve">Title</t>
  </si>
  <si>
    <t xml:space="preserve">Body (HTML)</t>
  </si>
  <si>
    <t xml:space="preserve">Vendor</t>
  </si>
  <si>
    <t xml:space="preserve">Product Category</t>
  </si>
  <si>
    <t xml:space="preserve">Tags</t>
  </si>
  <si>
    <t xml:space="preserve">Published</t>
  </si>
  <si>
    <t xml:space="preserve">Option1 Name</t>
  </si>
  <si>
    <t xml:space="preserve">Option1 Value</t>
  </si>
  <si>
    <t xml:space="preserve">Option2 Name</t>
  </si>
  <si>
    <t xml:space="preserve">Option2 Value</t>
  </si>
  <si>
    <t xml:space="preserve">Variant SKU</t>
  </si>
  <si>
    <t xml:space="preserve">Variant Grams</t>
  </si>
  <si>
    <t xml:space="preserve">Variant Inventory Qty</t>
  </si>
  <si>
    <t xml:space="preserve">Variant Price</t>
  </si>
  <si>
    <t xml:space="preserve">Variant Barcode</t>
  </si>
  <si>
    <t xml:space="preserve">Image Src</t>
  </si>
  <si>
    <t xml:space="preserve">SEO Title</t>
  </si>
  <si>
    <t xml:space="preserve">SEO Description</t>
  </si>
  <si>
    <t xml:space="preserve">Description</t>
  </si>
  <si>
    <t xml:space="preserve">Quantity</t>
  </si>
  <si>
    <t xml:space="preserve">Materials</t>
  </si>
  <si>
    <t xml:space="preserve">Who made it</t>
  </si>
  <si>
    <t xml:space="preserve">When made</t>
  </si>
  <si>
    <t xml:space="preserve">Image URL</t>
  </si>
  <si>
    <t xml:space="preserve">Variation 1 (Color)</t>
  </si>
  <si>
    <t xml:space="preserve">Variation 2 (Size)</t>
  </si>
  <si>
    <t xml:space="preserve">Control lists, FX rates, channels &amp; cleanup log</t>
  </si>
  <si>
    <t xml:space="preserve">Edit these to drive dropdowns &amp; conversions across the workbook.</t>
  </si>
  <si>
    <t xml:space="preserve">Plating</t>
  </si>
  <si>
    <t xml:space="preserve">Txn type</t>
  </si>
  <si>
    <t xml:space="preserve">FX</t>
  </si>
  <si>
    <t xml:space="preserve">1 AMD =</t>
  </si>
  <si>
    <t xml:space="preserve">Cleanup log — field</t>
  </si>
  <si>
    <t xml:space="preserve">From</t>
  </si>
  <si>
    <t xml:space="preserve">To</t>
  </si>
  <si>
    <t xml:space="preserve">Detail</t>
  </si>
  <si>
    <t xml:space="preserve">925 Sterling Silver</t>
  </si>
  <si>
    <t xml:space="preserve">None</t>
  </si>
  <si>
    <t xml:space="preserve">Website</t>
  </si>
  <si>
    <t xml:space="preserve">USD</t>
  </si>
  <si>
    <t xml:space="preserve">Artsakhi khachanakhsh</t>
  </si>
  <si>
    <t xml:space="preserve">10 rows — standardized capitalization</t>
  </si>
  <si>
    <t xml:space="preserve">Out of stock</t>
  </si>
  <si>
    <t xml:space="preserve">Cold</t>
  </si>
  <si>
    <t xml:space="preserve">EUR</t>
  </si>
  <si>
    <t xml:space="preserve">(blank)</t>
  </si>
  <si>
    <t xml:space="preserve">derived from Category + Collection</t>
  </si>
  <si>
    <t xml:space="preserve">170 rows — auto-filled</t>
  </si>
  <si>
    <t xml:space="preserve">14k Gold</t>
  </si>
  <si>
    <t xml:space="preserve">18k Gold Plate</t>
  </si>
  <si>
    <t xml:space="preserve">Cloisonné</t>
  </si>
  <si>
    <t xml:space="preserve">Mixed</t>
  </si>
  <si>
    <t xml:space="preserve">Return</t>
  </si>
  <si>
    <t xml:space="preserve">RUB</t>
  </si>
  <si>
    <t xml:space="preserve">Seasonal</t>
  </si>
  <si>
    <t xml:space="preserve">18k Gold</t>
  </si>
  <si>
    <t xml:space="preserve">Rose Gold Plate</t>
  </si>
  <si>
    <t xml:space="preserve">Champlevé</t>
  </si>
  <si>
    <t xml:space="preserve">Adjustment</t>
  </si>
  <si>
    <t xml:space="preserve">Made By Armenia</t>
  </si>
  <si>
    <t xml:space="preserve">Updated</t>
  </si>
  <si>
    <t xml:space="preserve">2026-05-18</t>
  </si>
  <si>
    <t xml:space="preserve">Archived</t>
  </si>
  <si>
    <t xml:space="preserve">Brass</t>
  </si>
  <si>
    <t xml:space="preserve">Rhodium</t>
  </si>
  <si>
    <t xml:space="preserve">Sample/Gift</t>
  </si>
  <si>
    <t xml:space="preserve">Matenadaran</t>
  </si>
  <si>
    <t xml:space="preserve">Edit blue rate cells when FX moves</t>
  </si>
  <si>
    <t xml:space="preserve">Coming soon</t>
  </si>
  <si>
    <t xml:space="preserve">Brass Gold-Plated</t>
  </si>
  <si>
    <t xml:space="preserve">Oxidized / Antique</t>
  </si>
  <si>
    <t xml:space="preserve">Damage/Loss</t>
  </si>
  <si>
    <t xml:space="preserve">UMA</t>
  </si>
  <si>
    <t xml:space="preserve">Polished</t>
  </si>
  <si>
    <t xml:space="preserve">Megamall</t>
  </si>
  <si>
    <t xml:space="preserve">Matte</t>
  </si>
  <si>
    <t xml:space="preserve">Etsy</t>
  </si>
  <si>
    <t xml:space="preserve">Wholesale</t>
  </si>
  <si>
    <t xml:space="preserve">Other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</si>
</sst>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&quot; ֏&quot;;[RED]\(#,##0&quot; ֏)&quot;;\-"/>
    <numFmt numFmtId="166" formatCode="0.0%;[RED]\(0.0%\);\-"/>
    <numFmt numFmtId="167" formatCode="0.0\x"/>
    <numFmt numFmtId="168" formatCode="\$#,##0.00;[RED]&quot;($&quot;#,##0.00\);\-"/>
    <numFmt numFmtId="169" formatCode="\€#,##0.00;[RED]&quot;(€&quot;#,##0.00\);\-"/>
    <numFmt numFmtId="170" formatCode="#,##0.00&quot; ₽&quot;"/>
    <numFmt numFmtId="171" formatCode="General"/>
    <numFmt numFmtId="172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10"/>
      <color rgb="FF8A8A8A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6400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B85C3E"/>
        <bgColor rgb="FF993300"/>
      </patternFill>
    </fill>
    <fill>
      <patternFill patternType="solid">
        <fgColor rgb="FFC9A24B"/>
        <bgColor rgb="FFFF9900"/>
      </patternFill>
    </fill>
    <fill>
      <patternFill patternType="solid">
        <fgColor rgb="FF2E5E4E"/>
        <bgColor rgb="FF555E70"/>
      </patternFill>
    </fill>
    <fill>
      <patternFill patternType="solid">
        <fgColor rgb="FF6B4E3D"/>
        <bgColor rgb="FF555E70"/>
      </patternFill>
    </fill>
    <fill>
      <patternFill patternType="solid">
        <fgColor rgb="FF555E70"/>
        <bgColor rgb="FF6B4E3D"/>
      </patternFill>
    </fill>
    <fill>
      <patternFill patternType="solid">
        <fgColor rgb="FFFBF7EE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5D5"/>
      </left>
      <right/>
      <top style="thin">
        <color rgb="FFD5D5D5"/>
      </top>
      <bottom style="thin">
        <color rgb="FFD5D5D5"/>
      </bottom>
      <diagonal/>
    </border>
    <border diagonalUp="false" diagonalDown="false"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2E5E4E"/>
      <rgbColor rgb="FFC0C0C0"/>
      <rgbColor rgb="FF8A8A8A"/>
      <rgbColor rgb="FF9999FF"/>
      <rgbColor rgb="FF6B4E3D"/>
      <rgbColor rgb="FFFBF7EE"/>
      <rgbColor rgb="FFCCFFFF"/>
      <rgbColor rgb="FF660066"/>
      <rgbColor rgb="FFFF8080"/>
      <rgbColor rgb="FF0066CC"/>
      <rgbColor rgb="FFD5D5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E70"/>
      <rgbColor rgb="FFC9A24B"/>
      <rgbColor rgb="FF003366"/>
      <rgbColor rgb="FF339966"/>
      <rgbColor rgb="FF003300"/>
      <rgbColor rgb="FF333300"/>
      <rgbColor rgb="FF993300"/>
      <rgbColor rgb="FFB85C3E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9.5" hidden="false" customHeight="true" outlineLevel="0" collapsed="false">
      <c r="A5" s="4" t="s">
        <v>3</v>
      </c>
    </row>
    <row r="6" customFormat="false" ht="19.5" hidden="false" customHeight="true" outlineLevel="0" collapsed="false">
      <c r="A6" s="4" t="s">
        <v>4</v>
      </c>
    </row>
    <row r="7" customFormat="false" ht="19.5" hidden="false" customHeight="true" outlineLevel="0" collapsed="false">
      <c r="A7" s="4" t="s">
        <v>5</v>
      </c>
    </row>
    <row r="8" customFormat="false" ht="19.5" hidden="false" customHeight="true" outlineLevel="0" collapsed="false">
      <c r="A8" s="4" t="s">
        <v>6</v>
      </c>
    </row>
    <row r="9" customFormat="false" ht="19.5" hidden="false" customHeight="true" outlineLevel="0" collapsed="false">
      <c r="A9" s="4" t="s">
        <v>7</v>
      </c>
    </row>
    <row r="10" customFormat="false" ht="19.5" hidden="false" customHeight="true" outlineLevel="0" collapsed="false">
      <c r="A10" s="4" t="s">
        <v>8</v>
      </c>
    </row>
    <row r="11" customFormat="false" ht="19.5" hidden="false" customHeight="true" outlineLevel="0" collapsed="false">
      <c r="A11" s="4" t="s">
        <v>9</v>
      </c>
    </row>
    <row r="12" customFormat="false" ht="19.5" hidden="false" customHeight="true" outlineLevel="0" collapsed="false">
      <c r="A12" s="4" t="s">
        <v>10</v>
      </c>
    </row>
    <row r="14" customFormat="false" ht="15" hidden="false" customHeight="false" outlineLevel="0" collapsed="false">
      <c r="A14" s="3" t="s">
        <v>11</v>
      </c>
    </row>
    <row r="15" customFormat="false" ht="19.5" hidden="false" customHeight="true" outlineLevel="0" collapsed="false">
      <c r="A15" s="4" t="s">
        <v>12</v>
      </c>
    </row>
    <row r="16" customFormat="false" ht="19.5" hidden="false" customHeight="true" outlineLevel="0" collapsed="false">
      <c r="A16" s="4" t="s">
        <v>13</v>
      </c>
    </row>
    <row r="17" customFormat="false" ht="19.5" hidden="false" customHeight="true" outlineLevel="0" collapsed="false">
      <c r="A17" s="4" t="s">
        <v>14</v>
      </c>
    </row>
    <row r="19" customFormat="false" ht="15" hidden="false" customHeight="false" outlineLevel="0" collapsed="false">
      <c r="A19" s="3" t="s">
        <v>15</v>
      </c>
    </row>
    <row r="20" customFormat="false" ht="19.5" hidden="false" customHeight="true" outlineLevel="0" collapsed="false">
      <c r="A20" s="4" t="s">
        <v>16</v>
      </c>
    </row>
    <row r="21" customFormat="false" ht="19.5" hidden="false" customHeight="true" outlineLevel="0" collapsed="false">
      <c r="A21" s="4" t="s">
        <v>17</v>
      </c>
    </row>
    <row r="22" customFormat="false" ht="19.5" hidden="false" customHeight="true" outlineLevel="0" collapsed="false">
      <c r="A22" s="4" t="s">
        <v>18</v>
      </c>
    </row>
    <row r="24" customFormat="false" ht="15" hidden="false" customHeight="false" outlineLevel="0" collapsed="false">
      <c r="A24" s="3" t="s">
        <v>19</v>
      </c>
    </row>
    <row r="25" customFormat="false" ht="19.5" hidden="false" customHeight="true" outlineLevel="0" collapsed="false">
      <c r="A25" s="4" t="s">
        <v>20</v>
      </c>
    </row>
    <row r="26" customFormat="false" ht="19.5" hidden="false" customHeight="true" outlineLevel="0" collapsed="false">
      <c r="A26" s="4" t="s">
        <v>21</v>
      </c>
    </row>
    <row r="27" customFormat="false" ht="19.5" hidden="false" customHeight="true" outlineLevel="0" collapsed="false">
      <c r="A27" s="4" t="s">
        <v>22</v>
      </c>
    </row>
    <row r="28" customFormat="false" ht="19.5" hidden="false" customHeight="true" outlineLevel="0" collapsed="false">
      <c r="A28" s="4" t="s">
        <v>23</v>
      </c>
    </row>
    <row r="30" customFormat="false" ht="15" hidden="false" customHeight="false" outlineLevel="0" collapsed="false">
      <c r="A30" s="3" t="s">
        <v>24</v>
      </c>
    </row>
    <row r="31" customFormat="false" ht="19.5" hidden="false" customHeight="true" outlineLevel="0" collapsed="false">
      <c r="A31" s="4" t="s">
        <v>25</v>
      </c>
    </row>
    <row r="32" customFormat="false" ht="19.5" hidden="false" customHeight="true" outlineLevel="0" collapsed="false">
      <c r="A32" s="4" t="s">
        <v>26</v>
      </c>
    </row>
    <row r="33" customFormat="false" ht="19.5" hidden="false" customHeight="true" outlineLevel="0" collapsed="false">
      <c r="A33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24"/>
    <col collapsed="false" customWidth="true" hidden="false" outlineLevel="0" max="9" min="9" style="0" width="44"/>
    <col collapsed="false" customWidth="true" hidden="false" outlineLevel="0" max="10" min="10" style="0" width="40"/>
    <col collapsed="false" customWidth="true" hidden="false" outlineLevel="0" max="11" min="11" style="0" width="24"/>
    <col collapsed="false" customWidth="true" hidden="false" outlineLevel="0" max="12" min="12" style="0" width="22"/>
    <col collapsed="false" customWidth="true" hidden="false" outlineLevel="0" max="13" min="13" style="0" width="18"/>
    <col collapsed="false" customWidth="true" hidden="false" outlineLevel="0" max="14" min="14" style="0" width="16"/>
    <col collapsed="false" customWidth="true" hidden="false" outlineLevel="0" max="15" min="15" style="0" width="18"/>
    <col collapsed="false" customWidth="true" hidden="false" outlineLevel="0" max="16" min="16" style="0" width="12"/>
    <col collapsed="false" customWidth="true" hidden="false" outlineLevel="0" max="18" min="17" style="0" width="11"/>
    <col collapsed="false" customWidth="true" hidden="false" outlineLevel="0" max="19" min="19" style="0" width="14"/>
    <col collapsed="false" customWidth="true" hidden="false" outlineLevel="0" max="20" min="20" style="0" width="16"/>
    <col collapsed="false" customWidth="true" hidden="false" outlineLevel="0" max="21" min="21" style="0" width="11"/>
    <col collapsed="false" customWidth="true" hidden="false" outlineLevel="0" max="23" min="22" style="0" width="14"/>
    <col collapsed="false" customWidth="true" hidden="false" outlineLevel="0" max="24" min="24" style="0" width="15"/>
    <col collapsed="false" customWidth="true" hidden="false" outlineLevel="0" max="25" min="25" style="0" width="14"/>
    <col collapsed="false" customWidth="true" hidden="false" outlineLevel="0" max="26" min="26" style="0" width="15"/>
    <col collapsed="false" customWidth="true" hidden="false" outlineLevel="0" max="27" min="27" style="0" width="14"/>
    <col collapsed="false" customWidth="true" hidden="false" outlineLevel="0" max="28" min="28" style="0" width="12"/>
    <col collapsed="false" customWidth="true" hidden="false" outlineLevel="0" max="29" min="29" style="0" width="10"/>
    <col collapsed="false" customWidth="true" hidden="false" outlineLevel="0" max="30" min="30" style="0" width="14"/>
    <col collapsed="false" customWidth="true" hidden="false" outlineLevel="0" max="31" min="31" style="0" width="13"/>
    <col collapsed="false" customWidth="true" hidden="false" outlineLevel="0" max="32" min="32" style="0" width="28"/>
    <col collapsed="false" customWidth="true" hidden="false" outlineLevel="0" max="33" min="33" style="0" width="26"/>
    <col collapsed="false" customWidth="true" hidden="false" outlineLevel="0" max="35" min="34" style="0" width="36"/>
    <col collapsed="false" customWidth="true" hidden="false" outlineLevel="0" max="37" min="36" style="0" width="28"/>
    <col collapsed="false" customWidth="true" hidden="false" outlineLevel="0" max="38" min="38" style="0" width="38"/>
    <col collapsed="false" customWidth="true" hidden="false" outlineLevel="0" max="40" min="39" style="0" width="12"/>
    <col collapsed="false" customWidth="true" hidden="false" outlineLevel="0" max="41" min="41" style="0" width="14"/>
    <col collapsed="false" customWidth="true" hidden="false" outlineLevel="0" max="42" min="42" style="0" width="30"/>
  </cols>
  <sheetData>
    <row r="1" customFormat="false" ht="19.5" hidden="false" customHeight="true" outlineLevel="0" collapsed="false">
      <c r="A1" s="5" t="s">
        <v>28</v>
      </c>
      <c r="B1" s="5"/>
      <c r="C1" s="5"/>
      <c r="D1" s="5"/>
      <c r="E1" s="5"/>
      <c r="F1" s="5"/>
      <c r="G1" s="5"/>
      <c r="H1" s="6" t="s">
        <v>29</v>
      </c>
      <c r="I1" s="6"/>
      <c r="J1" s="6"/>
      <c r="K1" s="6"/>
      <c r="L1" s="7" t="s">
        <v>30</v>
      </c>
      <c r="M1" s="7"/>
      <c r="N1" s="7"/>
      <c r="O1" s="7"/>
      <c r="P1" s="7"/>
      <c r="Q1" s="7"/>
      <c r="R1" s="7"/>
      <c r="S1" s="7"/>
      <c r="T1" s="7"/>
      <c r="U1" s="7"/>
      <c r="V1" s="7"/>
      <c r="W1" s="8" t="s">
        <v>31</v>
      </c>
      <c r="X1" s="8"/>
      <c r="Y1" s="8"/>
      <c r="Z1" s="8"/>
      <c r="AA1" s="8"/>
      <c r="AB1" s="8"/>
      <c r="AC1" s="8"/>
      <c r="AD1" s="8"/>
      <c r="AE1" s="8"/>
      <c r="AF1" s="9" t="s">
        <v>32</v>
      </c>
      <c r="AG1" s="9"/>
      <c r="AH1" s="9"/>
      <c r="AI1" s="9"/>
      <c r="AJ1" s="9"/>
      <c r="AK1" s="9"/>
      <c r="AL1" s="9"/>
      <c r="AM1" s="9"/>
      <c r="AN1" s="10" t="s">
        <v>33</v>
      </c>
      <c r="AO1" s="10"/>
      <c r="AP1" s="10"/>
    </row>
    <row r="2" customFormat="false" ht="39.75" hidden="false" customHeight="true" outlineLevel="0" collapsed="false">
      <c r="A2" s="11" t="s">
        <v>34</v>
      </c>
      <c r="B2" s="11" t="s">
        <v>35</v>
      </c>
      <c r="C2" s="11" t="s">
        <v>36</v>
      </c>
      <c r="D2" s="11" t="s">
        <v>37</v>
      </c>
      <c r="E2" s="11" t="s">
        <v>38</v>
      </c>
      <c r="F2" s="11" t="s">
        <v>39</v>
      </c>
      <c r="G2" s="11" t="s">
        <v>40</v>
      </c>
      <c r="H2" s="11" t="s">
        <v>41</v>
      </c>
      <c r="I2" s="11" t="s">
        <v>42</v>
      </c>
      <c r="J2" s="11" t="s">
        <v>43</v>
      </c>
      <c r="K2" s="11" t="s">
        <v>44</v>
      </c>
      <c r="L2" s="11" t="s">
        <v>45</v>
      </c>
      <c r="M2" s="11" t="s">
        <v>46</v>
      </c>
      <c r="N2" s="11" t="s">
        <v>47</v>
      </c>
      <c r="O2" s="11" t="s">
        <v>48</v>
      </c>
      <c r="P2" s="11" t="s">
        <v>49</v>
      </c>
      <c r="Q2" s="11" t="s">
        <v>50</v>
      </c>
      <c r="R2" s="11" t="s">
        <v>51</v>
      </c>
      <c r="S2" s="11" t="s">
        <v>52</v>
      </c>
      <c r="T2" s="11" t="s">
        <v>53</v>
      </c>
      <c r="U2" s="11" t="s">
        <v>54</v>
      </c>
      <c r="V2" s="11" t="s">
        <v>55</v>
      </c>
      <c r="W2" s="11" t="s">
        <v>56</v>
      </c>
      <c r="X2" s="11" t="s">
        <v>57</v>
      </c>
      <c r="Y2" s="11" t="s">
        <v>58</v>
      </c>
      <c r="Z2" s="11" t="s">
        <v>59</v>
      </c>
      <c r="AA2" s="11" t="s">
        <v>60</v>
      </c>
      <c r="AB2" s="11" t="s">
        <v>61</v>
      </c>
      <c r="AC2" s="11" t="s">
        <v>62</v>
      </c>
      <c r="AD2" s="11" t="s">
        <v>63</v>
      </c>
      <c r="AE2" s="11" t="s">
        <v>64</v>
      </c>
      <c r="AF2" s="11" t="s">
        <v>65</v>
      </c>
      <c r="AG2" s="11" t="s">
        <v>66</v>
      </c>
      <c r="AH2" s="11" t="s">
        <v>67</v>
      </c>
      <c r="AI2" s="11" t="s">
        <v>68</v>
      </c>
      <c r="AJ2" s="11" t="s">
        <v>69</v>
      </c>
      <c r="AK2" s="11" t="s">
        <v>70</v>
      </c>
      <c r="AL2" s="11" t="s">
        <v>71</v>
      </c>
      <c r="AM2" s="11" t="s">
        <v>72</v>
      </c>
      <c r="AN2" s="11" t="s">
        <v>73</v>
      </c>
      <c r="AO2" s="11" t="s">
        <v>74</v>
      </c>
      <c r="AP2" s="11" t="s">
        <v>75</v>
      </c>
    </row>
    <row r="3" customFormat="false" ht="30" hidden="false" customHeight="true" outlineLevel="0" collapsed="false">
      <c r="A3" s="12" t="s">
        <v>76</v>
      </c>
      <c r="B3" s="12" t="s">
        <v>77</v>
      </c>
      <c r="C3" s="12"/>
      <c r="D3" s="12" t="s">
        <v>78</v>
      </c>
      <c r="E3" s="12" t="s">
        <v>79</v>
      </c>
      <c r="F3" s="12" t="s">
        <v>80</v>
      </c>
      <c r="G3" s="12" t="n">
        <v>3</v>
      </c>
      <c r="H3" s="12" t="s">
        <v>81</v>
      </c>
      <c r="I3" s="12" t="s">
        <v>82</v>
      </c>
      <c r="J3" s="12"/>
      <c r="K3" s="12"/>
      <c r="L3" s="13" t="s">
        <v>83</v>
      </c>
      <c r="M3" s="13" t="s">
        <v>84</v>
      </c>
      <c r="N3" s="13" t="s">
        <v>85</v>
      </c>
      <c r="O3" s="12"/>
      <c r="P3" s="13"/>
      <c r="Q3" s="12"/>
      <c r="R3" s="12"/>
      <c r="S3" s="12"/>
      <c r="T3" s="12"/>
      <c r="U3" s="12" t="s">
        <v>86</v>
      </c>
      <c r="V3" s="13"/>
      <c r="W3" s="14" t="n">
        <v>19000</v>
      </c>
      <c r="X3" s="14"/>
      <c r="Y3" s="14"/>
      <c r="Z3" s="14"/>
      <c r="AA3" s="15" t="str">
        <f aca="false">IF(COUNT(X3,Y3,Z3)=0,"",SUM(X3,Y3,Z3))</f>
        <v/>
      </c>
      <c r="AB3" s="16" t="str">
        <f aca="false">IFERROR(IF(OR(W3="",AA3=""),"",(W3-AA3)/W3),"")</f>
        <v/>
      </c>
      <c r="AC3" s="17" t="str">
        <f aca="false">IFERROR(IF(OR(AA3="",AA3=0),"",W3/AA3),"")</f>
        <v/>
      </c>
      <c r="AD3" s="12" t="s">
        <v>87</v>
      </c>
      <c r="AE3" s="12" t="s">
        <v>88</v>
      </c>
      <c r="AF3" s="12"/>
      <c r="AG3" s="12"/>
      <c r="AH3" s="12"/>
      <c r="AI3" s="12"/>
      <c r="AJ3" s="12"/>
      <c r="AK3" s="12"/>
      <c r="AL3" s="12" t="s">
        <v>88</v>
      </c>
      <c r="AM3" s="12"/>
      <c r="AN3" s="12"/>
      <c r="AO3" s="12"/>
      <c r="AP3" s="12"/>
    </row>
    <row r="4" customFormat="false" ht="30" hidden="false" customHeight="true" outlineLevel="0" collapsed="false">
      <c r="A4" s="12" t="s">
        <v>89</v>
      </c>
      <c r="B4" s="12" t="s">
        <v>77</v>
      </c>
      <c r="C4" s="12"/>
      <c r="D4" s="12" t="s">
        <v>78</v>
      </c>
      <c r="E4" s="12" t="s">
        <v>79</v>
      </c>
      <c r="F4" s="12" t="s">
        <v>90</v>
      </c>
      <c r="G4" s="12" t="n">
        <v>3</v>
      </c>
      <c r="H4" s="12" t="s">
        <v>81</v>
      </c>
      <c r="I4" s="12" t="s">
        <v>82</v>
      </c>
      <c r="J4" s="12"/>
      <c r="K4" s="12"/>
      <c r="L4" s="13" t="s">
        <v>83</v>
      </c>
      <c r="M4" s="13" t="s">
        <v>84</v>
      </c>
      <c r="N4" s="13" t="s">
        <v>85</v>
      </c>
      <c r="O4" s="12"/>
      <c r="P4" s="13"/>
      <c r="Q4" s="12"/>
      <c r="R4" s="12"/>
      <c r="S4" s="12"/>
      <c r="T4" s="12"/>
      <c r="U4" s="12" t="s">
        <v>86</v>
      </c>
      <c r="V4" s="13"/>
      <c r="W4" s="14" t="n">
        <v>19000</v>
      </c>
      <c r="X4" s="14"/>
      <c r="Y4" s="14"/>
      <c r="Z4" s="14"/>
      <c r="AA4" s="15" t="str">
        <f aca="false">IF(COUNT(X4,Y4,Z4)=0,"",SUM(X4,Y4,Z4))</f>
        <v/>
      </c>
      <c r="AB4" s="16" t="str">
        <f aca="false">IFERROR(IF(OR(W4="",AA4=""),"",(W4-AA4)/W4),"")</f>
        <v/>
      </c>
      <c r="AC4" s="17" t="str">
        <f aca="false">IFERROR(IF(OR(AA4="",AA4=0),"",W4/AA4),"")</f>
        <v/>
      </c>
      <c r="AD4" s="12" t="s">
        <v>87</v>
      </c>
      <c r="AE4" s="12" t="s">
        <v>88</v>
      </c>
      <c r="AF4" s="12"/>
      <c r="AG4" s="12"/>
      <c r="AH4" s="12"/>
      <c r="AI4" s="12"/>
      <c r="AJ4" s="12"/>
      <c r="AK4" s="12"/>
      <c r="AL4" s="12" t="s">
        <v>88</v>
      </c>
      <c r="AM4" s="12"/>
      <c r="AN4" s="12"/>
      <c r="AO4" s="12"/>
      <c r="AP4" s="12"/>
    </row>
    <row r="5" customFormat="false" ht="30" hidden="false" customHeight="true" outlineLevel="0" collapsed="false">
      <c r="A5" s="12" t="s">
        <v>91</v>
      </c>
      <c r="B5" s="12" t="s">
        <v>77</v>
      </c>
      <c r="C5" s="12"/>
      <c r="D5" s="12" t="s">
        <v>78</v>
      </c>
      <c r="E5" s="12" t="s">
        <v>79</v>
      </c>
      <c r="F5" s="12" t="s">
        <v>92</v>
      </c>
      <c r="G5" s="12" t="n">
        <v>3</v>
      </c>
      <c r="H5" s="12" t="s">
        <v>81</v>
      </c>
      <c r="I5" s="12" t="s">
        <v>82</v>
      </c>
      <c r="J5" s="12"/>
      <c r="K5" s="12"/>
      <c r="L5" s="13" t="s">
        <v>83</v>
      </c>
      <c r="M5" s="13" t="s">
        <v>84</v>
      </c>
      <c r="N5" s="13" t="s">
        <v>85</v>
      </c>
      <c r="O5" s="12"/>
      <c r="P5" s="13"/>
      <c r="Q5" s="12"/>
      <c r="R5" s="12"/>
      <c r="S5" s="12"/>
      <c r="T5" s="12"/>
      <c r="U5" s="12" t="s">
        <v>86</v>
      </c>
      <c r="V5" s="13"/>
      <c r="W5" s="14" t="n">
        <v>19000</v>
      </c>
      <c r="X5" s="14"/>
      <c r="Y5" s="14"/>
      <c r="Z5" s="14"/>
      <c r="AA5" s="15" t="str">
        <f aca="false">IF(COUNT(X5,Y5,Z5)=0,"",SUM(X5,Y5,Z5))</f>
        <v/>
      </c>
      <c r="AB5" s="16" t="str">
        <f aca="false">IFERROR(IF(OR(W5="",AA5=""),"",(W5-AA5)/W5),"")</f>
        <v/>
      </c>
      <c r="AC5" s="17" t="str">
        <f aca="false">IFERROR(IF(OR(AA5="",AA5=0),"",W5/AA5),"")</f>
        <v/>
      </c>
      <c r="AD5" s="12" t="s">
        <v>87</v>
      </c>
      <c r="AE5" s="12" t="s">
        <v>88</v>
      </c>
      <c r="AF5" s="12"/>
      <c r="AG5" s="12"/>
      <c r="AH5" s="12"/>
      <c r="AI5" s="12"/>
      <c r="AJ5" s="12"/>
      <c r="AK5" s="12"/>
      <c r="AL5" s="12" t="s">
        <v>88</v>
      </c>
      <c r="AM5" s="12"/>
      <c r="AN5" s="12"/>
      <c r="AO5" s="12"/>
      <c r="AP5" s="12"/>
    </row>
    <row r="6" customFormat="false" ht="30" hidden="false" customHeight="true" outlineLevel="0" collapsed="false">
      <c r="A6" s="12" t="s">
        <v>93</v>
      </c>
      <c r="B6" s="12" t="s">
        <v>77</v>
      </c>
      <c r="C6" s="12"/>
      <c r="D6" s="12" t="s">
        <v>78</v>
      </c>
      <c r="E6" s="12" t="s">
        <v>79</v>
      </c>
      <c r="F6" s="12" t="s">
        <v>94</v>
      </c>
      <c r="G6" s="12" t="n">
        <v>3</v>
      </c>
      <c r="H6" s="12" t="s">
        <v>81</v>
      </c>
      <c r="I6" s="12" t="s">
        <v>82</v>
      </c>
      <c r="J6" s="12"/>
      <c r="K6" s="12"/>
      <c r="L6" s="13" t="s">
        <v>83</v>
      </c>
      <c r="M6" s="13" t="s">
        <v>84</v>
      </c>
      <c r="N6" s="13" t="s">
        <v>85</v>
      </c>
      <c r="O6" s="12"/>
      <c r="P6" s="13"/>
      <c r="Q6" s="12"/>
      <c r="R6" s="12"/>
      <c r="S6" s="12"/>
      <c r="T6" s="12"/>
      <c r="U6" s="12" t="s">
        <v>86</v>
      </c>
      <c r="V6" s="13"/>
      <c r="W6" s="14" t="n">
        <v>19000</v>
      </c>
      <c r="X6" s="14"/>
      <c r="Y6" s="14"/>
      <c r="Z6" s="14"/>
      <c r="AA6" s="15" t="str">
        <f aca="false">IF(COUNT(X6,Y6,Z6)=0,"",SUM(X6,Y6,Z6))</f>
        <v/>
      </c>
      <c r="AB6" s="16" t="str">
        <f aca="false">IFERROR(IF(OR(W6="",AA6=""),"",(W6-AA6)/W6),"")</f>
        <v/>
      </c>
      <c r="AC6" s="17" t="str">
        <f aca="false">IFERROR(IF(OR(AA6="",AA6=0),"",W6/AA6),"")</f>
        <v/>
      </c>
      <c r="AD6" s="12" t="s">
        <v>87</v>
      </c>
      <c r="AE6" s="12" t="s">
        <v>88</v>
      </c>
      <c r="AF6" s="12"/>
      <c r="AG6" s="12"/>
      <c r="AH6" s="12"/>
      <c r="AI6" s="12"/>
      <c r="AJ6" s="12"/>
      <c r="AK6" s="12"/>
      <c r="AL6" s="12" t="s">
        <v>88</v>
      </c>
      <c r="AM6" s="12"/>
      <c r="AN6" s="12"/>
      <c r="AO6" s="12"/>
      <c r="AP6" s="12"/>
    </row>
    <row r="7" customFormat="false" ht="30" hidden="false" customHeight="true" outlineLevel="0" collapsed="false">
      <c r="A7" s="12" t="s">
        <v>95</v>
      </c>
      <c r="B7" s="12" t="s">
        <v>77</v>
      </c>
      <c r="C7" s="12"/>
      <c r="D7" s="12" t="s">
        <v>78</v>
      </c>
      <c r="E7" s="12" t="s">
        <v>79</v>
      </c>
      <c r="F7" s="12" t="s">
        <v>96</v>
      </c>
      <c r="G7" s="12" t="n">
        <v>3</v>
      </c>
      <c r="H7" s="12" t="s">
        <v>81</v>
      </c>
      <c r="I7" s="12" t="s">
        <v>82</v>
      </c>
      <c r="J7" s="12"/>
      <c r="K7" s="12"/>
      <c r="L7" s="13" t="s">
        <v>83</v>
      </c>
      <c r="M7" s="13" t="s">
        <v>84</v>
      </c>
      <c r="N7" s="13" t="s">
        <v>85</v>
      </c>
      <c r="O7" s="12"/>
      <c r="P7" s="13"/>
      <c r="Q7" s="12"/>
      <c r="R7" s="12"/>
      <c r="S7" s="12"/>
      <c r="T7" s="12"/>
      <c r="U7" s="12" t="s">
        <v>86</v>
      </c>
      <c r="V7" s="13"/>
      <c r="W7" s="14" t="n">
        <v>19000</v>
      </c>
      <c r="X7" s="14"/>
      <c r="Y7" s="14"/>
      <c r="Z7" s="14"/>
      <c r="AA7" s="15" t="str">
        <f aca="false">IF(COUNT(X7,Y7,Z7)=0,"",SUM(X7,Y7,Z7))</f>
        <v/>
      </c>
      <c r="AB7" s="16" t="str">
        <f aca="false">IFERROR(IF(OR(W7="",AA7=""),"",(W7-AA7)/W7),"")</f>
        <v/>
      </c>
      <c r="AC7" s="17" t="str">
        <f aca="false">IFERROR(IF(OR(AA7="",AA7=0),"",W7/AA7),"")</f>
        <v/>
      </c>
      <c r="AD7" s="12" t="s">
        <v>87</v>
      </c>
      <c r="AE7" s="12" t="s">
        <v>88</v>
      </c>
      <c r="AF7" s="12"/>
      <c r="AG7" s="12"/>
      <c r="AH7" s="12"/>
      <c r="AI7" s="12"/>
      <c r="AJ7" s="12"/>
      <c r="AK7" s="12"/>
      <c r="AL7" s="12" t="s">
        <v>88</v>
      </c>
      <c r="AM7" s="12"/>
      <c r="AN7" s="12"/>
      <c r="AO7" s="12"/>
      <c r="AP7" s="12"/>
    </row>
    <row r="8" customFormat="false" ht="30" hidden="false" customHeight="true" outlineLevel="0" collapsed="false">
      <c r="A8" s="12" t="s">
        <v>97</v>
      </c>
      <c r="B8" s="12" t="s">
        <v>77</v>
      </c>
      <c r="C8" s="12"/>
      <c r="D8" s="12" t="s">
        <v>78</v>
      </c>
      <c r="E8" s="12" t="s">
        <v>79</v>
      </c>
      <c r="F8" s="12" t="s">
        <v>98</v>
      </c>
      <c r="G8" s="12" t="n">
        <v>3</v>
      </c>
      <c r="H8" s="12" t="s">
        <v>81</v>
      </c>
      <c r="I8" s="12" t="s">
        <v>82</v>
      </c>
      <c r="J8" s="12"/>
      <c r="K8" s="12"/>
      <c r="L8" s="13" t="s">
        <v>83</v>
      </c>
      <c r="M8" s="13" t="s">
        <v>84</v>
      </c>
      <c r="N8" s="13" t="s">
        <v>85</v>
      </c>
      <c r="O8" s="12"/>
      <c r="P8" s="13"/>
      <c r="Q8" s="12"/>
      <c r="R8" s="12"/>
      <c r="S8" s="12"/>
      <c r="T8" s="12"/>
      <c r="U8" s="12" t="s">
        <v>86</v>
      </c>
      <c r="V8" s="13"/>
      <c r="W8" s="14" t="n">
        <v>19000</v>
      </c>
      <c r="X8" s="14"/>
      <c r="Y8" s="14"/>
      <c r="Z8" s="14"/>
      <c r="AA8" s="15" t="str">
        <f aca="false">IF(COUNT(X8,Y8,Z8)=0,"",SUM(X8,Y8,Z8))</f>
        <v/>
      </c>
      <c r="AB8" s="16" t="str">
        <f aca="false">IFERROR(IF(OR(W8="",AA8=""),"",(W8-AA8)/W8),"")</f>
        <v/>
      </c>
      <c r="AC8" s="17" t="str">
        <f aca="false">IFERROR(IF(OR(AA8="",AA8=0),"",W8/AA8),"")</f>
        <v/>
      </c>
      <c r="AD8" s="12" t="s">
        <v>87</v>
      </c>
      <c r="AE8" s="12" t="s">
        <v>88</v>
      </c>
      <c r="AF8" s="12"/>
      <c r="AG8" s="12"/>
      <c r="AH8" s="12"/>
      <c r="AI8" s="12"/>
      <c r="AJ8" s="12"/>
      <c r="AK8" s="12"/>
      <c r="AL8" s="12" t="s">
        <v>88</v>
      </c>
      <c r="AM8" s="12"/>
      <c r="AN8" s="12"/>
      <c r="AO8" s="12"/>
      <c r="AP8" s="12"/>
    </row>
    <row r="9" customFormat="false" ht="30" hidden="false" customHeight="true" outlineLevel="0" collapsed="false">
      <c r="A9" s="12" t="s">
        <v>99</v>
      </c>
      <c r="B9" s="12" t="s">
        <v>77</v>
      </c>
      <c r="C9" s="12"/>
      <c r="D9" s="12" t="s">
        <v>78</v>
      </c>
      <c r="E9" s="12" t="s">
        <v>79</v>
      </c>
      <c r="F9" s="12" t="s">
        <v>100</v>
      </c>
      <c r="G9" s="12" t="n">
        <v>3</v>
      </c>
      <c r="H9" s="12" t="s">
        <v>81</v>
      </c>
      <c r="I9" s="12" t="s">
        <v>82</v>
      </c>
      <c r="J9" s="12"/>
      <c r="K9" s="12"/>
      <c r="L9" s="13" t="s">
        <v>83</v>
      </c>
      <c r="M9" s="13" t="s">
        <v>84</v>
      </c>
      <c r="N9" s="13" t="s">
        <v>85</v>
      </c>
      <c r="O9" s="12"/>
      <c r="P9" s="13"/>
      <c r="Q9" s="12"/>
      <c r="R9" s="12"/>
      <c r="S9" s="12"/>
      <c r="T9" s="12"/>
      <c r="U9" s="12" t="s">
        <v>86</v>
      </c>
      <c r="V9" s="13"/>
      <c r="W9" s="14" t="n">
        <v>19000</v>
      </c>
      <c r="X9" s="14"/>
      <c r="Y9" s="14"/>
      <c r="Z9" s="14"/>
      <c r="AA9" s="15" t="str">
        <f aca="false">IF(COUNT(X9,Y9,Z9)=0,"",SUM(X9,Y9,Z9))</f>
        <v/>
      </c>
      <c r="AB9" s="16" t="str">
        <f aca="false">IFERROR(IF(OR(W9="",AA9=""),"",(W9-AA9)/W9),"")</f>
        <v/>
      </c>
      <c r="AC9" s="17" t="str">
        <f aca="false">IFERROR(IF(OR(AA9="",AA9=0),"",W9/AA9),"")</f>
        <v/>
      </c>
      <c r="AD9" s="12" t="s">
        <v>87</v>
      </c>
      <c r="AE9" s="12" t="s">
        <v>88</v>
      </c>
      <c r="AF9" s="12"/>
      <c r="AG9" s="12"/>
      <c r="AH9" s="12"/>
      <c r="AI9" s="12"/>
      <c r="AJ9" s="12"/>
      <c r="AK9" s="12"/>
      <c r="AL9" s="12" t="s">
        <v>88</v>
      </c>
      <c r="AM9" s="12"/>
      <c r="AN9" s="12"/>
      <c r="AO9" s="12"/>
      <c r="AP9" s="12"/>
    </row>
    <row r="10" customFormat="false" ht="30" hidden="false" customHeight="true" outlineLevel="0" collapsed="false">
      <c r="A10" s="12" t="s">
        <v>101</v>
      </c>
      <c r="B10" s="12" t="s">
        <v>77</v>
      </c>
      <c r="C10" s="12"/>
      <c r="D10" s="12" t="s">
        <v>78</v>
      </c>
      <c r="E10" s="12" t="s">
        <v>79</v>
      </c>
      <c r="F10" s="12" t="s">
        <v>102</v>
      </c>
      <c r="G10" s="12" t="n">
        <v>3</v>
      </c>
      <c r="H10" s="12" t="s">
        <v>81</v>
      </c>
      <c r="I10" s="12" t="s">
        <v>82</v>
      </c>
      <c r="J10" s="12"/>
      <c r="K10" s="12"/>
      <c r="L10" s="13" t="s">
        <v>83</v>
      </c>
      <c r="M10" s="13" t="s">
        <v>84</v>
      </c>
      <c r="N10" s="13" t="s">
        <v>85</v>
      </c>
      <c r="O10" s="12"/>
      <c r="P10" s="13"/>
      <c r="Q10" s="12"/>
      <c r="R10" s="12"/>
      <c r="S10" s="12"/>
      <c r="T10" s="12"/>
      <c r="U10" s="12" t="s">
        <v>86</v>
      </c>
      <c r="V10" s="13"/>
      <c r="W10" s="14" t="n">
        <v>19000</v>
      </c>
      <c r="X10" s="14"/>
      <c r="Y10" s="14"/>
      <c r="Z10" s="14"/>
      <c r="AA10" s="15" t="str">
        <f aca="false">IF(COUNT(X10,Y10,Z10)=0,"",SUM(X10,Y10,Z10))</f>
        <v/>
      </c>
      <c r="AB10" s="16" t="str">
        <f aca="false">IFERROR(IF(OR(W10="",AA10=""),"",(W10-AA10)/W10),"")</f>
        <v/>
      </c>
      <c r="AC10" s="17" t="str">
        <f aca="false">IFERROR(IF(OR(AA10="",AA10=0),"",W10/AA10),"")</f>
        <v/>
      </c>
      <c r="AD10" s="12" t="s">
        <v>87</v>
      </c>
      <c r="AE10" s="12" t="s">
        <v>88</v>
      </c>
      <c r="AF10" s="12"/>
      <c r="AG10" s="12"/>
      <c r="AH10" s="12"/>
      <c r="AI10" s="12"/>
      <c r="AJ10" s="12"/>
      <c r="AK10" s="12"/>
      <c r="AL10" s="12" t="s">
        <v>88</v>
      </c>
      <c r="AM10" s="12"/>
      <c r="AN10" s="12"/>
      <c r="AO10" s="12"/>
      <c r="AP10" s="12"/>
    </row>
    <row r="11" customFormat="false" ht="30" hidden="false" customHeight="true" outlineLevel="0" collapsed="false">
      <c r="A11" s="12" t="s">
        <v>103</v>
      </c>
      <c r="B11" s="12" t="s">
        <v>77</v>
      </c>
      <c r="C11" s="12"/>
      <c r="D11" s="12" t="s">
        <v>78</v>
      </c>
      <c r="E11" s="12" t="s">
        <v>79</v>
      </c>
      <c r="F11" s="12" t="s">
        <v>104</v>
      </c>
      <c r="G11" s="12" t="n">
        <v>3</v>
      </c>
      <c r="H11" s="12" t="s">
        <v>81</v>
      </c>
      <c r="I11" s="12" t="s">
        <v>82</v>
      </c>
      <c r="J11" s="12"/>
      <c r="K11" s="12"/>
      <c r="L11" s="13" t="s">
        <v>83</v>
      </c>
      <c r="M11" s="13" t="s">
        <v>84</v>
      </c>
      <c r="N11" s="13" t="s">
        <v>85</v>
      </c>
      <c r="O11" s="12"/>
      <c r="P11" s="13"/>
      <c r="Q11" s="12"/>
      <c r="R11" s="12"/>
      <c r="S11" s="12"/>
      <c r="T11" s="12"/>
      <c r="U11" s="12" t="s">
        <v>86</v>
      </c>
      <c r="V11" s="13"/>
      <c r="W11" s="14" t="n">
        <v>19000</v>
      </c>
      <c r="X11" s="14"/>
      <c r="Y11" s="14"/>
      <c r="Z11" s="14"/>
      <c r="AA11" s="15" t="str">
        <f aca="false">IF(COUNT(X11,Y11,Z11)=0,"",SUM(X11,Y11,Z11))</f>
        <v/>
      </c>
      <c r="AB11" s="16" t="str">
        <f aca="false">IFERROR(IF(OR(W11="",AA11=""),"",(W11-AA11)/W11),"")</f>
        <v/>
      </c>
      <c r="AC11" s="17" t="str">
        <f aca="false">IFERROR(IF(OR(AA11="",AA11=0),"",W11/AA11),"")</f>
        <v/>
      </c>
      <c r="AD11" s="12" t="s">
        <v>87</v>
      </c>
      <c r="AE11" s="12" t="s">
        <v>88</v>
      </c>
      <c r="AF11" s="12"/>
      <c r="AG11" s="12"/>
      <c r="AH11" s="12"/>
      <c r="AI11" s="12"/>
      <c r="AJ11" s="12"/>
      <c r="AK11" s="12"/>
      <c r="AL11" s="12" t="s">
        <v>88</v>
      </c>
      <c r="AM11" s="12"/>
      <c r="AN11" s="12"/>
      <c r="AO11" s="12"/>
      <c r="AP11" s="12"/>
    </row>
    <row r="12" customFormat="false" ht="30" hidden="false" customHeight="true" outlineLevel="0" collapsed="false">
      <c r="A12" s="12" t="s">
        <v>105</v>
      </c>
      <c r="B12" s="12" t="s">
        <v>77</v>
      </c>
      <c r="C12" s="12"/>
      <c r="D12" s="12" t="s">
        <v>78</v>
      </c>
      <c r="E12" s="12" t="s">
        <v>79</v>
      </c>
      <c r="F12" s="12" t="s">
        <v>106</v>
      </c>
      <c r="G12" s="12" t="n">
        <v>3</v>
      </c>
      <c r="H12" s="12" t="s">
        <v>81</v>
      </c>
      <c r="I12" s="12" t="s">
        <v>82</v>
      </c>
      <c r="J12" s="12"/>
      <c r="K12" s="12"/>
      <c r="L12" s="13" t="s">
        <v>83</v>
      </c>
      <c r="M12" s="13" t="s">
        <v>84</v>
      </c>
      <c r="N12" s="13" t="s">
        <v>85</v>
      </c>
      <c r="O12" s="12"/>
      <c r="P12" s="13"/>
      <c r="Q12" s="12"/>
      <c r="R12" s="12"/>
      <c r="S12" s="12"/>
      <c r="T12" s="12"/>
      <c r="U12" s="12" t="s">
        <v>86</v>
      </c>
      <c r="V12" s="13"/>
      <c r="W12" s="14" t="n">
        <v>19000</v>
      </c>
      <c r="X12" s="14"/>
      <c r="Y12" s="14"/>
      <c r="Z12" s="14"/>
      <c r="AA12" s="15" t="str">
        <f aca="false">IF(COUNT(X12,Y12,Z12)=0,"",SUM(X12,Y12,Z12))</f>
        <v/>
      </c>
      <c r="AB12" s="16" t="str">
        <f aca="false">IFERROR(IF(OR(W12="",AA12=""),"",(W12-AA12)/W12),"")</f>
        <v/>
      </c>
      <c r="AC12" s="17" t="str">
        <f aca="false">IFERROR(IF(OR(AA12="",AA12=0),"",W12/AA12),"")</f>
        <v/>
      </c>
      <c r="AD12" s="12" t="s">
        <v>87</v>
      </c>
      <c r="AE12" s="12" t="s">
        <v>88</v>
      </c>
      <c r="AF12" s="12"/>
      <c r="AG12" s="12"/>
      <c r="AH12" s="12"/>
      <c r="AI12" s="12"/>
      <c r="AJ12" s="12"/>
      <c r="AK12" s="12"/>
      <c r="AL12" s="12" t="s">
        <v>88</v>
      </c>
      <c r="AM12" s="12"/>
      <c r="AN12" s="12"/>
      <c r="AO12" s="12"/>
      <c r="AP12" s="12"/>
    </row>
    <row r="13" customFormat="false" ht="30" hidden="false" customHeight="true" outlineLevel="0" collapsed="false">
      <c r="A13" s="12" t="s">
        <v>107</v>
      </c>
      <c r="B13" s="12" t="s">
        <v>77</v>
      </c>
      <c r="C13" s="12"/>
      <c r="D13" s="12" t="s">
        <v>78</v>
      </c>
      <c r="E13" s="12" t="s">
        <v>79</v>
      </c>
      <c r="F13" s="12" t="s">
        <v>108</v>
      </c>
      <c r="G13" s="12" t="n">
        <v>3</v>
      </c>
      <c r="H13" s="12" t="s">
        <v>81</v>
      </c>
      <c r="I13" s="12" t="s">
        <v>82</v>
      </c>
      <c r="J13" s="12"/>
      <c r="K13" s="12"/>
      <c r="L13" s="13" t="s">
        <v>83</v>
      </c>
      <c r="M13" s="13" t="s">
        <v>84</v>
      </c>
      <c r="N13" s="13" t="s">
        <v>85</v>
      </c>
      <c r="O13" s="12"/>
      <c r="P13" s="13"/>
      <c r="Q13" s="12"/>
      <c r="R13" s="12"/>
      <c r="S13" s="12"/>
      <c r="T13" s="12"/>
      <c r="U13" s="12" t="s">
        <v>86</v>
      </c>
      <c r="V13" s="13"/>
      <c r="W13" s="14" t="n">
        <v>19000</v>
      </c>
      <c r="X13" s="14"/>
      <c r="Y13" s="14"/>
      <c r="Z13" s="14"/>
      <c r="AA13" s="15" t="str">
        <f aca="false">IF(COUNT(X13,Y13,Z13)=0,"",SUM(X13,Y13,Z13))</f>
        <v/>
      </c>
      <c r="AB13" s="16" t="str">
        <f aca="false">IFERROR(IF(OR(W13="",AA13=""),"",(W13-AA13)/W13),"")</f>
        <v/>
      </c>
      <c r="AC13" s="17" t="str">
        <f aca="false">IFERROR(IF(OR(AA13="",AA13=0),"",W13/AA13),"")</f>
        <v/>
      </c>
      <c r="AD13" s="12" t="s">
        <v>87</v>
      </c>
      <c r="AE13" s="12" t="s">
        <v>88</v>
      </c>
      <c r="AF13" s="12"/>
      <c r="AG13" s="12"/>
      <c r="AH13" s="12"/>
      <c r="AI13" s="12"/>
      <c r="AJ13" s="12"/>
      <c r="AK13" s="12"/>
      <c r="AL13" s="12" t="s">
        <v>88</v>
      </c>
      <c r="AM13" s="12"/>
      <c r="AN13" s="12"/>
      <c r="AO13" s="12"/>
      <c r="AP13" s="12"/>
    </row>
    <row r="14" customFormat="false" ht="30" hidden="false" customHeight="true" outlineLevel="0" collapsed="false">
      <c r="A14" s="12" t="s">
        <v>109</v>
      </c>
      <c r="B14" s="12" t="s">
        <v>77</v>
      </c>
      <c r="C14" s="12"/>
      <c r="D14" s="12" t="s">
        <v>78</v>
      </c>
      <c r="E14" s="12" t="s">
        <v>79</v>
      </c>
      <c r="F14" s="12" t="s">
        <v>110</v>
      </c>
      <c r="G14" s="12" t="n">
        <v>3</v>
      </c>
      <c r="H14" s="12" t="s">
        <v>81</v>
      </c>
      <c r="I14" s="12" t="s">
        <v>82</v>
      </c>
      <c r="J14" s="12"/>
      <c r="K14" s="12"/>
      <c r="L14" s="13" t="s">
        <v>83</v>
      </c>
      <c r="M14" s="13" t="s">
        <v>84</v>
      </c>
      <c r="N14" s="13" t="s">
        <v>85</v>
      </c>
      <c r="O14" s="12"/>
      <c r="P14" s="13"/>
      <c r="Q14" s="12"/>
      <c r="R14" s="12"/>
      <c r="S14" s="12"/>
      <c r="T14" s="12"/>
      <c r="U14" s="12" t="s">
        <v>86</v>
      </c>
      <c r="V14" s="13"/>
      <c r="W14" s="14" t="n">
        <v>19000</v>
      </c>
      <c r="X14" s="14"/>
      <c r="Y14" s="14"/>
      <c r="Z14" s="14"/>
      <c r="AA14" s="15" t="str">
        <f aca="false">IF(COUNT(X14,Y14,Z14)=0,"",SUM(X14,Y14,Z14))</f>
        <v/>
      </c>
      <c r="AB14" s="16" t="str">
        <f aca="false">IFERROR(IF(OR(W14="",AA14=""),"",(W14-AA14)/W14),"")</f>
        <v/>
      </c>
      <c r="AC14" s="17" t="str">
        <f aca="false">IFERROR(IF(OR(AA14="",AA14=0),"",W14/AA14),"")</f>
        <v/>
      </c>
      <c r="AD14" s="12" t="s">
        <v>87</v>
      </c>
      <c r="AE14" s="12" t="s">
        <v>88</v>
      </c>
      <c r="AF14" s="12"/>
      <c r="AG14" s="12"/>
      <c r="AH14" s="12"/>
      <c r="AI14" s="12"/>
      <c r="AJ14" s="12"/>
      <c r="AK14" s="12"/>
      <c r="AL14" s="12" t="s">
        <v>88</v>
      </c>
      <c r="AM14" s="12"/>
      <c r="AN14" s="12"/>
      <c r="AO14" s="12"/>
      <c r="AP14" s="12"/>
    </row>
    <row r="15" customFormat="false" ht="30" hidden="false" customHeight="true" outlineLevel="0" collapsed="false">
      <c r="A15" s="12" t="s">
        <v>111</v>
      </c>
      <c r="B15" s="12" t="s">
        <v>77</v>
      </c>
      <c r="C15" s="12"/>
      <c r="D15" s="12" t="s">
        <v>78</v>
      </c>
      <c r="E15" s="12" t="s">
        <v>79</v>
      </c>
      <c r="F15" s="12" t="s">
        <v>112</v>
      </c>
      <c r="G15" s="12" t="n">
        <v>3</v>
      </c>
      <c r="H15" s="12" t="s">
        <v>81</v>
      </c>
      <c r="I15" s="12" t="s">
        <v>82</v>
      </c>
      <c r="J15" s="12"/>
      <c r="K15" s="12"/>
      <c r="L15" s="13" t="s">
        <v>83</v>
      </c>
      <c r="M15" s="13" t="s">
        <v>84</v>
      </c>
      <c r="N15" s="13" t="s">
        <v>85</v>
      </c>
      <c r="O15" s="12"/>
      <c r="P15" s="13"/>
      <c r="Q15" s="12"/>
      <c r="R15" s="12"/>
      <c r="S15" s="12"/>
      <c r="T15" s="12"/>
      <c r="U15" s="12" t="s">
        <v>86</v>
      </c>
      <c r="V15" s="13"/>
      <c r="W15" s="14" t="n">
        <v>19000</v>
      </c>
      <c r="X15" s="14"/>
      <c r="Y15" s="14"/>
      <c r="Z15" s="14"/>
      <c r="AA15" s="15" t="str">
        <f aca="false">IF(COUNT(X15,Y15,Z15)=0,"",SUM(X15,Y15,Z15))</f>
        <v/>
      </c>
      <c r="AB15" s="16" t="str">
        <f aca="false">IFERROR(IF(OR(W15="",AA15=""),"",(W15-AA15)/W15),"")</f>
        <v/>
      </c>
      <c r="AC15" s="17" t="str">
        <f aca="false">IFERROR(IF(OR(AA15="",AA15=0),"",W15/AA15),"")</f>
        <v/>
      </c>
      <c r="AD15" s="12" t="s">
        <v>87</v>
      </c>
      <c r="AE15" s="12" t="s">
        <v>88</v>
      </c>
      <c r="AF15" s="12"/>
      <c r="AG15" s="12"/>
      <c r="AH15" s="12"/>
      <c r="AI15" s="12"/>
      <c r="AJ15" s="12"/>
      <c r="AK15" s="12"/>
      <c r="AL15" s="12" t="s">
        <v>88</v>
      </c>
      <c r="AM15" s="12"/>
      <c r="AN15" s="12"/>
      <c r="AO15" s="12"/>
      <c r="AP15" s="12"/>
    </row>
    <row r="16" customFormat="false" ht="30" hidden="false" customHeight="true" outlineLevel="0" collapsed="false">
      <c r="A16" s="12" t="s">
        <v>113</v>
      </c>
      <c r="B16" s="12" t="s">
        <v>77</v>
      </c>
      <c r="C16" s="12"/>
      <c r="D16" s="12" t="s">
        <v>78</v>
      </c>
      <c r="E16" s="12" t="s">
        <v>79</v>
      </c>
      <c r="F16" s="12" t="s">
        <v>114</v>
      </c>
      <c r="G16" s="12" t="n">
        <v>3</v>
      </c>
      <c r="H16" s="12" t="s">
        <v>81</v>
      </c>
      <c r="I16" s="12" t="s">
        <v>82</v>
      </c>
      <c r="J16" s="12"/>
      <c r="K16" s="12"/>
      <c r="L16" s="13" t="s">
        <v>83</v>
      </c>
      <c r="M16" s="13" t="s">
        <v>84</v>
      </c>
      <c r="N16" s="13" t="s">
        <v>85</v>
      </c>
      <c r="O16" s="12"/>
      <c r="P16" s="13"/>
      <c r="Q16" s="12"/>
      <c r="R16" s="12"/>
      <c r="S16" s="12"/>
      <c r="T16" s="12"/>
      <c r="U16" s="12" t="s">
        <v>86</v>
      </c>
      <c r="V16" s="13"/>
      <c r="W16" s="14" t="n">
        <v>19000</v>
      </c>
      <c r="X16" s="14"/>
      <c r="Y16" s="14"/>
      <c r="Z16" s="14"/>
      <c r="AA16" s="15" t="str">
        <f aca="false">IF(COUNT(X16,Y16,Z16)=0,"",SUM(X16,Y16,Z16))</f>
        <v/>
      </c>
      <c r="AB16" s="16" t="str">
        <f aca="false">IFERROR(IF(OR(W16="",AA16=""),"",(W16-AA16)/W16),"")</f>
        <v/>
      </c>
      <c r="AC16" s="17" t="str">
        <f aca="false">IFERROR(IF(OR(AA16="",AA16=0),"",W16/AA16),"")</f>
        <v/>
      </c>
      <c r="AD16" s="12" t="s">
        <v>87</v>
      </c>
      <c r="AE16" s="12" t="s">
        <v>88</v>
      </c>
      <c r="AF16" s="12"/>
      <c r="AG16" s="12"/>
      <c r="AH16" s="12"/>
      <c r="AI16" s="12"/>
      <c r="AJ16" s="12"/>
      <c r="AK16" s="12"/>
      <c r="AL16" s="12" t="s">
        <v>88</v>
      </c>
      <c r="AM16" s="12"/>
      <c r="AN16" s="12"/>
      <c r="AO16" s="12"/>
      <c r="AP16" s="12"/>
    </row>
    <row r="17" customFormat="false" ht="30" hidden="false" customHeight="true" outlineLevel="0" collapsed="false">
      <c r="A17" s="12" t="s">
        <v>115</v>
      </c>
      <c r="B17" s="12" t="s">
        <v>77</v>
      </c>
      <c r="C17" s="12"/>
      <c r="D17" s="12" t="s">
        <v>78</v>
      </c>
      <c r="E17" s="12" t="s">
        <v>79</v>
      </c>
      <c r="F17" s="12" t="s">
        <v>116</v>
      </c>
      <c r="G17" s="12" t="n">
        <v>3</v>
      </c>
      <c r="H17" s="12" t="s">
        <v>81</v>
      </c>
      <c r="I17" s="12" t="s">
        <v>82</v>
      </c>
      <c r="J17" s="12"/>
      <c r="K17" s="12"/>
      <c r="L17" s="13" t="s">
        <v>83</v>
      </c>
      <c r="M17" s="13" t="s">
        <v>84</v>
      </c>
      <c r="N17" s="13" t="s">
        <v>85</v>
      </c>
      <c r="O17" s="12"/>
      <c r="P17" s="13"/>
      <c r="Q17" s="12"/>
      <c r="R17" s="12"/>
      <c r="S17" s="12"/>
      <c r="T17" s="12"/>
      <c r="U17" s="12" t="s">
        <v>86</v>
      </c>
      <c r="V17" s="13"/>
      <c r="W17" s="14" t="n">
        <v>19000</v>
      </c>
      <c r="X17" s="14"/>
      <c r="Y17" s="14"/>
      <c r="Z17" s="14"/>
      <c r="AA17" s="15" t="str">
        <f aca="false">IF(COUNT(X17,Y17,Z17)=0,"",SUM(X17,Y17,Z17))</f>
        <v/>
      </c>
      <c r="AB17" s="16" t="str">
        <f aca="false">IFERROR(IF(OR(W17="",AA17=""),"",(W17-AA17)/W17),"")</f>
        <v/>
      </c>
      <c r="AC17" s="17" t="str">
        <f aca="false">IFERROR(IF(OR(AA17="",AA17=0),"",W17/AA17),"")</f>
        <v/>
      </c>
      <c r="AD17" s="12" t="s">
        <v>87</v>
      </c>
      <c r="AE17" s="12" t="s">
        <v>88</v>
      </c>
      <c r="AF17" s="12"/>
      <c r="AG17" s="12"/>
      <c r="AH17" s="12"/>
      <c r="AI17" s="12"/>
      <c r="AJ17" s="12"/>
      <c r="AK17" s="12"/>
      <c r="AL17" s="12" t="s">
        <v>88</v>
      </c>
      <c r="AM17" s="12"/>
      <c r="AN17" s="12"/>
      <c r="AO17" s="12"/>
      <c r="AP17" s="12"/>
    </row>
    <row r="18" customFormat="false" ht="30" hidden="false" customHeight="true" outlineLevel="0" collapsed="false">
      <c r="A18" s="12" t="s">
        <v>117</v>
      </c>
      <c r="B18" s="12" t="s">
        <v>77</v>
      </c>
      <c r="C18" s="12"/>
      <c r="D18" s="12" t="s">
        <v>78</v>
      </c>
      <c r="E18" s="12" t="s">
        <v>79</v>
      </c>
      <c r="F18" s="12" t="s">
        <v>118</v>
      </c>
      <c r="G18" s="12" t="n">
        <v>3</v>
      </c>
      <c r="H18" s="12" t="s">
        <v>81</v>
      </c>
      <c r="I18" s="12" t="s">
        <v>82</v>
      </c>
      <c r="J18" s="12"/>
      <c r="K18" s="12"/>
      <c r="L18" s="13" t="s">
        <v>83</v>
      </c>
      <c r="M18" s="13" t="s">
        <v>84</v>
      </c>
      <c r="N18" s="13" t="s">
        <v>85</v>
      </c>
      <c r="O18" s="12"/>
      <c r="P18" s="13"/>
      <c r="Q18" s="12"/>
      <c r="R18" s="12"/>
      <c r="S18" s="12"/>
      <c r="T18" s="12"/>
      <c r="U18" s="12" t="s">
        <v>86</v>
      </c>
      <c r="V18" s="13"/>
      <c r="W18" s="14" t="n">
        <v>19000</v>
      </c>
      <c r="X18" s="14"/>
      <c r="Y18" s="14"/>
      <c r="Z18" s="14"/>
      <c r="AA18" s="15" t="str">
        <f aca="false">IF(COUNT(X18,Y18,Z18)=0,"",SUM(X18,Y18,Z18))</f>
        <v/>
      </c>
      <c r="AB18" s="16" t="str">
        <f aca="false">IFERROR(IF(OR(W18="",AA18=""),"",(W18-AA18)/W18),"")</f>
        <v/>
      </c>
      <c r="AC18" s="17" t="str">
        <f aca="false">IFERROR(IF(OR(AA18="",AA18=0),"",W18/AA18),"")</f>
        <v/>
      </c>
      <c r="AD18" s="12" t="s">
        <v>87</v>
      </c>
      <c r="AE18" s="12" t="s">
        <v>88</v>
      </c>
      <c r="AF18" s="12"/>
      <c r="AG18" s="12"/>
      <c r="AH18" s="12"/>
      <c r="AI18" s="12"/>
      <c r="AJ18" s="12"/>
      <c r="AK18" s="12"/>
      <c r="AL18" s="12" t="s">
        <v>88</v>
      </c>
      <c r="AM18" s="12"/>
      <c r="AN18" s="12"/>
      <c r="AO18" s="12"/>
      <c r="AP18" s="12"/>
    </row>
    <row r="19" customFormat="false" ht="30" hidden="false" customHeight="true" outlineLevel="0" collapsed="false">
      <c r="A19" s="12" t="s">
        <v>119</v>
      </c>
      <c r="B19" s="12" t="s">
        <v>77</v>
      </c>
      <c r="C19" s="12"/>
      <c r="D19" s="12" t="s">
        <v>78</v>
      </c>
      <c r="E19" s="12" t="s">
        <v>79</v>
      </c>
      <c r="F19" s="12" t="s">
        <v>120</v>
      </c>
      <c r="G19" s="12" t="n">
        <v>3</v>
      </c>
      <c r="H19" s="12" t="s">
        <v>81</v>
      </c>
      <c r="I19" s="12" t="s">
        <v>82</v>
      </c>
      <c r="J19" s="12"/>
      <c r="K19" s="12"/>
      <c r="L19" s="13" t="s">
        <v>83</v>
      </c>
      <c r="M19" s="13" t="s">
        <v>84</v>
      </c>
      <c r="N19" s="13" t="s">
        <v>85</v>
      </c>
      <c r="O19" s="12"/>
      <c r="P19" s="13"/>
      <c r="Q19" s="12"/>
      <c r="R19" s="12"/>
      <c r="S19" s="12"/>
      <c r="T19" s="12"/>
      <c r="U19" s="12" t="s">
        <v>86</v>
      </c>
      <c r="V19" s="13"/>
      <c r="W19" s="14" t="n">
        <v>19000</v>
      </c>
      <c r="X19" s="14"/>
      <c r="Y19" s="14"/>
      <c r="Z19" s="14"/>
      <c r="AA19" s="15" t="str">
        <f aca="false">IF(COUNT(X19,Y19,Z19)=0,"",SUM(X19,Y19,Z19))</f>
        <v/>
      </c>
      <c r="AB19" s="16" t="str">
        <f aca="false">IFERROR(IF(OR(W19="",AA19=""),"",(W19-AA19)/W19),"")</f>
        <v/>
      </c>
      <c r="AC19" s="17" t="str">
        <f aca="false">IFERROR(IF(OR(AA19="",AA19=0),"",W19/AA19),"")</f>
        <v/>
      </c>
      <c r="AD19" s="12" t="s">
        <v>87</v>
      </c>
      <c r="AE19" s="12" t="s">
        <v>88</v>
      </c>
      <c r="AF19" s="12"/>
      <c r="AG19" s="12"/>
      <c r="AH19" s="12"/>
      <c r="AI19" s="12"/>
      <c r="AJ19" s="12"/>
      <c r="AK19" s="12"/>
      <c r="AL19" s="12" t="s">
        <v>88</v>
      </c>
      <c r="AM19" s="12"/>
      <c r="AN19" s="12"/>
      <c r="AO19" s="12"/>
      <c r="AP19" s="12"/>
    </row>
    <row r="20" customFormat="false" ht="30" hidden="false" customHeight="true" outlineLevel="0" collapsed="false">
      <c r="A20" s="12" t="s">
        <v>121</v>
      </c>
      <c r="B20" s="12" t="s">
        <v>77</v>
      </c>
      <c r="C20" s="12"/>
      <c r="D20" s="12" t="s">
        <v>78</v>
      </c>
      <c r="E20" s="12" t="s">
        <v>79</v>
      </c>
      <c r="F20" s="12" t="s">
        <v>122</v>
      </c>
      <c r="G20" s="12" t="n">
        <v>3</v>
      </c>
      <c r="H20" s="12" t="s">
        <v>81</v>
      </c>
      <c r="I20" s="12" t="s">
        <v>82</v>
      </c>
      <c r="J20" s="12"/>
      <c r="K20" s="12"/>
      <c r="L20" s="13" t="s">
        <v>83</v>
      </c>
      <c r="M20" s="13" t="s">
        <v>84</v>
      </c>
      <c r="N20" s="13" t="s">
        <v>85</v>
      </c>
      <c r="O20" s="12"/>
      <c r="P20" s="13"/>
      <c r="Q20" s="12"/>
      <c r="R20" s="12"/>
      <c r="S20" s="12"/>
      <c r="T20" s="12"/>
      <c r="U20" s="12" t="s">
        <v>86</v>
      </c>
      <c r="V20" s="13"/>
      <c r="W20" s="14" t="n">
        <v>19000</v>
      </c>
      <c r="X20" s="14"/>
      <c r="Y20" s="14"/>
      <c r="Z20" s="14"/>
      <c r="AA20" s="15" t="str">
        <f aca="false">IF(COUNT(X20,Y20,Z20)=0,"",SUM(X20,Y20,Z20))</f>
        <v/>
      </c>
      <c r="AB20" s="16" t="str">
        <f aca="false">IFERROR(IF(OR(W20="",AA20=""),"",(W20-AA20)/W20),"")</f>
        <v/>
      </c>
      <c r="AC20" s="17" t="str">
        <f aca="false">IFERROR(IF(OR(AA20="",AA20=0),"",W20/AA20),"")</f>
        <v/>
      </c>
      <c r="AD20" s="12" t="s">
        <v>87</v>
      </c>
      <c r="AE20" s="12" t="s">
        <v>88</v>
      </c>
      <c r="AF20" s="12"/>
      <c r="AG20" s="12"/>
      <c r="AH20" s="12"/>
      <c r="AI20" s="12"/>
      <c r="AJ20" s="12"/>
      <c r="AK20" s="12"/>
      <c r="AL20" s="12" t="s">
        <v>88</v>
      </c>
      <c r="AM20" s="12"/>
      <c r="AN20" s="12"/>
      <c r="AO20" s="12"/>
      <c r="AP20" s="12"/>
    </row>
    <row r="21" customFormat="false" ht="30" hidden="false" customHeight="true" outlineLevel="0" collapsed="false">
      <c r="A21" s="12" t="s">
        <v>123</v>
      </c>
      <c r="B21" s="12" t="s">
        <v>77</v>
      </c>
      <c r="C21" s="12"/>
      <c r="D21" s="12" t="s">
        <v>78</v>
      </c>
      <c r="E21" s="12" t="s">
        <v>79</v>
      </c>
      <c r="F21" s="12" t="s">
        <v>124</v>
      </c>
      <c r="G21" s="12" t="n">
        <v>3</v>
      </c>
      <c r="H21" s="12" t="s">
        <v>81</v>
      </c>
      <c r="I21" s="12" t="s">
        <v>82</v>
      </c>
      <c r="J21" s="12"/>
      <c r="K21" s="12"/>
      <c r="L21" s="13" t="s">
        <v>83</v>
      </c>
      <c r="M21" s="13" t="s">
        <v>84</v>
      </c>
      <c r="N21" s="13" t="s">
        <v>85</v>
      </c>
      <c r="O21" s="12"/>
      <c r="P21" s="13"/>
      <c r="Q21" s="12"/>
      <c r="R21" s="12"/>
      <c r="S21" s="12"/>
      <c r="T21" s="12"/>
      <c r="U21" s="12" t="s">
        <v>86</v>
      </c>
      <c r="V21" s="13"/>
      <c r="W21" s="14" t="n">
        <v>19000</v>
      </c>
      <c r="X21" s="14"/>
      <c r="Y21" s="14"/>
      <c r="Z21" s="14"/>
      <c r="AA21" s="15" t="str">
        <f aca="false">IF(COUNT(X21,Y21,Z21)=0,"",SUM(X21,Y21,Z21))</f>
        <v/>
      </c>
      <c r="AB21" s="16" t="str">
        <f aca="false">IFERROR(IF(OR(W21="",AA21=""),"",(W21-AA21)/W21),"")</f>
        <v/>
      </c>
      <c r="AC21" s="17" t="str">
        <f aca="false">IFERROR(IF(OR(AA21="",AA21=0),"",W21/AA21),"")</f>
        <v/>
      </c>
      <c r="AD21" s="12" t="s">
        <v>87</v>
      </c>
      <c r="AE21" s="12" t="s">
        <v>88</v>
      </c>
      <c r="AF21" s="12"/>
      <c r="AG21" s="12"/>
      <c r="AH21" s="12"/>
      <c r="AI21" s="12"/>
      <c r="AJ21" s="12"/>
      <c r="AK21" s="12"/>
      <c r="AL21" s="12" t="s">
        <v>88</v>
      </c>
      <c r="AM21" s="12"/>
      <c r="AN21" s="12"/>
      <c r="AO21" s="12"/>
      <c r="AP21" s="12"/>
    </row>
    <row r="22" customFormat="false" ht="30" hidden="false" customHeight="true" outlineLevel="0" collapsed="false">
      <c r="A22" s="12" t="s">
        <v>125</v>
      </c>
      <c r="B22" s="12" t="s">
        <v>77</v>
      </c>
      <c r="C22" s="12"/>
      <c r="D22" s="12" t="s">
        <v>78</v>
      </c>
      <c r="E22" s="12" t="s">
        <v>79</v>
      </c>
      <c r="F22" s="12" t="s">
        <v>126</v>
      </c>
      <c r="G22" s="12" t="n">
        <v>3</v>
      </c>
      <c r="H22" s="12" t="s">
        <v>81</v>
      </c>
      <c r="I22" s="12" t="s">
        <v>82</v>
      </c>
      <c r="J22" s="12"/>
      <c r="K22" s="12"/>
      <c r="L22" s="13" t="s">
        <v>83</v>
      </c>
      <c r="M22" s="13" t="s">
        <v>84</v>
      </c>
      <c r="N22" s="13" t="s">
        <v>85</v>
      </c>
      <c r="O22" s="12"/>
      <c r="P22" s="13"/>
      <c r="Q22" s="12"/>
      <c r="R22" s="12"/>
      <c r="S22" s="12"/>
      <c r="T22" s="12"/>
      <c r="U22" s="12" t="s">
        <v>86</v>
      </c>
      <c r="V22" s="13"/>
      <c r="W22" s="14" t="n">
        <v>19000</v>
      </c>
      <c r="X22" s="14"/>
      <c r="Y22" s="14"/>
      <c r="Z22" s="14"/>
      <c r="AA22" s="15" t="str">
        <f aca="false">IF(COUNT(X22,Y22,Z22)=0,"",SUM(X22,Y22,Z22))</f>
        <v/>
      </c>
      <c r="AB22" s="16" t="str">
        <f aca="false">IFERROR(IF(OR(W22="",AA22=""),"",(W22-AA22)/W22),"")</f>
        <v/>
      </c>
      <c r="AC22" s="17" t="str">
        <f aca="false">IFERROR(IF(OR(AA22="",AA22=0),"",W22/AA22),"")</f>
        <v/>
      </c>
      <c r="AD22" s="12" t="s">
        <v>87</v>
      </c>
      <c r="AE22" s="12" t="s">
        <v>88</v>
      </c>
      <c r="AF22" s="12"/>
      <c r="AG22" s="12"/>
      <c r="AH22" s="12"/>
      <c r="AI22" s="12"/>
      <c r="AJ22" s="12"/>
      <c r="AK22" s="12"/>
      <c r="AL22" s="12" t="s">
        <v>88</v>
      </c>
      <c r="AM22" s="12"/>
      <c r="AN22" s="12"/>
      <c r="AO22" s="12"/>
      <c r="AP22" s="12"/>
    </row>
    <row r="23" customFormat="false" ht="30" hidden="false" customHeight="true" outlineLevel="0" collapsed="false">
      <c r="A23" s="12" t="s">
        <v>127</v>
      </c>
      <c r="B23" s="12" t="s">
        <v>77</v>
      </c>
      <c r="C23" s="12"/>
      <c r="D23" s="12" t="s">
        <v>78</v>
      </c>
      <c r="E23" s="12" t="s">
        <v>79</v>
      </c>
      <c r="F23" s="12" t="s">
        <v>128</v>
      </c>
      <c r="G23" s="12" t="n">
        <v>3</v>
      </c>
      <c r="H23" s="12" t="s">
        <v>81</v>
      </c>
      <c r="I23" s="12" t="s">
        <v>82</v>
      </c>
      <c r="J23" s="12"/>
      <c r="K23" s="12"/>
      <c r="L23" s="13" t="s">
        <v>83</v>
      </c>
      <c r="M23" s="13" t="s">
        <v>84</v>
      </c>
      <c r="N23" s="13" t="s">
        <v>85</v>
      </c>
      <c r="O23" s="12"/>
      <c r="P23" s="13"/>
      <c r="Q23" s="12"/>
      <c r="R23" s="12"/>
      <c r="S23" s="12"/>
      <c r="T23" s="12"/>
      <c r="U23" s="12" t="s">
        <v>86</v>
      </c>
      <c r="V23" s="13"/>
      <c r="W23" s="14" t="n">
        <v>19000</v>
      </c>
      <c r="X23" s="14"/>
      <c r="Y23" s="14"/>
      <c r="Z23" s="14"/>
      <c r="AA23" s="15" t="str">
        <f aca="false">IF(COUNT(X23,Y23,Z23)=0,"",SUM(X23,Y23,Z23))</f>
        <v/>
      </c>
      <c r="AB23" s="16" t="str">
        <f aca="false">IFERROR(IF(OR(W23="",AA23=""),"",(W23-AA23)/W23),"")</f>
        <v/>
      </c>
      <c r="AC23" s="17" t="str">
        <f aca="false">IFERROR(IF(OR(AA23="",AA23=0),"",W23/AA23),"")</f>
        <v/>
      </c>
      <c r="AD23" s="12" t="s">
        <v>87</v>
      </c>
      <c r="AE23" s="12" t="s">
        <v>88</v>
      </c>
      <c r="AF23" s="12"/>
      <c r="AG23" s="12"/>
      <c r="AH23" s="12"/>
      <c r="AI23" s="12"/>
      <c r="AJ23" s="12"/>
      <c r="AK23" s="12"/>
      <c r="AL23" s="12" t="s">
        <v>88</v>
      </c>
      <c r="AM23" s="12"/>
      <c r="AN23" s="12"/>
      <c r="AO23" s="12"/>
      <c r="AP23" s="12"/>
    </row>
    <row r="24" customFormat="false" ht="30" hidden="false" customHeight="true" outlineLevel="0" collapsed="false">
      <c r="A24" s="12" t="s">
        <v>129</v>
      </c>
      <c r="B24" s="12" t="s">
        <v>77</v>
      </c>
      <c r="C24" s="12"/>
      <c r="D24" s="12" t="s">
        <v>78</v>
      </c>
      <c r="E24" s="12" t="s">
        <v>79</v>
      </c>
      <c r="F24" s="12" t="s">
        <v>130</v>
      </c>
      <c r="G24" s="12" t="n">
        <v>3</v>
      </c>
      <c r="H24" s="12" t="s">
        <v>81</v>
      </c>
      <c r="I24" s="12" t="s">
        <v>82</v>
      </c>
      <c r="J24" s="12"/>
      <c r="K24" s="12"/>
      <c r="L24" s="13" t="s">
        <v>83</v>
      </c>
      <c r="M24" s="13" t="s">
        <v>84</v>
      </c>
      <c r="N24" s="13" t="s">
        <v>85</v>
      </c>
      <c r="O24" s="12"/>
      <c r="P24" s="13"/>
      <c r="Q24" s="12"/>
      <c r="R24" s="12"/>
      <c r="S24" s="12"/>
      <c r="T24" s="12"/>
      <c r="U24" s="12" t="s">
        <v>86</v>
      </c>
      <c r="V24" s="13"/>
      <c r="W24" s="14" t="n">
        <v>19000</v>
      </c>
      <c r="X24" s="14"/>
      <c r="Y24" s="14"/>
      <c r="Z24" s="14"/>
      <c r="AA24" s="15" t="str">
        <f aca="false">IF(COUNT(X24,Y24,Z24)=0,"",SUM(X24,Y24,Z24))</f>
        <v/>
      </c>
      <c r="AB24" s="16" t="str">
        <f aca="false">IFERROR(IF(OR(W24="",AA24=""),"",(W24-AA24)/W24),"")</f>
        <v/>
      </c>
      <c r="AC24" s="17" t="str">
        <f aca="false">IFERROR(IF(OR(AA24="",AA24=0),"",W24/AA24),"")</f>
        <v/>
      </c>
      <c r="AD24" s="12" t="s">
        <v>87</v>
      </c>
      <c r="AE24" s="12" t="s">
        <v>88</v>
      </c>
      <c r="AF24" s="12"/>
      <c r="AG24" s="12"/>
      <c r="AH24" s="12"/>
      <c r="AI24" s="12"/>
      <c r="AJ24" s="12"/>
      <c r="AK24" s="12"/>
      <c r="AL24" s="12" t="s">
        <v>88</v>
      </c>
      <c r="AM24" s="12"/>
      <c r="AN24" s="12"/>
      <c r="AO24" s="12"/>
      <c r="AP24" s="12"/>
    </row>
    <row r="25" customFormat="false" ht="30" hidden="false" customHeight="true" outlineLevel="0" collapsed="false">
      <c r="A25" s="12" t="s">
        <v>131</v>
      </c>
      <c r="B25" s="12" t="s">
        <v>77</v>
      </c>
      <c r="C25" s="12"/>
      <c r="D25" s="12" t="s">
        <v>78</v>
      </c>
      <c r="E25" s="12" t="s">
        <v>79</v>
      </c>
      <c r="F25" s="12" t="s">
        <v>132</v>
      </c>
      <c r="G25" s="12" t="n">
        <v>3</v>
      </c>
      <c r="H25" s="12" t="s">
        <v>81</v>
      </c>
      <c r="I25" s="12" t="s">
        <v>82</v>
      </c>
      <c r="J25" s="12"/>
      <c r="K25" s="12"/>
      <c r="L25" s="13" t="s">
        <v>83</v>
      </c>
      <c r="M25" s="13" t="s">
        <v>84</v>
      </c>
      <c r="N25" s="13" t="s">
        <v>85</v>
      </c>
      <c r="O25" s="12"/>
      <c r="P25" s="13"/>
      <c r="Q25" s="12"/>
      <c r="R25" s="12"/>
      <c r="S25" s="12"/>
      <c r="T25" s="12"/>
      <c r="U25" s="12" t="s">
        <v>86</v>
      </c>
      <c r="V25" s="13"/>
      <c r="W25" s="14" t="n">
        <v>19000</v>
      </c>
      <c r="X25" s="14"/>
      <c r="Y25" s="14"/>
      <c r="Z25" s="14"/>
      <c r="AA25" s="15" t="str">
        <f aca="false">IF(COUNT(X25,Y25,Z25)=0,"",SUM(X25,Y25,Z25))</f>
        <v/>
      </c>
      <c r="AB25" s="16" t="str">
        <f aca="false">IFERROR(IF(OR(W25="",AA25=""),"",(W25-AA25)/W25),"")</f>
        <v/>
      </c>
      <c r="AC25" s="17" t="str">
        <f aca="false">IFERROR(IF(OR(AA25="",AA25=0),"",W25/AA25),"")</f>
        <v/>
      </c>
      <c r="AD25" s="12" t="s">
        <v>87</v>
      </c>
      <c r="AE25" s="12" t="s">
        <v>88</v>
      </c>
      <c r="AF25" s="12"/>
      <c r="AG25" s="12"/>
      <c r="AH25" s="12"/>
      <c r="AI25" s="12"/>
      <c r="AJ25" s="12"/>
      <c r="AK25" s="12"/>
      <c r="AL25" s="12" t="s">
        <v>88</v>
      </c>
      <c r="AM25" s="12"/>
      <c r="AN25" s="12"/>
      <c r="AO25" s="12"/>
      <c r="AP25" s="12"/>
    </row>
    <row r="26" customFormat="false" ht="30" hidden="false" customHeight="true" outlineLevel="0" collapsed="false">
      <c r="A26" s="12" t="s">
        <v>133</v>
      </c>
      <c r="B26" s="12" t="s">
        <v>77</v>
      </c>
      <c r="C26" s="12"/>
      <c r="D26" s="12" t="s">
        <v>78</v>
      </c>
      <c r="E26" s="12" t="s">
        <v>79</v>
      </c>
      <c r="F26" s="12" t="s">
        <v>134</v>
      </c>
      <c r="G26" s="12" t="n">
        <v>3</v>
      </c>
      <c r="H26" s="12" t="s">
        <v>81</v>
      </c>
      <c r="I26" s="12" t="s">
        <v>82</v>
      </c>
      <c r="J26" s="12"/>
      <c r="K26" s="12"/>
      <c r="L26" s="13" t="s">
        <v>83</v>
      </c>
      <c r="M26" s="13" t="s">
        <v>84</v>
      </c>
      <c r="N26" s="13" t="s">
        <v>85</v>
      </c>
      <c r="O26" s="12"/>
      <c r="P26" s="13"/>
      <c r="Q26" s="12"/>
      <c r="R26" s="12"/>
      <c r="S26" s="12"/>
      <c r="T26" s="12"/>
      <c r="U26" s="12" t="s">
        <v>86</v>
      </c>
      <c r="V26" s="13"/>
      <c r="W26" s="14" t="n">
        <v>19000</v>
      </c>
      <c r="X26" s="14"/>
      <c r="Y26" s="14"/>
      <c r="Z26" s="14"/>
      <c r="AA26" s="15" t="str">
        <f aca="false">IF(COUNT(X26,Y26,Z26)=0,"",SUM(X26,Y26,Z26))</f>
        <v/>
      </c>
      <c r="AB26" s="16" t="str">
        <f aca="false">IFERROR(IF(OR(W26="",AA26=""),"",(W26-AA26)/W26),"")</f>
        <v/>
      </c>
      <c r="AC26" s="17" t="str">
        <f aca="false">IFERROR(IF(OR(AA26="",AA26=0),"",W26/AA26),"")</f>
        <v/>
      </c>
      <c r="AD26" s="12" t="s">
        <v>87</v>
      </c>
      <c r="AE26" s="12" t="s">
        <v>88</v>
      </c>
      <c r="AF26" s="12"/>
      <c r="AG26" s="12"/>
      <c r="AH26" s="12"/>
      <c r="AI26" s="12"/>
      <c r="AJ26" s="12"/>
      <c r="AK26" s="12"/>
      <c r="AL26" s="12" t="s">
        <v>88</v>
      </c>
      <c r="AM26" s="12"/>
      <c r="AN26" s="12"/>
      <c r="AO26" s="12"/>
      <c r="AP26" s="12"/>
    </row>
    <row r="27" customFormat="false" ht="30" hidden="false" customHeight="true" outlineLevel="0" collapsed="false">
      <c r="A27" s="12" t="s">
        <v>135</v>
      </c>
      <c r="B27" s="12" t="s">
        <v>77</v>
      </c>
      <c r="C27" s="12"/>
      <c r="D27" s="12" t="s">
        <v>78</v>
      </c>
      <c r="E27" s="12" t="s">
        <v>79</v>
      </c>
      <c r="F27" s="12" t="s">
        <v>136</v>
      </c>
      <c r="G27" s="12" t="n">
        <v>3</v>
      </c>
      <c r="H27" s="12" t="s">
        <v>81</v>
      </c>
      <c r="I27" s="12" t="s">
        <v>82</v>
      </c>
      <c r="J27" s="12"/>
      <c r="K27" s="12"/>
      <c r="L27" s="13" t="s">
        <v>83</v>
      </c>
      <c r="M27" s="13" t="s">
        <v>84</v>
      </c>
      <c r="N27" s="13" t="s">
        <v>85</v>
      </c>
      <c r="O27" s="12"/>
      <c r="P27" s="13"/>
      <c r="Q27" s="12"/>
      <c r="R27" s="12"/>
      <c r="S27" s="12"/>
      <c r="T27" s="12"/>
      <c r="U27" s="12" t="s">
        <v>86</v>
      </c>
      <c r="V27" s="13"/>
      <c r="W27" s="14" t="n">
        <v>19000</v>
      </c>
      <c r="X27" s="14"/>
      <c r="Y27" s="14"/>
      <c r="Z27" s="14"/>
      <c r="AA27" s="15" t="str">
        <f aca="false">IF(COUNT(X27,Y27,Z27)=0,"",SUM(X27,Y27,Z27))</f>
        <v/>
      </c>
      <c r="AB27" s="16" t="str">
        <f aca="false">IFERROR(IF(OR(W27="",AA27=""),"",(W27-AA27)/W27),"")</f>
        <v/>
      </c>
      <c r="AC27" s="17" t="str">
        <f aca="false">IFERROR(IF(OR(AA27="",AA27=0),"",W27/AA27),"")</f>
        <v/>
      </c>
      <c r="AD27" s="12" t="s">
        <v>87</v>
      </c>
      <c r="AE27" s="12" t="s">
        <v>88</v>
      </c>
      <c r="AF27" s="12"/>
      <c r="AG27" s="12"/>
      <c r="AH27" s="12"/>
      <c r="AI27" s="12"/>
      <c r="AJ27" s="12"/>
      <c r="AK27" s="12"/>
      <c r="AL27" s="12" t="s">
        <v>88</v>
      </c>
      <c r="AM27" s="12"/>
      <c r="AN27" s="12"/>
      <c r="AO27" s="12"/>
      <c r="AP27" s="12"/>
    </row>
    <row r="28" customFormat="false" ht="30" hidden="false" customHeight="true" outlineLevel="0" collapsed="false">
      <c r="A28" s="12" t="s">
        <v>137</v>
      </c>
      <c r="B28" s="12" t="s">
        <v>77</v>
      </c>
      <c r="C28" s="12"/>
      <c r="D28" s="12" t="s">
        <v>78</v>
      </c>
      <c r="E28" s="12" t="s">
        <v>79</v>
      </c>
      <c r="F28" s="12" t="s">
        <v>138</v>
      </c>
      <c r="G28" s="12" t="n">
        <v>3</v>
      </c>
      <c r="H28" s="12" t="s">
        <v>81</v>
      </c>
      <c r="I28" s="12" t="s">
        <v>82</v>
      </c>
      <c r="J28" s="12"/>
      <c r="K28" s="12"/>
      <c r="L28" s="13" t="s">
        <v>83</v>
      </c>
      <c r="M28" s="13" t="s">
        <v>84</v>
      </c>
      <c r="N28" s="13" t="s">
        <v>85</v>
      </c>
      <c r="O28" s="12"/>
      <c r="P28" s="13"/>
      <c r="Q28" s="12"/>
      <c r="R28" s="12"/>
      <c r="S28" s="12"/>
      <c r="T28" s="12"/>
      <c r="U28" s="12" t="s">
        <v>86</v>
      </c>
      <c r="V28" s="13"/>
      <c r="W28" s="14" t="n">
        <v>19000</v>
      </c>
      <c r="X28" s="14"/>
      <c r="Y28" s="14"/>
      <c r="Z28" s="14"/>
      <c r="AA28" s="15" t="str">
        <f aca="false">IF(COUNT(X28,Y28,Z28)=0,"",SUM(X28,Y28,Z28))</f>
        <v/>
      </c>
      <c r="AB28" s="16" t="str">
        <f aca="false">IFERROR(IF(OR(W28="",AA28=""),"",(W28-AA28)/W28),"")</f>
        <v/>
      </c>
      <c r="AC28" s="17" t="str">
        <f aca="false">IFERROR(IF(OR(AA28="",AA28=0),"",W28/AA28),"")</f>
        <v/>
      </c>
      <c r="AD28" s="12" t="s">
        <v>87</v>
      </c>
      <c r="AE28" s="12" t="s">
        <v>88</v>
      </c>
      <c r="AF28" s="12"/>
      <c r="AG28" s="12"/>
      <c r="AH28" s="12"/>
      <c r="AI28" s="12"/>
      <c r="AJ28" s="12"/>
      <c r="AK28" s="12"/>
      <c r="AL28" s="12" t="s">
        <v>88</v>
      </c>
      <c r="AM28" s="12"/>
      <c r="AN28" s="12"/>
      <c r="AO28" s="12"/>
      <c r="AP28" s="12"/>
    </row>
    <row r="29" customFormat="false" ht="30" hidden="false" customHeight="true" outlineLevel="0" collapsed="false">
      <c r="A29" s="12" t="s">
        <v>139</v>
      </c>
      <c r="B29" s="12" t="s">
        <v>77</v>
      </c>
      <c r="C29" s="12"/>
      <c r="D29" s="12" t="s">
        <v>78</v>
      </c>
      <c r="E29" s="12" t="s">
        <v>79</v>
      </c>
      <c r="F29" s="12" t="s">
        <v>140</v>
      </c>
      <c r="G29" s="12" t="n">
        <v>3</v>
      </c>
      <c r="H29" s="12" t="s">
        <v>81</v>
      </c>
      <c r="I29" s="12" t="s">
        <v>82</v>
      </c>
      <c r="J29" s="12"/>
      <c r="K29" s="12"/>
      <c r="L29" s="13" t="s">
        <v>83</v>
      </c>
      <c r="M29" s="13" t="s">
        <v>84</v>
      </c>
      <c r="N29" s="13" t="s">
        <v>85</v>
      </c>
      <c r="O29" s="12"/>
      <c r="P29" s="13"/>
      <c r="Q29" s="12"/>
      <c r="R29" s="12"/>
      <c r="S29" s="12"/>
      <c r="T29" s="12"/>
      <c r="U29" s="12" t="s">
        <v>86</v>
      </c>
      <c r="V29" s="13"/>
      <c r="W29" s="14" t="n">
        <v>19000</v>
      </c>
      <c r="X29" s="14"/>
      <c r="Y29" s="14"/>
      <c r="Z29" s="14"/>
      <c r="AA29" s="15" t="str">
        <f aca="false">IF(COUNT(X29,Y29,Z29)=0,"",SUM(X29,Y29,Z29))</f>
        <v/>
      </c>
      <c r="AB29" s="16" t="str">
        <f aca="false">IFERROR(IF(OR(W29="",AA29=""),"",(W29-AA29)/W29),"")</f>
        <v/>
      </c>
      <c r="AC29" s="17" t="str">
        <f aca="false">IFERROR(IF(OR(AA29="",AA29=0),"",W29/AA29),"")</f>
        <v/>
      </c>
      <c r="AD29" s="12" t="s">
        <v>87</v>
      </c>
      <c r="AE29" s="12" t="s">
        <v>88</v>
      </c>
      <c r="AF29" s="12"/>
      <c r="AG29" s="12"/>
      <c r="AH29" s="12"/>
      <c r="AI29" s="12"/>
      <c r="AJ29" s="12"/>
      <c r="AK29" s="12"/>
      <c r="AL29" s="12" t="s">
        <v>88</v>
      </c>
      <c r="AM29" s="12"/>
      <c r="AN29" s="12"/>
      <c r="AO29" s="12"/>
      <c r="AP29" s="12"/>
    </row>
    <row r="30" customFormat="false" ht="30" hidden="false" customHeight="true" outlineLevel="0" collapsed="false">
      <c r="A30" s="12" t="s">
        <v>141</v>
      </c>
      <c r="B30" s="12" t="s">
        <v>77</v>
      </c>
      <c r="C30" s="12"/>
      <c r="D30" s="12" t="s">
        <v>78</v>
      </c>
      <c r="E30" s="12" t="s">
        <v>79</v>
      </c>
      <c r="F30" s="12" t="s">
        <v>142</v>
      </c>
      <c r="G30" s="12" t="n">
        <v>3</v>
      </c>
      <c r="H30" s="12" t="s">
        <v>81</v>
      </c>
      <c r="I30" s="12" t="s">
        <v>82</v>
      </c>
      <c r="J30" s="12"/>
      <c r="K30" s="12"/>
      <c r="L30" s="13" t="s">
        <v>83</v>
      </c>
      <c r="M30" s="13" t="s">
        <v>84</v>
      </c>
      <c r="N30" s="13" t="s">
        <v>85</v>
      </c>
      <c r="O30" s="12"/>
      <c r="P30" s="13"/>
      <c r="Q30" s="12"/>
      <c r="R30" s="12"/>
      <c r="S30" s="12"/>
      <c r="T30" s="12"/>
      <c r="U30" s="12" t="s">
        <v>86</v>
      </c>
      <c r="V30" s="13"/>
      <c r="W30" s="14" t="n">
        <v>19000</v>
      </c>
      <c r="X30" s="14"/>
      <c r="Y30" s="14"/>
      <c r="Z30" s="14"/>
      <c r="AA30" s="15" t="str">
        <f aca="false">IF(COUNT(X30,Y30,Z30)=0,"",SUM(X30,Y30,Z30))</f>
        <v/>
      </c>
      <c r="AB30" s="16" t="str">
        <f aca="false">IFERROR(IF(OR(W30="",AA30=""),"",(W30-AA30)/W30),"")</f>
        <v/>
      </c>
      <c r="AC30" s="17" t="str">
        <f aca="false">IFERROR(IF(OR(AA30="",AA30=0),"",W30/AA30),"")</f>
        <v/>
      </c>
      <c r="AD30" s="12" t="s">
        <v>87</v>
      </c>
      <c r="AE30" s="12" t="s">
        <v>88</v>
      </c>
      <c r="AF30" s="12"/>
      <c r="AG30" s="12"/>
      <c r="AH30" s="12"/>
      <c r="AI30" s="12"/>
      <c r="AJ30" s="12"/>
      <c r="AK30" s="12"/>
      <c r="AL30" s="12" t="s">
        <v>88</v>
      </c>
      <c r="AM30" s="12"/>
      <c r="AN30" s="12"/>
      <c r="AO30" s="12"/>
      <c r="AP30" s="12"/>
    </row>
    <row r="31" customFormat="false" ht="30" hidden="false" customHeight="true" outlineLevel="0" collapsed="false">
      <c r="A31" s="12" t="s">
        <v>143</v>
      </c>
      <c r="B31" s="12" t="s">
        <v>77</v>
      </c>
      <c r="C31" s="12"/>
      <c r="D31" s="12" t="s">
        <v>78</v>
      </c>
      <c r="E31" s="12" t="s">
        <v>79</v>
      </c>
      <c r="F31" s="12" t="s">
        <v>144</v>
      </c>
      <c r="G31" s="12" t="n">
        <v>3</v>
      </c>
      <c r="H31" s="12" t="s">
        <v>81</v>
      </c>
      <c r="I31" s="12" t="s">
        <v>82</v>
      </c>
      <c r="J31" s="12"/>
      <c r="K31" s="12"/>
      <c r="L31" s="13" t="s">
        <v>83</v>
      </c>
      <c r="M31" s="13" t="s">
        <v>84</v>
      </c>
      <c r="N31" s="13" t="s">
        <v>85</v>
      </c>
      <c r="O31" s="12"/>
      <c r="P31" s="13"/>
      <c r="Q31" s="12"/>
      <c r="R31" s="12"/>
      <c r="S31" s="12"/>
      <c r="T31" s="12"/>
      <c r="U31" s="12" t="s">
        <v>86</v>
      </c>
      <c r="V31" s="13"/>
      <c r="W31" s="14" t="n">
        <v>19000</v>
      </c>
      <c r="X31" s="14"/>
      <c r="Y31" s="14"/>
      <c r="Z31" s="14"/>
      <c r="AA31" s="15" t="str">
        <f aca="false">IF(COUNT(X31,Y31,Z31)=0,"",SUM(X31,Y31,Z31))</f>
        <v/>
      </c>
      <c r="AB31" s="16" t="str">
        <f aca="false">IFERROR(IF(OR(W31="",AA31=""),"",(W31-AA31)/W31),"")</f>
        <v/>
      </c>
      <c r="AC31" s="17" t="str">
        <f aca="false">IFERROR(IF(OR(AA31="",AA31=0),"",W31/AA31),"")</f>
        <v/>
      </c>
      <c r="AD31" s="12" t="s">
        <v>87</v>
      </c>
      <c r="AE31" s="12" t="s">
        <v>88</v>
      </c>
      <c r="AF31" s="12"/>
      <c r="AG31" s="12"/>
      <c r="AH31" s="12"/>
      <c r="AI31" s="12"/>
      <c r="AJ31" s="12"/>
      <c r="AK31" s="12"/>
      <c r="AL31" s="12" t="s">
        <v>88</v>
      </c>
      <c r="AM31" s="12"/>
      <c r="AN31" s="12"/>
      <c r="AO31" s="12"/>
      <c r="AP31" s="12"/>
    </row>
    <row r="32" customFormat="false" ht="30" hidden="false" customHeight="true" outlineLevel="0" collapsed="false">
      <c r="A32" s="12" t="s">
        <v>145</v>
      </c>
      <c r="B32" s="12" t="s">
        <v>77</v>
      </c>
      <c r="C32" s="12"/>
      <c r="D32" s="12" t="s">
        <v>78</v>
      </c>
      <c r="E32" s="12" t="s">
        <v>79</v>
      </c>
      <c r="F32" s="12" t="s">
        <v>146</v>
      </c>
      <c r="G32" s="12" t="n">
        <v>3</v>
      </c>
      <c r="H32" s="12" t="s">
        <v>81</v>
      </c>
      <c r="I32" s="12" t="s">
        <v>82</v>
      </c>
      <c r="J32" s="12"/>
      <c r="K32" s="12"/>
      <c r="L32" s="13" t="s">
        <v>83</v>
      </c>
      <c r="M32" s="13" t="s">
        <v>84</v>
      </c>
      <c r="N32" s="13" t="s">
        <v>85</v>
      </c>
      <c r="O32" s="12"/>
      <c r="P32" s="13"/>
      <c r="Q32" s="12"/>
      <c r="R32" s="12"/>
      <c r="S32" s="12"/>
      <c r="T32" s="12"/>
      <c r="U32" s="12" t="s">
        <v>86</v>
      </c>
      <c r="V32" s="13"/>
      <c r="W32" s="14" t="n">
        <v>19000</v>
      </c>
      <c r="X32" s="14"/>
      <c r="Y32" s="14"/>
      <c r="Z32" s="14"/>
      <c r="AA32" s="15" t="str">
        <f aca="false">IF(COUNT(X32,Y32,Z32)=0,"",SUM(X32,Y32,Z32))</f>
        <v/>
      </c>
      <c r="AB32" s="16" t="str">
        <f aca="false">IFERROR(IF(OR(W32="",AA32=""),"",(W32-AA32)/W32),"")</f>
        <v/>
      </c>
      <c r="AC32" s="17" t="str">
        <f aca="false">IFERROR(IF(OR(AA32="",AA32=0),"",W32/AA32),"")</f>
        <v/>
      </c>
      <c r="AD32" s="12" t="s">
        <v>87</v>
      </c>
      <c r="AE32" s="12" t="s">
        <v>88</v>
      </c>
      <c r="AF32" s="12"/>
      <c r="AG32" s="12"/>
      <c r="AH32" s="12"/>
      <c r="AI32" s="12"/>
      <c r="AJ32" s="12"/>
      <c r="AK32" s="12"/>
      <c r="AL32" s="12" t="s">
        <v>88</v>
      </c>
      <c r="AM32" s="12"/>
      <c r="AN32" s="12"/>
      <c r="AO32" s="12"/>
      <c r="AP32" s="12"/>
    </row>
    <row r="33" customFormat="false" ht="30" hidden="false" customHeight="true" outlineLevel="0" collapsed="false">
      <c r="A33" s="12" t="s">
        <v>147</v>
      </c>
      <c r="B33" s="12" t="s">
        <v>77</v>
      </c>
      <c r="C33" s="12"/>
      <c r="D33" s="12" t="s">
        <v>78</v>
      </c>
      <c r="E33" s="12" t="s">
        <v>79</v>
      </c>
      <c r="F33" s="12" t="s">
        <v>148</v>
      </c>
      <c r="G33" s="12" t="n">
        <v>3</v>
      </c>
      <c r="H33" s="12" t="s">
        <v>81</v>
      </c>
      <c r="I33" s="12" t="s">
        <v>82</v>
      </c>
      <c r="J33" s="12"/>
      <c r="K33" s="12"/>
      <c r="L33" s="13" t="s">
        <v>83</v>
      </c>
      <c r="M33" s="13" t="s">
        <v>84</v>
      </c>
      <c r="N33" s="13" t="s">
        <v>85</v>
      </c>
      <c r="O33" s="12"/>
      <c r="P33" s="13"/>
      <c r="Q33" s="12"/>
      <c r="R33" s="12"/>
      <c r="S33" s="12"/>
      <c r="T33" s="12"/>
      <c r="U33" s="12" t="s">
        <v>86</v>
      </c>
      <c r="V33" s="13"/>
      <c r="W33" s="14" t="n">
        <v>19000</v>
      </c>
      <c r="X33" s="14"/>
      <c r="Y33" s="14"/>
      <c r="Z33" s="14"/>
      <c r="AA33" s="15" t="str">
        <f aca="false">IF(COUNT(X33,Y33,Z33)=0,"",SUM(X33,Y33,Z33))</f>
        <v/>
      </c>
      <c r="AB33" s="16" t="str">
        <f aca="false">IFERROR(IF(OR(W33="",AA33=""),"",(W33-AA33)/W33),"")</f>
        <v/>
      </c>
      <c r="AC33" s="17" t="str">
        <f aca="false">IFERROR(IF(OR(AA33="",AA33=0),"",W33/AA33),"")</f>
        <v/>
      </c>
      <c r="AD33" s="12" t="s">
        <v>87</v>
      </c>
      <c r="AE33" s="12" t="s">
        <v>88</v>
      </c>
      <c r="AF33" s="12"/>
      <c r="AG33" s="12"/>
      <c r="AH33" s="12"/>
      <c r="AI33" s="12"/>
      <c r="AJ33" s="12"/>
      <c r="AK33" s="12"/>
      <c r="AL33" s="12" t="s">
        <v>88</v>
      </c>
      <c r="AM33" s="12"/>
      <c r="AN33" s="12"/>
      <c r="AO33" s="12"/>
      <c r="AP33" s="12"/>
    </row>
    <row r="34" customFormat="false" ht="30" hidden="false" customHeight="true" outlineLevel="0" collapsed="false">
      <c r="A34" s="12" t="s">
        <v>149</v>
      </c>
      <c r="B34" s="12" t="s">
        <v>77</v>
      </c>
      <c r="C34" s="12"/>
      <c r="D34" s="12" t="s">
        <v>78</v>
      </c>
      <c r="E34" s="12" t="s">
        <v>79</v>
      </c>
      <c r="F34" s="12" t="s">
        <v>150</v>
      </c>
      <c r="G34" s="12" t="n">
        <v>3</v>
      </c>
      <c r="H34" s="12" t="s">
        <v>81</v>
      </c>
      <c r="I34" s="12" t="s">
        <v>82</v>
      </c>
      <c r="J34" s="12"/>
      <c r="K34" s="12"/>
      <c r="L34" s="13" t="s">
        <v>83</v>
      </c>
      <c r="M34" s="13" t="s">
        <v>84</v>
      </c>
      <c r="N34" s="13" t="s">
        <v>85</v>
      </c>
      <c r="O34" s="12"/>
      <c r="P34" s="13"/>
      <c r="Q34" s="12"/>
      <c r="R34" s="12"/>
      <c r="S34" s="12"/>
      <c r="T34" s="12"/>
      <c r="U34" s="12" t="s">
        <v>86</v>
      </c>
      <c r="V34" s="13"/>
      <c r="W34" s="14" t="n">
        <v>19000</v>
      </c>
      <c r="X34" s="14"/>
      <c r="Y34" s="14"/>
      <c r="Z34" s="14"/>
      <c r="AA34" s="15" t="str">
        <f aca="false">IF(COUNT(X34,Y34,Z34)=0,"",SUM(X34,Y34,Z34))</f>
        <v/>
      </c>
      <c r="AB34" s="16" t="str">
        <f aca="false">IFERROR(IF(OR(W34="",AA34=""),"",(W34-AA34)/W34),"")</f>
        <v/>
      </c>
      <c r="AC34" s="17" t="str">
        <f aca="false">IFERROR(IF(OR(AA34="",AA34=0),"",W34/AA34),"")</f>
        <v/>
      </c>
      <c r="AD34" s="12" t="s">
        <v>87</v>
      </c>
      <c r="AE34" s="12" t="s">
        <v>88</v>
      </c>
      <c r="AF34" s="12"/>
      <c r="AG34" s="12"/>
      <c r="AH34" s="12"/>
      <c r="AI34" s="12"/>
      <c r="AJ34" s="12"/>
      <c r="AK34" s="12"/>
      <c r="AL34" s="12" t="s">
        <v>88</v>
      </c>
      <c r="AM34" s="12"/>
      <c r="AN34" s="12"/>
      <c r="AO34" s="12"/>
      <c r="AP34" s="12"/>
    </row>
    <row r="35" customFormat="false" ht="30" hidden="false" customHeight="true" outlineLevel="0" collapsed="false">
      <c r="A35" s="12" t="s">
        <v>151</v>
      </c>
      <c r="B35" s="12" t="s">
        <v>77</v>
      </c>
      <c r="C35" s="12"/>
      <c r="D35" s="12" t="s">
        <v>78</v>
      </c>
      <c r="E35" s="12" t="s">
        <v>79</v>
      </c>
      <c r="F35" s="12" t="s">
        <v>152</v>
      </c>
      <c r="G35" s="12" t="n">
        <v>3</v>
      </c>
      <c r="H35" s="12" t="s">
        <v>81</v>
      </c>
      <c r="I35" s="12" t="s">
        <v>82</v>
      </c>
      <c r="J35" s="12"/>
      <c r="K35" s="12"/>
      <c r="L35" s="13" t="s">
        <v>83</v>
      </c>
      <c r="M35" s="13" t="s">
        <v>84</v>
      </c>
      <c r="N35" s="13" t="s">
        <v>85</v>
      </c>
      <c r="O35" s="12"/>
      <c r="P35" s="13"/>
      <c r="Q35" s="12"/>
      <c r="R35" s="12"/>
      <c r="S35" s="12"/>
      <c r="T35" s="12"/>
      <c r="U35" s="12" t="s">
        <v>86</v>
      </c>
      <c r="V35" s="13"/>
      <c r="W35" s="14" t="n">
        <v>19000</v>
      </c>
      <c r="X35" s="14"/>
      <c r="Y35" s="14"/>
      <c r="Z35" s="14"/>
      <c r="AA35" s="15" t="str">
        <f aca="false">IF(COUNT(X35,Y35,Z35)=0,"",SUM(X35,Y35,Z35))</f>
        <v/>
      </c>
      <c r="AB35" s="16" t="str">
        <f aca="false">IFERROR(IF(OR(W35="",AA35=""),"",(W35-AA35)/W35),"")</f>
        <v/>
      </c>
      <c r="AC35" s="17" t="str">
        <f aca="false">IFERROR(IF(OR(AA35="",AA35=0),"",W35/AA35),"")</f>
        <v/>
      </c>
      <c r="AD35" s="12" t="s">
        <v>87</v>
      </c>
      <c r="AE35" s="12" t="s">
        <v>88</v>
      </c>
      <c r="AF35" s="12"/>
      <c r="AG35" s="12"/>
      <c r="AH35" s="12"/>
      <c r="AI35" s="12"/>
      <c r="AJ35" s="12"/>
      <c r="AK35" s="12"/>
      <c r="AL35" s="12" t="s">
        <v>88</v>
      </c>
      <c r="AM35" s="12"/>
      <c r="AN35" s="12"/>
      <c r="AO35" s="12"/>
      <c r="AP35" s="12"/>
    </row>
    <row r="36" customFormat="false" ht="30" hidden="false" customHeight="true" outlineLevel="0" collapsed="false">
      <c r="A36" s="12" t="s">
        <v>153</v>
      </c>
      <c r="B36" s="12" t="s">
        <v>77</v>
      </c>
      <c r="C36" s="12"/>
      <c r="D36" s="12" t="s">
        <v>78</v>
      </c>
      <c r="E36" s="12" t="s">
        <v>79</v>
      </c>
      <c r="F36" s="12" t="s">
        <v>154</v>
      </c>
      <c r="G36" s="12" t="n">
        <v>3</v>
      </c>
      <c r="H36" s="12" t="s">
        <v>81</v>
      </c>
      <c r="I36" s="12" t="s">
        <v>82</v>
      </c>
      <c r="J36" s="12"/>
      <c r="K36" s="12"/>
      <c r="L36" s="13" t="s">
        <v>83</v>
      </c>
      <c r="M36" s="13" t="s">
        <v>84</v>
      </c>
      <c r="N36" s="13" t="s">
        <v>85</v>
      </c>
      <c r="O36" s="12"/>
      <c r="P36" s="13"/>
      <c r="Q36" s="12"/>
      <c r="R36" s="12"/>
      <c r="S36" s="12"/>
      <c r="T36" s="12"/>
      <c r="U36" s="12" t="s">
        <v>86</v>
      </c>
      <c r="V36" s="13"/>
      <c r="W36" s="14" t="n">
        <v>19000</v>
      </c>
      <c r="X36" s="14"/>
      <c r="Y36" s="14"/>
      <c r="Z36" s="14"/>
      <c r="AA36" s="15" t="str">
        <f aca="false">IF(COUNT(X36,Y36,Z36)=0,"",SUM(X36,Y36,Z36))</f>
        <v/>
      </c>
      <c r="AB36" s="16" t="str">
        <f aca="false">IFERROR(IF(OR(W36="",AA36=""),"",(W36-AA36)/W36),"")</f>
        <v/>
      </c>
      <c r="AC36" s="17" t="str">
        <f aca="false">IFERROR(IF(OR(AA36="",AA36=0),"",W36/AA36),"")</f>
        <v/>
      </c>
      <c r="AD36" s="12" t="s">
        <v>87</v>
      </c>
      <c r="AE36" s="12" t="s">
        <v>88</v>
      </c>
      <c r="AF36" s="12"/>
      <c r="AG36" s="12"/>
      <c r="AH36" s="12"/>
      <c r="AI36" s="12"/>
      <c r="AJ36" s="12"/>
      <c r="AK36" s="12"/>
      <c r="AL36" s="12" t="s">
        <v>88</v>
      </c>
      <c r="AM36" s="12"/>
      <c r="AN36" s="12"/>
      <c r="AO36" s="12"/>
      <c r="AP36" s="12"/>
    </row>
    <row r="37" customFormat="false" ht="30" hidden="false" customHeight="true" outlineLevel="0" collapsed="false">
      <c r="A37" s="12" t="s">
        <v>155</v>
      </c>
      <c r="B37" s="12" t="s">
        <v>77</v>
      </c>
      <c r="C37" s="12"/>
      <c r="D37" s="12" t="s">
        <v>78</v>
      </c>
      <c r="E37" s="12" t="s">
        <v>79</v>
      </c>
      <c r="F37" s="12" t="s">
        <v>156</v>
      </c>
      <c r="G37" s="12" t="n">
        <v>3</v>
      </c>
      <c r="H37" s="12" t="s">
        <v>81</v>
      </c>
      <c r="I37" s="12" t="s">
        <v>82</v>
      </c>
      <c r="J37" s="12"/>
      <c r="K37" s="12"/>
      <c r="L37" s="13" t="s">
        <v>83</v>
      </c>
      <c r="M37" s="13" t="s">
        <v>84</v>
      </c>
      <c r="N37" s="13" t="s">
        <v>85</v>
      </c>
      <c r="O37" s="12"/>
      <c r="P37" s="13"/>
      <c r="Q37" s="12"/>
      <c r="R37" s="12"/>
      <c r="S37" s="12"/>
      <c r="T37" s="12"/>
      <c r="U37" s="12" t="s">
        <v>86</v>
      </c>
      <c r="V37" s="13"/>
      <c r="W37" s="14" t="n">
        <v>19000</v>
      </c>
      <c r="X37" s="14"/>
      <c r="Y37" s="14"/>
      <c r="Z37" s="14"/>
      <c r="AA37" s="15" t="str">
        <f aca="false">IF(COUNT(X37,Y37,Z37)=0,"",SUM(X37,Y37,Z37))</f>
        <v/>
      </c>
      <c r="AB37" s="16" t="str">
        <f aca="false">IFERROR(IF(OR(W37="",AA37=""),"",(W37-AA37)/W37),"")</f>
        <v/>
      </c>
      <c r="AC37" s="17" t="str">
        <f aca="false">IFERROR(IF(OR(AA37="",AA37=0),"",W37/AA37),"")</f>
        <v/>
      </c>
      <c r="AD37" s="12" t="s">
        <v>87</v>
      </c>
      <c r="AE37" s="12" t="s">
        <v>88</v>
      </c>
      <c r="AF37" s="12"/>
      <c r="AG37" s="12"/>
      <c r="AH37" s="12"/>
      <c r="AI37" s="12"/>
      <c r="AJ37" s="12"/>
      <c r="AK37" s="12"/>
      <c r="AL37" s="12" t="s">
        <v>88</v>
      </c>
      <c r="AM37" s="12"/>
      <c r="AN37" s="12"/>
      <c r="AO37" s="12"/>
      <c r="AP37" s="12"/>
    </row>
    <row r="38" customFormat="false" ht="30" hidden="false" customHeight="true" outlineLevel="0" collapsed="false">
      <c r="A38" s="12" t="s">
        <v>157</v>
      </c>
      <c r="B38" s="12" t="s">
        <v>77</v>
      </c>
      <c r="C38" s="12"/>
      <c r="D38" s="12" t="s">
        <v>78</v>
      </c>
      <c r="E38" s="12" t="s">
        <v>79</v>
      </c>
      <c r="F38" s="12" t="s">
        <v>158</v>
      </c>
      <c r="G38" s="12" t="n">
        <v>3</v>
      </c>
      <c r="H38" s="12" t="s">
        <v>81</v>
      </c>
      <c r="I38" s="12" t="s">
        <v>82</v>
      </c>
      <c r="J38" s="12"/>
      <c r="K38" s="12"/>
      <c r="L38" s="13" t="s">
        <v>83</v>
      </c>
      <c r="M38" s="13" t="s">
        <v>84</v>
      </c>
      <c r="N38" s="13" t="s">
        <v>85</v>
      </c>
      <c r="O38" s="12"/>
      <c r="P38" s="13"/>
      <c r="Q38" s="12"/>
      <c r="R38" s="12"/>
      <c r="S38" s="12"/>
      <c r="T38" s="12"/>
      <c r="U38" s="12" t="s">
        <v>86</v>
      </c>
      <c r="V38" s="13"/>
      <c r="W38" s="14" t="n">
        <v>19000</v>
      </c>
      <c r="X38" s="14"/>
      <c r="Y38" s="14"/>
      <c r="Z38" s="14"/>
      <c r="AA38" s="15" t="str">
        <f aca="false">IF(COUNT(X38,Y38,Z38)=0,"",SUM(X38,Y38,Z38))</f>
        <v/>
      </c>
      <c r="AB38" s="16" t="str">
        <f aca="false">IFERROR(IF(OR(W38="",AA38=""),"",(W38-AA38)/W38),"")</f>
        <v/>
      </c>
      <c r="AC38" s="17" t="str">
        <f aca="false">IFERROR(IF(OR(AA38="",AA38=0),"",W38/AA38),"")</f>
        <v/>
      </c>
      <c r="AD38" s="12" t="s">
        <v>87</v>
      </c>
      <c r="AE38" s="12" t="s">
        <v>88</v>
      </c>
      <c r="AF38" s="12"/>
      <c r="AG38" s="12"/>
      <c r="AH38" s="12"/>
      <c r="AI38" s="12"/>
      <c r="AJ38" s="12"/>
      <c r="AK38" s="12"/>
      <c r="AL38" s="12" t="s">
        <v>88</v>
      </c>
      <c r="AM38" s="12"/>
      <c r="AN38" s="12"/>
      <c r="AO38" s="12"/>
      <c r="AP38" s="12"/>
    </row>
    <row r="39" customFormat="false" ht="30" hidden="false" customHeight="true" outlineLevel="0" collapsed="false">
      <c r="A39" s="12" t="s">
        <v>159</v>
      </c>
      <c r="B39" s="12" t="s">
        <v>77</v>
      </c>
      <c r="C39" s="12"/>
      <c r="D39" s="12" t="s">
        <v>78</v>
      </c>
      <c r="E39" s="12" t="s">
        <v>79</v>
      </c>
      <c r="F39" s="12" t="s">
        <v>160</v>
      </c>
      <c r="G39" s="12" t="n">
        <v>3</v>
      </c>
      <c r="H39" s="12" t="s">
        <v>81</v>
      </c>
      <c r="I39" s="12" t="s">
        <v>82</v>
      </c>
      <c r="J39" s="12"/>
      <c r="K39" s="12"/>
      <c r="L39" s="13" t="s">
        <v>83</v>
      </c>
      <c r="M39" s="13" t="s">
        <v>84</v>
      </c>
      <c r="N39" s="13" t="s">
        <v>85</v>
      </c>
      <c r="O39" s="12"/>
      <c r="P39" s="13"/>
      <c r="Q39" s="12"/>
      <c r="R39" s="12"/>
      <c r="S39" s="12"/>
      <c r="T39" s="12"/>
      <c r="U39" s="12" t="s">
        <v>86</v>
      </c>
      <c r="V39" s="13"/>
      <c r="W39" s="14" t="n">
        <v>19000</v>
      </c>
      <c r="X39" s="14"/>
      <c r="Y39" s="14"/>
      <c r="Z39" s="14"/>
      <c r="AA39" s="15" t="str">
        <f aca="false">IF(COUNT(X39,Y39,Z39)=0,"",SUM(X39,Y39,Z39))</f>
        <v/>
      </c>
      <c r="AB39" s="16" t="str">
        <f aca="false">IFERROR(IF(OR(W39="",AA39=""),"",(W39-AA39)/W39),"")</f>
        <v/>
      </c>
      <c r="AC39" s="17" t="str">
        <f aca="false">IFERROR(IF(OR(AA39="",AA39=0),"",W39/AA39),"")</f>
        <v/>
      </c>
      <c r="AD39" s="12" t="s">
        <v>87</v>
      </c>
      <c r="AE39" s="12" t="s">
        <v>88</v>
      </c>
      <c r="AF39" s="12"/>
      <c r="AG39" s="12"/>
      <c r="AH39" s="12"/>
      <c r="AI39" s="12"/>
      <c r="AJ39" s="12"/>
      <c r="AK39" s="12"/>
      <c r="AL39" s="12" t="s">
        <v>88</v>
      </c>
      <c r="AM39" s="12"/>
      <c r="AN39" s="12"/>
      <c r="AO39" s="12"/>
      <c r="AP39" s="12"/>
    </row>
    <row r="40" customFormat="false" ht="30" hidden="false" customHeight="true" outlineLevel="0" collapsed="false">
      <c r="A40" s="12" t="s">
        <v>161</v>
      </c>
      <c r="B40" s="12" t="s">
        <v>77</v>
      </c>
      <c r="C40" s="12"/>
      <c r="D40" s="12" t="s">
        <v>78</v>
      </c>
      <c r="E40" s="12" t="s">
        <v>79</v>
      </c>
      <c r="F40" s="12" t="s">
        <v>162</v>
      </c>
      <c r="G40" s="12" t="n">
        <v>3</v>
      </c>
      <c r="H40" s="12" t="s">
        <v>81</v>
      </c>
      <c r="I40" s="12" t="s">
        <v>82</v>
      </c>
      <c r="J40" s="12"/>
      <c r="K40" s="12"/>
      <c r="L40" s="13" t="s">
        <v>83</v>
      </c>
      <c r="M40" s="13" t="s">
        <v>84</v>
      </c>
      <c r="N40" s="13" t="s">
        <v>85</v>
      </c>
      <c r="O40" s="12"/>
      <c r="P40" s="13"/>
      <c r="Q40" s="12"/>
      <c r="R40" s="12"/>
      <c r="S40" s="12"/>
      <c r="T40" s="12"/>
      <c r="U40" s="12" t="s">
        <v>86</v>
      </c>
      <c r="V40" s="13"/>
      <c r="W40" s="14" t="n">
        <v>19000</v>
      </c>
      <c r="X40" s="14"/>
      <c r="Y40" s="14"/>
      <c r="Z40" s="14"/>
      <c r="AA40" s="15" t="str">
        <f aca="false">IF(COUNT(X40,Y40,Z40)=0,"",SUM(X40,Y40,Z40))</f>
        <v/>
      </c>
      <c r="AB40" s="16" t="str">
        <f aca="false">IFERROR(IF(OR(W40="",AA40=""),"",(W40-AA40)/W40),"")</f>
        <v/>
      </c>
      <c r="AC40" s="17" t="str">
        <f aca="false">IFERROR(IF(OR(AA40="",AA40=0),"",W40/AA40),"")</f>
        <v/>
      </c>
      <c r="AD40" s="12" t="s">
        <v>87</v>
      </c>
      <c r="AE40" s="12" t="s">
        <v>88</v>
      </c>
      <c r="AF40" s="12"/>
      <c r="AG40" s="12"/>
      <c r="AH40" s="12"/>
      <c r="AI40" s="12"/>
      <c r="AJ40" s="12"/>
      <c r="AK40" s="12"/>
      <c r="AL40" s="12" t="s">
        <v>88</v>
      </c>
      <c r="AM40" s="12"/>
      <c r="AN40" s="12"/>
      <c r="AO40" s="12"/>
      <c r="AP40" s="12"/>
    </row>
    <row r="41" customFormat="false" ht="30" hidden="false" customHeight="true" outlineLevel="0" collapsed="false">
      <c r="A41" s="12" t="s">
        <v>163</v>
      </c>
      <c r="B41" s="12" t="s">
        <v>164</v>
      </c>
      <c r="C41" s="12"/>
      <c r="D41" s="12" t="s">
        <v>165</v>
      </c>
      <c r="E41" s="12" t="s">
        <v>79</v>
      </c>
      <c r="F41" s="12" t="s">
        <v>80</v>
      </c>
      <c r="G41" s="12" t="n">
        <v>3</v>
      </c>
      <c r="H41" s="12" t="s">
        <v>81</v>
      </c>
      <c r="I41" s="12" t="s">
        <v>82</v>
      </c>
      <c r="J41" s="12"/>
      <c r="K41" s="12"/>
      <c r="L41" s="13" t="s">
        <v>83</v>
      </c>
      <c r="M41" s="13" t="s">
        <v>84</v>
      </c>
      <c r="N41" s="13" t="s">
        <v>85</v>
      </c>
      <c r="O41" s="12"/>
      <c r="P41" s="13"/>
      <c r="Q41" s="12"/>
      <c r="R41" s="12"/>
      <c r="S41" s="12"/>
      <c r="T41" s="12"/>
      <c r="U41" s="12" t="s">
        <v>86</v>
      </c>
      <c r="V41" s="13"/>
      <c r="W41" s="14" t="n">
        <v>19000</v>
      </c>
      <c r="X41" s="14"/>
      <c r="Y41" s="14"/>
      <c r="Z41" s="14"/>
      <c r="AA41" s="15" t="str">
        <f aca="false">IF(COUNT(X41,Y41,Z41)=0,"",SUM(X41,Y41,Z41))</f>
        <v/>
      </c>
      <c r="AB41" s="16" t="str">
        <f aca="false">IFERROR(IF(OR(W41="",AA41=""),"",(W41-AA41)/W41),"")</f>
        <v/>
      </c>
      <c r="AC41" s="17" t="str">
        <f aca="false">IFERROR(IF(OR(AA41="",AA41=0),"",W41/AA41),"")</f>
        <v/>
      </c>
      <c r="AD41" s="12" t="s">
        <v>87</v>
      </c>
      <c r="AE41" s="12" t="s">
        <v>88</v>
      </c>
      <c r="AF41" s="12"/>
      <c r="AG41" s="12"/>
      <c r="AH41" s="12"/>
      <c r="AI41" s="12"/>
      <c r="AJ41" s="12"/>
      <c r="AK41" s="12"/>
      <c r="AL41" s="12" t="s">
        <v>88</v>
      </c>
      <c r="AM41" s="12"/>
      <c r="AN41" s="12"/>
      <c r="AO41" s="12"/>
      <c r="AP41" s="12"/>
    </row>
    <row r="42" customFormat="false" ht="30" hidden="false" customHeight="true" outlineLevel="0" collapsed="false">
      <c r="A42" s="12" t="s">
        <v>166</v>
      </c>
      <c r="B42" s="12" t="s">
        <v>164</v>
      </c>
      <c r="C42" s="12"/>
      <c r="D42" s="12" t="s">
        <v>165</v>
      </c>
      <c r="E42" s="12" t="s">
        <v>79</v>
      </c>
      <c r="F42" s="12" t="s">
        <v>90</v>
      </c>
      <c r="G42" s="12" t="n">
        <v>3</v>
      </c>
      <c r="H42" s="12" t="s">
        <v>81</v>
      </c>
      <c r="I42" s="12" t="s">
        <v>82</v>
      </c>
      <c r="J42" s="12"/>
      <c r="K42" s="12"/>
      <c r="L42" s="13" t="s">
        <v>83</v>
      </c>
      <c r="M42" s="13" t="s">
        <v>84</v>
      </c>
      <c r="N42" s="13" t="s">
        <v>85</v>
      </c>
      <c r="O42" s="12"/>
      <c r="P42" s="13"/>
      <c r="Q42" s="12"/>
      <c r="R42" s="12"/>
      <c r="S42" s="12"/>
      <c r="T42" s="12"/>
      <c r="U42" s="12" t="s">
        <v>86</v>
      </c>
      <c r="V42" s="13"/>
      <c r="W42" s="14" t="n">
        <v>19000</v>
      </c>
      <c r="X42" s="14"/>
      <c r="Y42" s="14"/>
      <c r="Z42" s="14"/>
      <c r="AA42" s="15" t="str">
        <f aca="false">IF(COUNT(X42,Y42,Z42)=0,"",SUM(X42,Y42,Z42))</f>
        <v/>
      </c>
      <c r="AB42" s="16" t="str">
        <f aca="false">IFERROR(IF(OR(W42="",AA42=""),"",(W42-AA42)/W42),"")</f>
        <v/>
      </c>
      <c r="AC42" s="17" t="str">
        <f aca="false">IFERROR(IF(OR(AA42="",AA42=0),"",W42/AA42),"")</f>
        <v/>
      </c>
      <c r="AD42" s="12" t="s">
        <v>87</v>
      </c>
      <c r="AE42" s="12" t="s">
        <v>88</v>
      </c>
      <c r="AF42" s="12"/>
      <c r="AG42" s="12"/>
      <c r="AH42" s="12"/>
      <c r="AI42" s="12"/>
      <c r="AJ42" s="12"/>
      <c r="AK42" s="12"/>
      <c r="AL42" s="12" t="s">
        <v>88</v>
      </c>
      <c r="AM42" s="12"/>
      <c r="AN42" s="12"/>
      <c r="AO42" s="12"/>
      <c r="AP42" s="12"/>
    </row>
    <row r="43" customFormat="false" ht="30" hidden="false" customHeight="true" outlineLevel="0" collapsed="false">
      <c r="A43" s="12" t="s">
        <v>167</v>
      </c>
      <c r="B43" s="12" t="s">
        <v>164</v>
      </c>
      <c r="C43" s="12"/>
      <c r="D43" s="12" t="s">
        <v>165</v>
      </c>
      <c r="E43" s="12" t="s">
        <v>79</v>
      </c>
      <c r="F43" s="12" t="s">
        <v>92</v>
      </c>
      <c r="G43" s="12" t="n">
        <v>3</v>
      </c>
      <c r="H43" s="12" t="s">
        <v>81</v>
      </c>
      <c r="I43" s="12" t="s">
        <v>82</v>
      </c>
      <c r="J43" s="12"/>
      <c r="K43" s="12"/>
      <c r="L43" s="13" t="s">
        <v>83</v>
      </c>
      <c r="M43" s="13" t="s">
        <v>84</v>
      </c>
      <c r="N43" s="13" t="s">
        <v>85</v>
      </c>
      <c r="O43" s="12"/>
      <c r="P43" s="13"/>
      <c r="Q43" s="12"/>
      <c r="R43" s="12"/>
      <c r="S43" s="12"/>
      <c r="T43" s="12"/>
      <c r="U43" s="12" t="s">
        <v>86</v>
      </c>
      <c r="V43" s="13"/>
      <c r="W43" s="14" t="n">
        <v>19000</v>
      </c>
      <c r="X43" s="14"/>
      <c r="Y43" s="14"/>
      <c r="Z43" s="14"/>
      <c r="AA43" s="15" t="str">
        <f aca="false">IF(COUNT(X43,Y43,Z43)=0,"",SUM(X43,Y43,Z43))</f>
        <v/>
      </c>
      <c r="AB43" s="16" t="str">
        <f aca="false">IFERROR(IF(OR(W43="",AA43=""),"",(W43-AA43)/W43),"")</f>
        <v/>
      </c>
      <c r="AC43" s="17" t="str">
        <f aca="false">IFERROR(IF(OR(AA43="",AA43=0),"",W43/AA43),"")</f>
        <v/>
      </c>
      <c r="AD43" s="12" t="s">
        <v>87</v>
      </c>
      <c r="AE43" s="12" t="s">
        <v>88</v>
      </c>
      <c r="AF43" s="12"/>
      <c r="AG43" s="12"/>
      <c r="AH43" s="12"/>
      <c r="AI43" s="12"/>
      <c r="AJ43" s="12"/>
      <c r="AK43" s="12"/>
      <c r="AL43" s="12" t="s">
        <v>88</v>
      </c>
      <c r="AM43" s="12"/>
      <c r="AN43" s="12"/>
      <c r="AO43" s="12"/>
      <c r="AP43" s="12"/>
    </row>
    <row r="44" customFormat="false" ht="30" hidden="false" customHeight="true" outlineLevel="0" collapsed="false">
      <c r="A44" s="12" t="s">
        <v>168</v>
      </c>
      <c r="B44" s="12" t="s">
        <v>164</v>
      </c>
      <c r="C44" s="12"/>
      <c r="D44" s="12" t="s">
        <v>165</v>
      </c>
      <c r="E44" s="12" t="s">
        <v>79</v>
      </c>
      <c r="F44" s="12" t="s">
        <v>94</v>
      </c>
      <c r="G44" s="12" t="n">
        <v>3</v>
      </c>
      <c r="H44" s="12" t="s">
        <v>81</v>
      </c>
      <c r="I44" s="12" t="s">
        <v>82</v>
      </c>
      <c r="J44" s="12"/>
      <c r="K44" s="12"/>
      <c r="L44" s="13" t="s">
        <v>83</v>
      </c>
      <c r="M44" s="13" t="s">
        <v>84</v>
      </c>
      <c r="N44" s="13" t="s">
        <v>85</v>
      </c>
      <c r="O44" s="12"/>
      <c r="P44" s="13"/>
      <c r="Q44" s="12"/>
      <c r="R44" s="12"/>
      <c r="S44" s="12"/>
      <c r="T44" s="12"/>
      <c r="U44" s="12" t="s">
        <v>86</v>
      </c>
      <c r="V44" s="13"/>
      <c r="W44" s="14" t="n">
        <v>19000</v>
      </c>
      <c r="X44" s="14"/>
      <c r="Y44" s="14"/>
      <c r="Z44" s="14"/>
      <c r="AA44" s="15" t="str">
        <f aca="false">IF(COUNT(X44,Y44,Z44)=0,"",SUM(X44,Y44,Z44))</f>
        <v/>
      </c>
      <c r="AB44" s="16" t="str">
        <f aca="false">IFERROR(IF(OR(W44="",AA44=""),"",(W44-AA44)/W44),"")</f>
        <v/>
      </c>
      <c r="AC44" s="17" t="str">
        <f aca="false">IFERROR(IF(OR(AA44="",AA44=0),"",W44/AA44),"")</f>
        <v/>
      </c>
      <c r="AD44" s="12" t="s">
        <v>87</v>
      </c>
      <c r="AE44" s="12" t="s">
        <v>88</v>
      </c>
      <c r="AF44" s="12"/>
      <c r="AG44" s="12"/>
      <c r="AH44" s="12"/>
      <c r="AI44" s="12"/>
      <c r="AJ44" s="12"/>
      <c r="AK44" s="12"/>
      <c r="AL44" s="12" t="s">
        <v>88</v>
      </c>
      <c r="AM44" s="12"/>
      <c r="AN44" s="12"/>
      <c r="AO44" s="12"/>
      <c r="AP44" s="12"/>
    </row>
    <row r="45" customFormat="false" ht="30" hidden="false" customHeight="true" outlineLevel="0" collapsed="false">
      <c r="A45" s="12" t="s">
        <v>169</v>
      </c>
      <c r="B45" s="12" t="s">
        <v>164</v>
      </c>
      <c r="C45" s="12"/>
      <c r="D45" s="12" t="s">
        <v>165</v>
      </c>
      <c r="E45" s="12" t="s">
        <v>79</v>
      </c>
      <c r="F45" s="12" t="s">
        <v>96</v>
      </c>
      <c r="G45" s="12" t="n">
        <v>3</v>
      </c>
      <c r="H45" s="12" t="s">
        <v>81</v>
      </c>
      <c r="I45" s="12" t="s">
        <v>82</v>
      </c>
      <c r="J45" s="12"/>
      <c r="K45" s="12"/>
      <c r="L45" s="13" t="s">
        <v>83</v>
      </c>
      <c r="M45" s="13" t="s">
        <v>84</v>
      </c>
      <c r="N45" s="13" t="s">
        <v>85</v>
      </c>
      <c r="O45" s="12"/>
      <c r="P45" s="13"/>
      <c r="Q45" s="12"/>
      <c r="R45" s="12"/>
      <c r="S45" s="12"/>
      <c r="T45" s="12"/>
      <c r="U45" s="12" t="s">
        <v>86</v>
      </c>
      <c r="V45" s="13"/>
      <c r="W45" s="14" t="n">
        <v>19000</v>
      </c>
      <c r="X45" s="14"/>
      <c r="Y45" s="14"/>
      <c r="Z45" s="14"/>
      <c r="AA45" s="15" t="str">
        <f aca="false">IF(COUNT(X45,Y45,Z45)=0,"",SUM(X45,Y45,Z45))</f>
        <v/>
      </c>
      <c r="AB45" s="16" t="str">
        <f aca="false">IFERROR(IF(OR(W45="",AA45=""),"",(W45-AA45)/W45),"")</f>
        <v/>
      </c>
      <c r="AC45" s="17" t="str">
        <f aca="false">IFERROR(IF(OR(AA45="",AA45=0),"",W45/AA45),"")</f>
        <v/>
      </c>
      <c r="AD45" s="12" t="s">
        <v>87</v>
      </c>
      <c r="AE45" s="12" t="s">
        <v>88</v>
      </c>
      <c r="AF45" s="12"/>
      <c r="AG45" s="12"/>
      <c r="AH45" s="12"/>
      <c r="AI45" s="12"/>
      <c r="AJ45" s="12"/>
      <c r="AK45" s="12"/>
      <c r="AL45" s="12" t="s">
        <v>88</v>
      </c>
      <c r="AM45" s="12"/>
      <c r="AN45" s="12"/>
      <c r="AO45" s="12"/>
      <c r="AP45" s="12"/>
    </row>
    <row r="46" customFormat="false" ht="30" hidden="false" customHeight="true" outlineLevel="0" collapsed="false">
      <c r="A46" s="12" t="s">
        <v>170</v>
      </c>
      <c r="B46" s="12" t="s">
        <v>164</v>
      </c>
      <c r="C46" s="12"/>
      <c r="D46" s="12" t="s">
        <v>165</v>
      </c>
      <c r="E46" s="12" t="s">
        <v>79</v>
      </c>
      <c r="F46" s="12" t="s">
        <v>98</v>
      </c>
      <c r="G46" s="12" t="n">
        <v>3</v>
      </c>
      <c r="H46" s="12" t="s">
        <v>81</v>
      </c>
      <c r="I46" s="12" t="s">
        <v>82</v>
      </c>
      <c r="J46" s="12"/>
      <c r="K46" s="12"/>
      <c r="L46" s="13" t="s">
        <v>83</v>
      </c>
      <c r="M46" s="13" t="s">
        <v>84</v>
      </c>
      <c r="N46" s="13" t="s">
        <v>85</v>
      </c>
      <c r="O46" s="12"/>
      <c r="P46" s="13"/>
      <c r="Q46" s="12"/>
      <c r="R46" s="12"/>
      <c r="S46" s="12"/>
      <c r="T46" s="12"/>
      <c r="U46" s="12" t="s">
        <v>86</v>
      </c>
      <c r="V46" s="13"/>
      <c r="W46" s="14" t="n">
        <v>19000</v>
      </c>
      <c r="X46" s="14"/>
      <c r="Y46" s="14"/>
      <c r="Z46" s="14"/>
      <c r="AA46" s="15" t="str">
        <f aca="false">IF(COUNT(X46,Y46,Z46)=0,"",SUM(X46,Y46,Z46))</f>
        <v/>
      </c>
      <c r="AB46" s="16" t="str">
        <f aca="false">IFERROR(IF(OR(W46="",AA46=""),"",(W46-AA46)/W46),"")</f>
        <v/>
      </c>
      <c r="AC46" s="17" t="str">
        <f aca="false">IFERROR(IF(OR(AA46="",AA46=0),"",W46/AA46),"")</f>
        <v/>
      </c>
      <c r="AD46" s="12" t="s">
        <v>87</v>
      </c>
      <c r="AE46" s="12" t="s">
        <v>88</v>
      </c>
      <c r="AF46" s="12"/>
      <c r="AG46" s="12"/>
      <c r="AH46" s="12"/>
      <c r="AI46" s="12"/>
      <c r="AJ46" s="12"/>
      <c r="AK46" s="12"/>
      <c r="AL46" s="12" t="s">
        <v>88</v>
      </c>
      <c r="AM46" s="12"/>
      <c r="AN46" s="12"/>
      <c r="AO46" s="12"/>
      <c r="AP46" s="12"/>
    </row>
    <row r="47" customFormat="false" ht="30" hidden="false" customHeight="true" outlineLevel="0" collapsed="false">
      <c r="A47" s="12" t="s">
        <v>171</v>
      </c>
      <c r="B47" s="12" t="s">
        <v>164</v>
      </c>
      <c r="C47" s="12"/>
      <c r="D47" s="12" t="s">
        <v>165</v>
      </c>
      <c r="E47" s="12" t="s">
        <v>79</v>
      </c>
      <c r="F47" s="12" t="s">
        <v>100</v>
      </c>
      <c r="G47" s="12" t="n">
        <v>3</v>
      </c>
      <c r="H47" s="12" t="s">
        <v>81</v>
      </c>
      <c r="I47" s="12" t="s">
        <v>82</v>
      </c>
      <c r="J47" s="12"/>
      <c r="K47" s="12"/>
      <c r="L47" s="13" t="s">
        <v>83</v>
      </c>
      <c r="M47" s="13" t="s">
        <v>84</v>
      </c>
      <c r="N47" s="13" t="s">
        <v>85</v>
      </c>
      <c r="O47" s="12"/>
      <c r="P47" s="13"/>
      <c r="Q47" s="12"/>
      <c r="R47" s="12"/>
      <c r="S47" s="12"/>
      <c r="T47" s="12"/>
      <c r="U47" s="12" t="s">
        <v>86</v>
      </c>
      <c r="V47" s="13"/>
      <c r="W47" s="14" t="n">
        <v>19000</v>
      </c>
      <c r="X47" s="14"/>
      <c r="Y47" s="14"/>
      <c r="Z47" s="14"/>
      <c r="AA47" s="15" t="str">
        <f aca="false">IF(COUNT(X47,Y47,Z47)=0,"",SUM(X47,Y47,Z47))</f>
        <v/>
      </c>
      <c r="AB47" s="16" t="str">
        <f aca="false">IFERROR(IF(OR(W47="",AA47=""),"",(W47-AA47)/W47),"")</f>
        <v/>
      </c>
      <c r="AC47" s="17" t="str">
        <f aca="false">IFERROR(IF(OR(AA47="",AA47=0),"",W47/AA47),"")</f>
        <v/>
      </c>
      <c r="AD47" s="12" t="s">
        <v>87</v>
      </c>
      <c r="AE47" s="12" t="s">
        <v>88</v>
      </c>
      <c r="AF47" s="12"/>
      <c r="AG47" s="12"/>
      <c r="AH47" s="12"/>
      <c r="AI47" s="12"/>
      <c r="AJ47" s="12"/>
      <c r="AK47" s="12"/>
      <c r="AL47" s="12" t="s">
        <v>88</v>
      </c>
      <c r="AM47" s="12"/>
      <c r="AN47" s="12"/>
      <c r="AO47" s="12"/>
      <c r="AP47" s="12"/>
    </row>
    <row r="48" customFormat="false" ht="30" hidden="false" customHeight="true" outlineLevel="0" collapsed="false">
      <c r="A48" s="12" t="s">
        <v>172</v>
      </c>
      <c r="B48" s="12" t="s">
        <v>164</v>
      </c>
      <c r="C48" s="12"/>
      <c r="D48" s="12" t="s">
        <v>165</v>
      </c>
      <c r="E48" s="12" t="s">
        <v>79</v>
      </c>
      <c r="F48" s="12" t="s">
        <v>102</v>
      </c>
      <c r="G48" s="12" t="n">
        <v>3</v>
      </c>
      <c r="H48" s="12" t="s">
        <v>81</v>
      </c>
      <c r="I48" s="12" t="s">
        <v>82</v>
      </c>
      <c r="J48" s="12"/>
      <c r="K48" s="12"/>
      <c r="L48" s="13" t="s">
        <v>83</v>
      </c>
      <c r="M48" s="13" t="s">
        <v>84</v>
      </c>
      <c r="N48" s="13" t="s">
        <v>85</v>
      </c>
      <c r="O48" s="12"/>
      <c r="P48" s="13"/>
      <c r="Q48" s="12"/>
      <c r="R48" s="12"/>
      <c r="S48" s="12"/>
      <c r="T48" s="12"/>
      <c r="U48" s="12" t="s">
        <v>86</v>
      </c>
      <c r="V48" s="13"/>
      <c r="W48" s="14" t="n">
        <v>19000</v>
      </c>
      <c r="X48" s="14"/>
      <c r="Y48" s="14"/>
      <c r="Z48" s="14"/>
      <c r="AA48" s="15" t="str">
        <f aca="false">IF(COUNT(X48,Y48,Z48)=0,"",SUM(X48,Y48,Z48))</f>
        <v/>
      </c>
      <c r="AB48" s="16" t="str">
        <f aca="false">IFERROR(IF(OR(W48="",AA48=""),"",(W48-AA48)/W48),"")</f>
        <v/>
      </c>
      <c r="AC48" s="17" t="str">
        <f aca="false">IFERROR(IF(OR(AA48="",AA48=0),"",W48/AA48),"")</f>
        <v/>
      </c>
      <c r="AD48" s="12" t="s">
        <v>87</v>
      </c>
      <c r="AE48" s="12" t="s">
        <v>88</v>
      </c>
      <c r="AF48" s="12"/>
      <c r="AG48" s="12"/>
      <c r="AH48" s="12"/>
      <c r="AI48" s="12"/>
      <c r="AJ48" s="12"/>
      <c r="AK48" s="12"/>
      <c r="AL48" s="12" t="s">
        <v>88</v>
      </c>
      <c r="AM48" s="12"/>
      <c r="AN48" s="12"/>
      <c r="AO48" s="12"/>
      <c r="AP48" s="12"/>
    </row>
    <row r="49" customFormat="false" ht="30" hidden="false" customHeight="true" outlineLevel="0" collapsed="false">
      <c r="A49" s="12" t="s">
        <v>173</v>
      </c>
      <c r="B49" s="12" t="s">
        <v>164</v>
      </c>
      <c r="C49" s="12"/>
      <c r="D49" s="12" t="s">
        <v>165</v>
      </c>
      <c r="E49" s="12" t="s">
        <v>79</v>
      </c>
      <c r="F49" s="12" t="s">
        <v>104</v>
      </c>
      <c r="G49" s="12" t="n">
        <v>3</v>
      </c>
      <c r="H49" s="12" t="s">
        <v>81</v>
      </c>
      <c r="I49" s="12" t="s">
        <v>82</v>
      </c>
      <c r="J49" s="12"/>
      <c r="K49" s="12"/>
      <c r="L49" s="13" t="s">
        <v>83</v>
      </c>
      <c r="M49" s="13" t="s">
        <v>84</v>
      </c>
      <c r="N49" s="13" t="s">
        <v>85</v>
      </c>
      <c r="O49" s="12"/>
      <c r="P49" s="13"/>
      <c r="Q49" s="12"/>
      <c r="R49" s="12"/>
      <c r="S49" s="12"/>
      <c r="T49" s="12"/>
      <c r="U49" s="12" t="s">
        <v>86</v>
      </c>
      <c r="V49" s="13"/>
      <c r="W49" s="14" t="n">
        <v>19000</v>
      </c>
      <c r="X49" s="14"/>
      <c r="Y49" s="14"/>
      <c r="Z49" s="14"/>
      <c r="AA49" s="15" t="str">
        <f aca="false">IF(COUNT(X49,Y49,Z49)=0,"",SUM(X49,Y49,Z49))</f>
        <v/>
      </c>
      <c r="AB49" s="16" t="str">
        <f aca="false">IFERROR(IF(OR(W49="",AA49=""),"",(W49-AA49)/W49),"")</f>
        <v/>
      </c>
      <c r="AC49" s="17" t="str">
        <f aca="false">IFERROR(IF(OR(AA49="",AA49=0),"",W49/AA49),"")</f>
        <v/>
      </c>
      <c r="AD49" s="12" t="s">
        <v>87</v>
      </c>
      <c r="AE49" s="12" t="s">
        <v>88</v>
      </c>
      <c r="AF49" s="12"/>
      <c r="AG49" s="12"/>
      <c r="AH49" s="12"/>
      <c r="AI49" s="12"/>
      <c r="AJ49" s="12"/>
      <c r="AK49" s="12"/>
      <c r="AL49" s="12" t="s">
        <v>88</v>
      </c>
      <c r="AM49" s="12"/>
      <c r="AN49" s="12"/>
      <c r="AO49" s="12"/>
      <c r="AP49" s="12"/>
    </row>
    <row r="50" customFormat="false" ht="30" hidden="false" customHeight="true" outlineLevel="0" collapsed="false">
      <c r="A50" s="12" t="s">
        <v>174</v>
      </c>
      <c r="B50" s="12" t="s">
        <v>164</v>
      </c>
      <c r="C50" s="12"/>
      <c r="D50" s="12" t="s">
        <v>165</v>
      </c>
      <c r="E50" s="12" t="s">
        <v>79</v>
      </c>
      <c r="F50" s="12" t="s">
        <v>106</v>
      </c>
      <c r="G50" s="12" t="n">
        <v>3</v>
      </c>
      <c r="H50" s="12" t="s">
        <v>81</v>
      </c>
      <c r="I50" s="12" t="s">
        <v>82</v>
      </c>
      <c r="J50" s="12"/>
      <c r="K50" s="12"/>
      <c r="L50" s="13" t="s">
        <v>83</v>
      </c>
      <c r="M50" s="13" t="s">
        <v>84</v>
      </c>
      <c r="N50" s="13" t="s">
        <v>85</v>
      </c>
      <c r="O50" s="12"/>
      <c r="P50" s="13"/>
      <c r="Q50" s="12"/>
      <c r="R50" s="12"/>
      <c r="S50" s="12"/>
      <c r="T50" s="12"/>
      <c r="U50" s="12" t="s">
        <v>86</v>
      </c>
      <c r="V50" s="13"/>
      <c r="W50" s="14" t="n">
        <v>19000</v>
      </c>
      <c r="X50" s="14"/>
      <c r="Y50" s="14"/>
      <c r="Z50" s="14"/>
      <c r="AA50" s="15" t="str">
        <f aca="false">IF(COUNT(X50,Y50,Z50)=0,"",SUM(X50,Y50,Z50))</f>
        <v/>
      </c>
      <c r="AB50" s="16" t="str">
        <f aca="false">IFERROR(IF(OR(W50="",AA50=""),"",(W50-AA50)/W50),"")</f>
        <v/>
      </c>
      <c r="AC50" s="17" t="str">
        <f aca="false">IFERROR(IF(OR(AA50="",AA50=0),"",W50/AA50),"")</f>
        <v/>
      </c>
      <c r="AD50" s="12" t="s">
        <v>87</v>
      </c>
      <c r="AE50" s="12" t="s">
        <v>88</v>
      </c>
      <c r="AF50" s="12"/>
      <c r="AG50" s="12"/>
      <c r="AH50" s="12"/>
      <c r="AI50" s="12"/>
      <c r="AJ50" s="12"/>
      <c r="AK50" s="12"/>
      <c r="AL50" s="12" t="s">
        <v>88</v>
      </c>
      <c r="AM50" s="12"/>
      <c r="AN50" s="12"/>
      <c r="AO50" s="12"/>
      <c r="AP50" s="12"/>
    </row>
    <row r="51" customFormat="false" ht="30" hidden="false" customHeight="true" outlineLevel="0" collapsed="false">
      <c r="A51" s="12" t="s">
        <v>175</v>
      </c>
      <c r="B51" s="12" t="s">
        <v>164</v>
      </c>
      <c r="C51" s="12"/>
      <c r="D51" s="12" t="s">
        <v>165</v>
      </c>
      <c r="E51" s="12" t="s">
        <v>79</v>
      </c>
      <c r="F51" s="12" t="s">
        <v>108</v>
      </c>
      <c r="G51" s="12" t="n">
        <v>3</v>
      </c>
      <c r="H51" s="12" t="s">
        <v>81</v>
      </c>
      <c r="I51" s="12" t="s">
        <v>82</v>
      </c>
      <c r="J51" s="12"/>
      <c r="K51" s="12"/>
      <c r="L51" s="13" t="s">
        <v>83</v>
      </c>
      <c r="M51" s="13" t="s">
        <v>84</v>
      </c>
      <c r="N51" s="13" t="s">
        <v>85</v>
      </c>
      <c r="O51" s="12"/>
      <c r="P51" s="13"/>
      <c r="Q51" s="12"/>
      <c r="R51" s="12"/>
      <c r="S51" s="12"/>
      <c r="T51" s="12"/>
      <c r="U51" s="12" t="s">
        <v>86</v>
      </c>
      <c r="V51" s="13"/>
      <c r="W51" s="14" t="n">
        <v>19000</v>
      </c>
      <c r="X51" s="14"/>
      <c r="Y51" s="14"/>
      <c r="Z51" s="14"/>
      <c r="AA51" s="15" t="str">
        <f aca="false">IF(COUNT(X51,Y51,Z51)=0,"",SUM(X51,Y51,Z51))</f>
        <v/>
      </c>
      <c r="AB51" s="16" t="str">
        <f aca="false">IFERROR(IF(OR(W51="",AA51=""),"",(W51-AA51)/W51),"")</f>
        <v/>
      </c>
      <c r="AC51" s="17" t="str">
        <f aca="false">IFERROR(IF(OR(AA51="",AA51=0),"",W51/AA51),"")</f>
        <v/>
      </c>
      <c r="AD51" s="12" t="s">
        <v>87</v>
      </c>
      <c r="AE51" s="12" t="s">
        <v>88</v>
      </c>
      <c r="AF51" s="12"/>
      <c r="AG51" s="12"/>
      <c r="AH51" s="12"/>
      <c r="AI51" s="12"/>
      <c r="AJ51" s="12"/>
      <c r="AK51" s="12"/>
      <c r="AL51" s="12" t="s">
        <v>88</v>
      </c>
      <c r="AM51" s="12"/>
      <c r="AN51" s="12"/>
      <c r="AO51" s="12"/>
      <c r="AP51" s="12"/>
    </row>
    <row r="52" customFormat="false" ht="30" hidden="false" customHeight="true" outlineLevel="0" collapsed="false">
      <c r="A52" s="12" t="s">
        <v>176</v>
      </c>
      <c r="B52" s="12" t="s">
        <v>164</v>
      </c>
      <c r="C52" s="12"/>
      <c r="D52" s="12" t="s">
        <v>165</v>
      </c>
      <c r="E52" s="12" t="s">
        <v>79</v>
      </c>
      <c r="F52" s="12" t="s">
        <v>110</v>
      </c>
      <c r="G52" s="12" t="n">
        <v>3</v>
      </c>
      <c r="H52" s="12" t="s">
        <v>81</v>
      </c>
      <c r="I52" s="12" t="s">
        <v>82</v>
      </c>
      <c r="J52" s="12"/>
      <c r="K52" s="12"/>
      <c r="L52" s="13" t="s">
        <v>83</v>
      </c>
      <c r="M52" s="13" t="s">
        <v>84</v>
      </c>
      <c r="N52" s="13" t="s">
        <v>85</v>
      </c>
      <c r="O52" s="12"/>
      <c r="P52" s="13"/>
      <c r="Q52" s="12"/>
      <c r="R52" s="12"/>
      <c r="S52" s="12"/>
      <c r="T52" s="12"/>
      <c r="U52" s="12" t="s">
        <v>86</v>
      </c>
      <c r="V52" s="13"/>
      <c r="W52" s="14" t="n">
        <v>19000</v>
      </c>
      <c r="X52" s="14"/>
      <c r="Y52" s="14"/>
      <c r="Z52" s="14"/>
      <c r="AA52" s="15" t="str">
        <f aca="false">IF(COUNT(X52,Y52,Z52)=0,"",SUM(X52,Y52,Z52))</f>
        <v/>
      </c>
      <c r="AB52" s="16" t="str">
        <f aca="false">IFERROR(IF(OR(W52="",AA52=""),"",(W52-AA52)/W52),"")</f>
        <v/>
      </c>
      <c r="AC52" s="17" t="str">
        <f aca="false">IFERROR(IF(OR(AA52="",AA52=0),"",W52/AA52),"")</f>
        <v/>
      </c>
      <c r="AD52" s="12" t="s">
        <v>87</v>
      </c>
      <c r="AE52" s="12" t="s">
        <v>88</v>
      </c>
      <c r="AF52" s="12"/>
      <c r="AG52" s="12"/>
      <c r="AH52" s="12"/>
      <c r="AI52" s="12"/>
      <c r="AJ52" s="12"/>
      <c r="AK52" s="12"/>
      <c r="AL52" s="12" t="s">
        <v>88</v>
      </c>
      <c r="AM52" s="12"/>
      <c r="AN52" s="12"/>
      <c r="AO52" s="12"/>
      <c r="AP52" s="12"/>
    </row>
    <row r="53" customFormat="false" ht="30" hidden="false" customHeight="true" outlineLevel="0" collapsed="false">
      <c r="A53" s="12" t="s">
        <v>177</v>
      </c>
      <c r="B53" s="12" t="s">
        <v>164</v>
      </c>
      <c r="C53" s="12"/>
      <c r="D53" s="12" t="s">
        <v>165</v>
      </c>
      <c r="E53" s="12" t="s">
        <v>79</v>
      </c>
      <c r="F53" s="12" t="s">
        <v>112</v>
      </c>
      <c r="G53" s="12" t="n">
        <v>3</v>
      </c>
      <c r="H53" s="12" t="s">
        <v>81</v>
      </c>
      <c r="I53" s="12" t="s">
        <v>82</v>
      </c>
      <c r="J53" s="12"/>
      <c r="K53" s="12"/>
      <c r="L53" s="13" t="s">
        <v>83</v>
      </c>
      <c r="M53" s="13" t="s">
        <v>84</v>
      </c>
      <c r="N53" s="13" t="s">
        <v>85</v>
      </c>
      <c r="O53" s="12"/>
      <c r="P53" s="13"/>
      <c r="Q53" s="12"/>
      <c r="R53" s="12"/>
      <c r="S53" s="12"/>
      <c r="T53" s="12"/>
      <c r="U53" s="12" t="s">
        <v>86</v>
      </c>
      <c r="V53" s="13"/>
      <c r="W53" s="14" t="n">
        <v>19000</v>
      </c>
      <c r="X53" s="14"/>
      <c r="Y53" s="14"/>
      <c r="Z53" s="14"/>
      <c r="AA53" s="15" t="str">
        <f aca="false">IF(COUNT(X53,Y53,Z53)=0,"",SUM(X53,Y53,Z53))</f>
        <v/>
      </c>
      <c r="AB53" s="16" t="str">
        <f aca="false">IFERROR(IF(OR(W53="",AA53=""),"",(W53-AA53)/W53),"")</f>
        <v/>
      </c>
      <c r="AC53" s="17" t="str">
        <f aca="false">IFERROR(IF(OR(AA53="",AA53=0),"",W53/AA53),"")</f>
        <v/>
      </c>
      <c r="AD53" s="12" t="s">
        <v>87</v>
      </c>
      <c r="AE53" s="12" t="s">
        <v>88</v>
      </c>
      <c r="AF53" s="12"/>
      <c r="AG53" s="12"/>
      <c r="AH53" s="12"/>
      <c r="AI53" s="12"/>
      <c r="AJ53" s="12"/>
      <c r="AK53" s="12"/>
      <c r="AL53" s="12" t="s">
        <v>88</v>
      </c>
      <c r="AM53" s="12"/>
      <c r="AN53" s="12"/>
      <c r="AO53" s="12"/>
      <c r="AP53" s="12"/>
    </row>
    <row r="54" customFormat="false" ht="30" hidden="false" customHeight="true" outlineLevel="0" collapsed="false">
      <c r="A54" s="12" t="s">
        <v>178</v>
      </c>
      <c r="B54" s="12" t="s">
        <v>164</v>
      </c>
      <c r="C54" s="12"/>
      <c r="D54" s="12" t="s">
        <v>165</v>
      </c>
      <c r="E54" s="12" t="s">
        <v>79</v>
      </c>
      <c r="F54" s="12" t="s">
        <v>114</v>
      </c>
      <c r="G54" s="12" t="n">
        <v>3</v>
      </c>
      <c r="H54" s="12" t="s">
        <v>81</v>
      </c>
      <c r="I54" s="12" t="s">
        <v>82</v>
      </c>
      <c r="J54" s="12"/>
      <c r="K54" s="12"/>
      <c r="L54" s="13" t="s">
        <v>83</v>
      </c>
      <c r="M54" s="13" t="s">
        <v>84</v>
      </c>
      <c r="N54" s="13" t="s">
        <v>85</v>
      </c>
      <c r="O54" s="12"/>
      <c r="P54" s="13"/>
      <c r="Q54" s="12"/>
      <c r="R54" s="12"/>
      <c r="S54" s="12"/>
      <c r="T54" s="12"/>
      <c r="U54" s="12" t="s">
        <v>86</v>
      </c>
      <c r="V54" s="13"/>
      <c r="W54" s="14" t="n">
        <v>19000</v>
      </c>
      <c r="X54" s="14"/>
      <c r="Y54" s="14"/>
      <c r="Z54" s="14"/>
      <c r="AA54" s="15" t="str">
        <f aca="false">IF(COUNT(X54,Y54,Z54)=0,"",SUM(X54,Y54,Z54))</f>
        <v/>
      </c>
      <c r="AB54" s="16" t="str">
        <f aca="false">IFERROR(IF(OR(W54="",AA54=""),"",(W54-AA54)/W54),"")</f>
        <v/>
      </c>
      <c r="AC54" s="17" t="str">
        <f aca="false">IFERROR(IF(OR(AA54="",AA54=0),"",W54/AA54),"")</f>
        <v/>
      </c>
      <c r="AD54" s="12" t="s">
        <v>87</v>
      </c>
      <c r="AE54" s="12" t="s">
        <v>88</v>
      </c>
      <c r="AF54" s="12"/>
      <c r="AG54" s="12"/>
      <c r="AH54" s="12"/>
      <c r="AI54" s="12"/>
      <c r="AJ54" s="12"/>
      <c r="AK54" s="12"/>
      <c r="AL54" s="12" t="s">
        <v>88</v>
      </c>
      <c r="AM54" s="12"/>
      <c r="AN54" s="12"/>
      <c r="AO54" s="12"/>
      <c r="AP54" s="12"/>
    </row>
    <row r="55" customFormat="false" ht="30" hidden="false" customHeight="true" outlineLevel="0" collapsed="false">
      <c r="A55" s="12" t="s">
        <v>179</v>
      </c>
      <c r="B55" s="12" t="s">
        <v>164</v>
      </c>
      <c r="C55" s="12"/>
      <c r="D55" s="12" t="s">
        <v>165</v>
      </c>
      <c r="E55" s="12" t="s">
        <v>79</v>
      </c>
      <c r="F55" s="12" t="s">
        <v>116</v>
      </c>
      <c r="G55" s="12" t="n">
        <v>3</v>
      </c>
      <c r="H55" s="12" t="s">
        <v>81</v>
      </c>
      <c r="I55" s="12" t="s">
        <v>82</v>
      </c>
      <c r="J55" s="12"/>
      <c r="K55" s="12"/>
      <c r="L55" s="13" t="s">
        <v>83</v>
      </c>
      <c r="M55" s="13" t="s">
        <v>84</v>
      </c>
      <c r="N55" s="13" t="s">
        <v>85</v>
      </c>
      <c r="O55" s="12"/>
      <c r="P55" s="13"/>
      <c r="Q55" s="12"/>
      <c r="R55" s="12"/>
      <c r="S55" s="12"/>
      <c r="T55" s="12"/>
      <c r="U55" s="12" t="s">
        <v>86</v>
      </c>
      <c r="V55" s="13"/>
      <c r="W55" s="14" t="n">
        <v>19000</v>
      </c>
      <c r="X55" s="14"/>
      <c r="Y55" s="14"/>
      <c r="Z55" s="14"/>
      <c r="AA55" s="15" t="str">
        <f aca="false">IF(COUNT(X55,Y55,Z55)=0,"",SUM(X55,Y55,Z55))</f>
        <v/>
      </c>
      <c r="AB55" s="16" t="str">
        <f aca="false">IFERROR(IF(OR(W55="",AA55=""),"",(W55-AA55)/W55),"")</f>
        <v/>
      </c>
      <c r="AC55" s="17" t="str">
        <f aca="false">IFERROR(IF(OR(AA55="",AA55=0),"",W55/AA55),"")</f>
        <v/>
      </c>
      <c r="AD55" s="12" t="s">
        <v>87</v>
      </c>
      <c r="AE55" s="12" t="s">
        <v>88</v>
      </c>
      <c r="AF55" s="12"/>
      <c r="AG55" s="12"/>
      <c r="AH55" s="12"/>
      <c r="AI55" s="12"/>
      <c r="AJ55" s="12"/>
      <c r="AK55" s="12"/>
      <c r="AL55" s="12" t="s">
        <v>88</v>
      </c>
      <c r="AM55" s="12"/>
      <c r="AN55" s="12"/>
      <c r="AO55" s="12"/>
      <c r="AP55" s="12"/>
    </row>
    <row r="56" customFormat="false" ht="30" hidden="false" customHeight="true" outlineLevel="0" collapsed="false">
      <c r="A56" s="12" t="s">
        <v>180</v>
      </c>
      <c r="B56" s="12" t="s">
        <v>164</v>
      </c>
      <c r="C56" s="12"/>
      <c r="D56" s="12" t="s">
        <v>165</v>
      </c>
      <c r="E56" s="12" t="s">
        <v>79</v>
      </c>
      <c r="F56" s="12" t="s">
        <v>118</v>
      </c>
      <c r="G56" s="12" t="n">
        <v>3</v>
      </c>
      <c r="H56" s="12" t="s">
        <v>81</v>
      </c>
      <c r="I56" s="12" t="s">
        <v>82</v>
      </c>
      <c r="J56" s="12"/>
      <c r="K56" s="12"/>
      <c r="L56" s="13" t="s">
        <v>83</v>
      </c>
      <c r="M56" s="13" t="s">
        <v>84</v>
      </c>
      <c r="N56" s="13" t="s">
        <v>85</v>
      </c>
      <c r="O56" s="12"/>
      <c r="P56" s="13"/>
      <c r="Q56" s="12"/>
      <c r="R56" s="12"/>
      <c r="S56" s="12"/>
      <c r="T56" s="12"/>
      <c r="U56" s="12" t="s">
        <v>86</v>
      </c>
      <c r="V56" s="13"/>
      <c r="W56" s="14" t="n">
        <v>19000</v>
      </c>
      <c r="X56" s="14"/>
      <c r="Y56" s="14"/>
      <c r="Z56" s="14"/>
      <c r="AA56" s="15" t="str">
        <f aca="false">IF(COUNT(X56,Y56,Z56)=0,"",SUM(X56,Y56,Z56))</f>
        <v/>
      </c>
      <c r="AB56" s="16" t="str">
        <f aca="false">IFERROR(IF(OR(W56="",AA56=""),"",(W56-AA56)/W56),"")</f>
        <v/>
      </c>
      <c r="AC56" s="17" t="str">
        <f aca="false">IFERROR(IF(OR(AA56="",AA56=0),"",W56/AA56),"")</f>
        <v/>
      </c>
      <c r="AD56" s="12" t="s">
        <v>87</v>
      </c>
      <c r="AE56" s="12" t="s">
        <v>88</v>
      </c>
      <c r="AF56" s="12"/>
      <c r="AG56" s="12"/>
      <c r="AH56" s="12"/>
      <c r="AI56" s="12"/>
      <c r="AJ56" s="12"/>
      <c r="AK56" s="12"/>
      <c r="AL56" s="12" t="s">
        <v>88</v>
      </c>
      <c r="AM56" s="12"/>
      <c r="AN56" s="12"/>
      <c r="AO56" s="12"/>
      <c r="AP56" s="12"/>
    </row>
    <row r="57" customFormat="false" ht="30" hidden="false" customHeight="true" outlineLevel="0" collapsed="false">
      <c r="A57" s="12" t="s">
        <v>181</v>
      </c>
      <c r="B57" s="12" t="s">
        <v>164</v>
      </c>
      <c r="C57" s="12"/>
      <c r="D57" s="12" t="s">
        <v>165</v>
      </c>
      <c r="E57" s="12" t="s">
        <v>79</v>
      </c>
      <c r="F57" s="12" t="s">
        <v>120</v>
      </c>
      <c r="G57" s="12" t="n">
        <v>3</v>
      </c>
      <c r="H57" s="12" t="s">
        <v>81</v>
      </c>
      <c r="I57" s="12" t="s">
        <v>82</v>
      </c>
      <c r="J57" s="12"/>
      <c r="K57" s="12"/>
      <c r="L57" s="13" t="s">
        <v>83</v>
      </c>
      <c r="M57" s="13" t="s">
        <v>84</v>
      </c>
      <c r="N57" s="13" t="s">
        <v>85</v>
      </c>
      <c r="O57" s="12"/>
      <c r="P57" s="13"/>
      <c r="Q57" s="12"/>
      <c r="R57" s="12"/>
      <c r="S57" s="12"/>
      <c r="T57" s="12"/>
      <c r="U57" s="12" t="s">
        <v>86</v>
      </c>
      <c r="V57" s="13"/>
      <c r="W57" s="14" t="n">
        <v>19000</v>
      </c>
      <c r="X57" s="14"/>
      <c r="Y57" s="14"/>
      <c r="Z57" s="14"/>
      <c r="AA57" s="15" t="str">
        <f aca="false">IF(COUNT(X57,Y57,Z57)=0,"",SUM(X57,Y57,Z57))</f>
        <v/>
      </c>
      <c r="AB57" s="16" t="str">
        <f aca="false">IFERROR(IF(OR(W57="",AA57=""),"",(W57-AA57)/W57),"")</f>
        <v/>
      </c>
      <c r="AC57" s="17" t="str">
        <f aca="false">IFERROR(IF(OR(AA57="",AA57=0),"",W57/AA57),"")</f>
        <v/>
      </c>
      <c r="AD57" s="12" t="s">
        <v>87</v>
      </c>
      <c r="AE57" s="12" t="s">
        <v>88</v>
      </c>
      <c r="AF57" s="12"/>
      <c r="AG57" s="12"/>
      <c r="AH57" s="12"/>
      <c r="AI57" s="12"/>
      <c r="AJ57" s="12"/>
      <c r="AK57" s="12"/>
      <c r="AL57" s="12" t="s">
        <v>88</v>
      </c>
      <c r="AM57" s="12"/>
      <c r="AN57" s="12"/>
      <c r="AO57" s="12"/>
      <c r="AP57" s="12"/>
    </row>
    <row r="58" customFormat="false" ht="30" hidden="false" customHeight="true" outlineLevel="0" collapsed="false">
      <c r="A58" s="12" t="s">
        <v>182</v>
      </c>
      <c r="B58" s="12" t="s">
        <v>164</v>
      </c>
      <c r="C58" s="12"/>
      <c r="D58" s="12" t="s">
        <v>165</v>
      </c>
      <c r="E58" s="12" t="s">
        <v>79</v>
      </c>
      <c r="F58" s="12" t="s">
        <v>122</v>
      </c>
      <c r="G58" s="12" t="n">
        <v>3</v>
      </c>
      <c r="H58" s="12" t="s">
        <v>81</v>
      </c>
      <c r="I58" s="12" t="s">
        <v>82</v>
      </c>
      <c r="J58" s="12"/>
      <c r="K58" s="12"/>
      <c r="L58" s="13" t="s">
        <v>83</v>
      </c>
      <c r="M58" s="13" t="s">
        <v>84</v>
      </c>
      <c r="N58" s="13" t="s">
        <v>85</v>
      </c>
      <c r="O58" s="12"/>
      <c r="P58" s="13"/>
      <c r="Q58" s="12"/>
      <c r="R58" s="12"/>
      <c r="S58" s="12"/>
      <c r="T58" s="12"/>
      <c r="U58" s="12" t="s">
        <v>86</v>
      </c>
      <c r="V58" s="13"/>
      <c r="W58" s="14" t="n">
        <v>19000</v>
      </c>
      <c r="X58" s="14"/>
      <c r="Y58" s="14"/>
      <c r="Z58" s="14"/>
      <c r="AA58" s="15" t="str">
        <f aca="false">IF(COUNT(X58,Y58,Z58)=0,"",SUM(X58,Y58,Z58))</f>
        <v/>
      </c>
      <c r="AB58" s="16" t="str">
        <f aca="false">IFERROR(IF(OR(W58="",AA58=""),"",(W58-AA58)/W58),"")</f>
        <v/>
      </c>
      <c r="AC58" s="17" t="str">
        <f aca="false">IFERROR(IF(OR(AA58="",AA58=0),"",W58/AA58),"")</f>
        <v/>
      </c>
      <c r="AD58" s="12" t="s">
        <v>87</v>
      </c>
      <c r="AE58" s="12" t="s">
        <v>88</v>
      </c>
      <c r="AF58" s="12"/>
      <c r="AG58" s="12"/>
      <c r="AH58" s="12"/>
      <c r="AI58" s="12"/>
      <c r="AJ58" s="12"/>
      <c r="AK58" s="12"/>
      <c r="AL58" s="12" t="s">
        <v>88</v>
      </c>
      <c r="AM58" s="12"/>
      <c r="AN58" s="12"/>
      <c r="AO58" s="12"/>
      <c r="AP58" s="12"/>
    </row>
    <row r="59" customFormat="false" ht="30" hidden="false" customHeight="true" outlineLevel="0" collapsed="false">
      <c r="A59" s="12" t="s">
        <v>183</v>
      </c>
      <c r="B59" s="12" t="s">
        <v>164</v>
      </c>
      <c r="C59" s="12"/>
      <c r="D59" s="12" t="s">
        <v>165</v>
      </c>
      <c r="E59" s="12" t="s">
        <v>79</v>
      </c>
      <c r="F59" s="12" t="s">
        <v>124</v>
      </c>
      <c r="G59" s="12" t="n">
        <v>3</v>
      </c>
      <c r="H59" s="12" t="s">
        <v>81</v>
      </c>
      <c r="I59" s="12" t="s">
        <v>82</v>
      </c>
      <c r="J59" s="12"/>
      <c r="K59" s="12"/>
      <c r="L59" s="13" t="s">
        <v>83</v>
      </c>
      <c r="M59" s="13" t="s">
        <v>84</v>
      </c>
      <c r="N59" s="13" t="s">
        <v>85</v>
      </c>
      <c r="O59" s="12"/>
      <c r="P59" s="13"/>
      <c r="Q59" s="12"/>
      <c r="R59" s="12"/>
      <c r="S59" s="12"/>
      <c r="T59" s="12"/>
      <c r="U59" s="12" t="s">
        <v>86</v>
      </c>
      <c r="V59" s="13"/>
      <c r="W59" s="14" t="n">
        <v>19000</v>
      </c>
      <c r="X59" s="14"/>
      <c r="Y59" s="14"/>
      <c r="Z59" s="14"/>
      <c r="AA59" s="15" t="str">
        <f aca="false">IF(COUNT(X59,Y59,Z59)=0,"",SUM(X59,Y59,Z59))</f>
        <v/>
      </c>
      <c r="AB59" s="16" t="str">
        <f aca="false">IFERROR(IF(OR(W59="",AA59=""),"",(W59-AA59)/W59),"")</f>
        <v/>
      </c>
      <c r="AC59" s="17" t="str">
        <f aca="false">IFERROR(IF(OR(AA59="",AA59=0),"",W59/AA59),"")</f>
        <v/>
      </c>
      <c r="AD59" s="12" t="s">
        <v>87</v>
      </c>
      <c r="AE59" s="12" t="s">
        <v>88</v>
      </c>
      <c r="AF59" s="12"/>
      <c r="AG59" s="12"/>
      <c r="AH59" s="12"/>
      <c r="AI59" s="12"/>
      <c r="AJ59" s="12"/>
      <c r="AK59" s="12"/>
      <c r="AL59" s="12" t="s">
        <v>88</v>
      </c>
      <c r="AM59" s="12"/>
      <c r="AN59" s="12"/>
      <c r="AO59" s="12"/>
      <c r="AP59" s="12"/>
    </row>
    <row r="60" customFormat="false" ht="30" hidden="false" customHeight="true" outlineLevel="0" collapsed="false">
      <c r="A60" s="12" t="s">
        <v>184</v>
      </c>
      <c r="B60" s="12" t="s">
        <v>164</v>
      </c>
      <c r="C60" s="12"/>
      <c r="D60" s="12" t="s">
        <v>165</v>
      </c>
      <c r="E60" s="12" t="s">
        <v>79</v>
      </c>
      <c r="F60" s="12" t="s">
        <v>126</v>
      </c>
      <c r="G60" s="12" t="n">
        <v>3</v>
      </c>
      <c r="H60" s="12" t="s">
        <v>81</v>
      </c>
      <c r="I60" s="12" t="s">
        <v>82</v>
      </c>
      <c r="J60" s="12"/>
      <c r="K60" s="12"/>
      <c r="L60" s="13" t="s">
        <v>83</v>
      </c>
      <c r="M60" s="13" t="s">
        <v>84</v>
      </c>
      <c r="N60" s="13" t="s">
        <v>85</v>
      </c>
      <c r="O60" s="12"/>
      <c r="P60" s="13"/>
      <c r="Q60" s="12"/>
      <c r="R60" s="12"/>
      <c r="S60" s="12"/>
      <c r="T60" s="12"/>
      <c r="U60" s="12" t="s">
        <v>86</v>
      </c>
      <c r="V60" s="13"/>
      <c r="W60" s="14" t="n">
        <v>19000</v>
      </c>
      <c r="X60" s="14"/>
      <c r="Y60" s="14"/>
      <c r="Z60" s="14"/>
      <c r="AA60" s="15" t="str">
        <f aca="false">IF(COUNT(X60,Y60,Z60)=0,"",SUM(X60,Y60,Z60))</f>
        <v/>
      </c>
      <c r="AB60" s="16" t="str">
        <f aca="false">IFERROR(IF(OR(W60="",AA60=""),"",(W60-AA60)/W60),"")</f>
        <v/>
      </c>
      <c r="AC60" s="17" t="str">
        <f aca="false">IFERROR(IF(OR(AA60="",AA60=0),"",W60/AA60),"")</f>
        <v/>
      </c>
      <c r="AD60" s="12" t="s">
        <v>87</v>
      </c>
      <c r="AE60" s="12" t="s">
        <v>88</v>
      </c>
      <c r="AF60" s="12"/>
      <c r="AG60" s="12"/>
      <c r="AH60" s="12"/>
      <c r="AI60" s="12"/>
      <c r="AJ60" s="12"/>
      <c r="AK60" s="12"/>
      <c r="AL60" s="12" t="s">
        <v>88</v>
      </c>
      <c r="AM60" s="12"/>
      <c r="AN60" s="12"/>
      <c r="AO60" s="12"/>
      <c r="AP60" s="12"/>
    </row>
    <row r="61" customFormat="false" ht="30" hidden="false" customHeight="true" outlineLevel="0" collapsed="false">
      <c r="A61" s="12" t="s">
        <v>185</v>
      </c>
      <c r="B61" s="12" t="s">
        <v>164</v>
      </c>
      <c r="C61" s="12"/>
      <c r="D61" s="12" t="s">
        <v>165</v>
      </c>
      <c r="E61" s="12" t="s">
        <v>79</v>
      </c>
      <c r="F61" s="12" t="s">
        <v>128</v>
      </c>
      <c r="G61" s="12" t="n">
        <v>3</v>
      </c>
      <c r="H61" s="12" t="s">
        <v>81</v>
      </c>
      <c r="I61" s="12" t="s">
        <v>82</v>
      </c>
      <c r="J61" s="12"/>
      <c r="K61" s="12"/>
      <c r="L61" s="13" t="s">
        <v>83</v>
      </c>
      <c r="M61" s="13" t="s">
        <v>84</v>
      </c>
      <c r="N61" s="13" t="s">
        <v>85</v>
      </c>
      <c r="O61" s="12"/>
      <c r="P61" s="13"/>
      <c r="Q61" s="12"/>
      <c r="R61" s="12"/>
      <c r="S61" s="12"/>
      <c r="T61" s="12"/>
      <c r="U61" s="12" t="s">
        <v>86</v>
      </c>
      <c r="V61" s="13"/>
      <c r="W61" s="14" t="n">
        <v>19000</v>
      </c>
      <c r="X61" s="14"/>
      <c r="Y61" s="14"/>
      <c r="Z61" s="14"/>
      <c r="AA61" s="15" t="str">
        <f aca="false">IF(COUNT(X61,Y61,Z61)=0,"",SUM(X61,Y61,Z61))</f>
        <v/>
      </c>
      <c r="AB61" s="16" t="str">
        <f aca="false">IFERROR(IF(OR(W61="",AA61=""),"",(W61-AA61)/W61),"")</f>
        <v/>
      </c>
      <c r="AC61" s="17" t="str">
        <f aca="false">IFERROR(IF(OR(AA61="",AA61=0),"",W61/AA61),"")</f>
        <v/>
      </c>
      <c r="AD61" s="12" t="s">
        <v>87</v>
      </c>
      <c r="AE61" s="12" t="s">
        <v>88</v>
      </c>
      <c r="AF61" s="12"/>
      <c r="AG61" s="12"/>
      <c r="AH61" s="12"/>
      <c r="AI61" s="12"/>
      <c r="AJ61" s="12"/>
      <c r="AK61" s="12"/>
      <c r="AL61" s="12" t="s">
        <v>88</v>
      </c>
      <c r="AM61" s="12"/>
      <c r="AN61" s="12"/>
      <c r="AO61" s="12"/>
      <c r="AP61" s="12"/>
    </row>
    <row r="62" customFormat="false" ht="30" hidden="false" customHeight="true" outlineLevel="0" collapsed="false">
      <c r="A62" s="12" t="s">
        <v>186</v>
      </c>
      <c r="B62" s="12" t="s">
        <v>164</v>
      </c>
      <c r="C62" s="12"/>
      <c r="D62" s="12" t="s">
        <v>165</v>
      </c>
      <c r="E62" s="12" t="s">
        <v>79</v>
      </c>
      <c r="F62" s="12" t="s">
        <v>130</v>
      </c>
      <c r="G62" s="12" t="n">
        <v>3</v>
      </c>
      <c r="H62" s="12" t="s">
        <v>81</v>
      </c>
      <c r="I62" s="12" t="s">
        <v>82</v>
      </c>
      <c r="J62" s="12"/>
      <c r="K62" s="12"/>
      <c r="L62" s="13" t="s">
        <v>83</v>
      </c>
      <c r="M62" s="13" t="s">
        <v>84</v>
      </c>
      <c r="N62" s="13" t="s">
        <v>85</v>
      </c>
      <c r="O62" s="12"/>
      <c r="P62" s="13"/>
      <c r="Q62" s="12"/>
      <c r="R62" s="12"/>
      <c r="S62" s="12"/>
      <c r="T62" s="12"/>
      <c r="U62" s="12" t="s">
        <v>86</v>
      </c>
      <c r="V62" s="13"/>
      <c r="W62" s="14" t="n">
        <v>19000</v>
      </c>
      <c r="X62" s="14"/>
      <c r="Y62" s="14"/>
      <c r="Z62" s="14"/>
      <c r="AA62" s="15" t="str">
        <f aca="false">IF(COUNT(X62,Y62,Z62)=0,"",SUM(X62,Y62,Z62))</f>
        <v/>
      </c>
      <c r="AB62" s="16" t="str">
        <f aca="false">IFERROR(IF(OR(W62="",AA62=""),"",(W62-AA62)/W62),"")</f>
        <v/>
      </c>
      <c r="AC62" s="17" t="str">
        <f aca="false">IFERROR(IF(OR(AA62="",AA62=0),"",W62/AA62),"")</f>
        <v/>
      </c>
      <c r="AD62" s="12" t="s">
        <v>87</v>
      </c>
      <c r="AE62" s="12" t="s">
        <v>88</v>
      </c>
      <c r="AF62" s="12"/>
      <c r="AG62" s="12"/>
      <c r="AH62" s="12"/>
      <c r="AI62" s="12"/>
      <c r="AJ62" s="12"/>
      <c r="AK62" s="12"/>
      <c r="AL62" s="12" t="s">
        <v>88</v>
      </c>
      <c r="AM62" s="12"/>
      <c r="AN62" s="12"/>
      <c r="AO62" s="12"/>
      <c r="AP62" s="12"/>
    </row>
    <row r="63" customFormat="false" ht="30" hidden="false" customHeight="true" outlineLevel="0" collapsed="false">
      <c r="A63" s="12" t="s">
        <v>187</v>
      </c>
      <c r="B63" s="12" t="s">
        <v>164</v>
      </c>
      <c r="C63" s="12"/>
      <c r="D63" s="12" t="s">
        <v>165</v>
      </c>
      <c r="E63" s="12" t="s">
        <v>79</v>
      </c>
      <c r="F63" s="12" t="s">
        <v>132</v>
      </c>
      <c r="G63" s="12" t="n">
        <v>3</v>
      </c>
      <c r="H63" s="12" t="s">
        <v>81</v>
      </c>
      <c r="I63" s="12" t="s">
        <v>82</v>
      </c>
      <c r="J63" s="12"/>
      <c r="K63" s="12"/>
      <c r="L63" s="13" t="s">
        <v>83</v>
      </c>
      <c r="M63" s="13" t="s">
        <v>84</v>
      </c>
      <c r="N63" s="13" t="s">
        <v>85</v>
      </c>
      <c r="O63" s="12"/>
      <c r="P63" s="13"/>
      <c r="Q63" s="12"/>
      <c r="R63" s="12"/>
      <c r="S63" s="12"/>
      <c r="T63" s="12"/>
      <c r="U63" s="12" t="s">
        <v>86</v>
      </c>
      <c r="V63" s="13"/>
      <c r="W63" s="14" t="n">
        <v>19000</v>
      </c>
      <c r="X63" s="14"/>
      <c r="Y63" s="14"/>
      <c r="Z63" s="14"/>
      <c r="AA63" s="15" t="str">
        <f aca="false">IF(COUNT(X63,Y63,Z63)=0,"",SUM(X63,Y63,Z63))</f>
        <v/>
      </c>
      <c r="AB63" s="16" t="str">
        <f aca="false">IFERROR(IF(OR(W63="",AA63=""),"",(W63-AA63)/W63),"")</f>
        <v/>
      </c>
      <c r="AC63" s="17" t="str">
        <f aca="false">IFERROR(IF(OR(AA63="",AA63=0),"",W63/AA63),"")</f>
        <v/>
      </c>
      <c r="AD63" s="12" t="s">
        <v>87</v>
      </c>
      <c r="AE63" s="12" t="s">
        <v>88</v>
      </c>
      <c r="AF63" s="12"/>
      <c r="AG63" s="12"/>
      <c r="AH63" s="12"/>
      <c r="AI63" s="12"/>
      <c r="AJ63" s="12"/>
      <c r="AK63" s="12"/>
      <c r="AL63" s="12" t="s">
        <v>88</v>
      </c>
      <c r="AM63" s="12"/>
      <c r="AN63" s="12"/>
      <c r="AO63" s="12"/>
      <c r="AP63" s="12"/>
    </row>
    <row r="64" customFormat="false" ht="30" hidden="false" customHeight="true" outlineLevel="0" collapsed="false">
      <c r="A64" s="12" t="s">
        <v>188</v>
      </c>
      <c r="B64" s="12" t="s">
        <v>164</v>
      </c>
      <c r="C64" s="12"/>
      <c r="D64" s="12" t="s">
        <v>165</v>
      </c>
      <c r="E64" s="12" t="s">
        <v>79</v>
      </c>
      <c r="F64" s="12" t="s">
        <v>134</v>
      </c>
      <c r="G64" s="12" t="n">
        <v>3</v>
      </c>
      <c r="H64" s="12" t="s">
        <v>81</v>
      </c>
      <c r="I64" s="12" t="s">
        <v>82</v>
      </c>
      <c r="J64" s="12"/>
      <c r="K64" s="12"/>
      <c r="L64" s="13" t="s">
        <v>83</v>
      </c>
      <c r="M64" s="13" t="s">
        <v>84</v>
      </c>
      <c r="N64" s="13" t="s">
        <v>85</v>
      </c>
      <c r="O64" s="12"/>
      <c r="P64" s="13"/>
      <c r="Q64" s="12"/>
      <c r="R64" s="12"/>
      <c r="S64" s="12"/>
      <c r="T64" s="12"/>
      <c r="U64" s="12" t="s">
        <v>86</v>
      </c>
      <c r="V64" s="13"/>
      <c r="W64" s="14" t="n">
        <v>19000</v>
      </c>
      <c r="X64" s="14"/>
      <c r="Y64" s="14"/>
      <c r="Z64" s="14"/>
      <c r="AA64" s="15" t="str">
        <f aca="false">IF(COUNT(X64,Y64,Z64)=0,"",SUM(X64,Y64,Z64))</f>
        <v/>
      </c>
      <c r="AB64" s="16" t="str">
        <f aca="false">IFERROR(IF(OR(W64="",AA64=""),"",(W64-AA64)/W64),"")</f>
        <v/>
      </c>
      <c r="AC64" s="17" t="str">
        <f aca="false">IFERROR(IF(OR(AA64="",AA64=0),"",W64/AA64),"")</f>
        <v/>
      </c>
      <c r="AD64" s="12" t="s">
        <v>87</v>
      </c>
      <c r="AE64" s="12" t="s">
        <v>88</v>
      </c>
      <c r="AF64" s="12"/>
      <c r="AG64" s="12"/>
      <c r="AH64" s="12"/>
      <c r="AI64" s="12"/>
      <c r="AJ64" s="12"/>
      <c r="AK64" s="12"/>
      <c r="AL64" s="12" t="s">
        <v>88</v>
      </c>
      <c r="AM64" s="12"/>
      <c r="AN64" s="12"/>
      <c r="AO64" s="12"/>
      <c r="AP64" s="12"/>
    </row>
    <row r="65" customFormat="false" ht="30" hidden="false" customHeight="true" outlineLevel="0" collapsed="false">
      <c r="A65" s="12" t="s">
        <v>189</v>
      </c>
      <c r="B65" s="12" t="s">
        <v>164</v>
      </c>
      <c r="C65" s="12"/>
      <c r="D65" s="12" t="s">
        <v>165</v>
      </c>
      <c r="E65" s="12" t="s">
        <v>79</v>
      </c>
      <c r="F65" s="12" t="s">
        <v>136</v>
      </c>
      <c r="G65" s="12" t="n">
        <v>3</v>
      </c>
      <c r="H65" s="12" t="s">
        <v>81</v>
      </c>
      <c r="I65" s="12" t="s">
        <v>82</v>
      </c>
      <c r="J65" s="12"/>
      <c r="K65" s="12"/>
      <c r="L65" s="13" t="s">
        <v>83</v>
      </c>
      <c r="M65" s="13" t="s">
        <v>84</v>
      </c>
      <c r="N65" s="13" t="s">
        <v>85</v>
      </c>
      <c r="O65" s="12"/>
      <c r="P65" s="13"/>
      <c r="Q65" s="12"/>
      <c r="R65" s="12"/>
      <c r="S65" s="12"/>
      <c r="T65" s="12"/>
      <c r="U65" s="12" t="s">
        <v>86</v>
      </c>
      <c r="V65" s="13"/>
      <c r="W65" s="14" t="n">
        <v>19000</v>
      </c>
      <c r="X65" s="14"/>
      <c r="Y65" s="14"/>
      <c r="Z65" s="14"/>
      <c r="AA65" s="15" t="str">
        <f aca="false">IF(COUNT(X65,Y65,Z65)=0,"",SUM(X65,Y65,Z65))</f>
        <v/>
      </c>
      <c r="AB65" s="16" t="str">
        <f aca="false">IFERROR(IF(OR(W65="",AA65=""),"",(W65-AA65)/W65),"")</f>
        <v/>
      </c>
      <c r="AC65" s="17" t="str">
        <f aca="false">IFERROR(IF(OR(AA65="",AA65=0),"",W65/AA65),"")</f>
        <v/>
      </c>
      <c r="AD65" s="12" t="s">
        <v>87</v>
      </c>
      <c r="AE65" s="12" t="s">
        <v>88</v>
      </c>
      <c r="AF65" s="12"/>
      <c r="AG65" s="12"/>
      <c r="AH65" s="12"/>
      <c r="AI65" s="12"/>
      <c r="AJ65" s="12"/>
      <c r="AK65" s="12"/>
      <c r="AL65" s="12" t="s">
        <v>88</v>
      </c>
      <c r="AM65" s="12"/>
      <c r="AN65" s="12"/>
      <c r="AO65" s="12"/>
      <c r="AP65" s="12"/>
    </row>
    <row r="66" customFormat="false" ht="30" hidden="false" customHeight="true" outlineLevel="0" collapsed="false">
      <c r="A66" s="12" t="s">
        <v>190</v>
      </c>
      <c r="B66" s="12" t="s">
        <v>164</v>
      </c>
      <c r="C66" s="12"/>
      <c r="D66" s="12" t="s">
        <v>165</v>
      </c>
      <c r="E66" s="12" t="s">
        <v>79</v>
      </c>
      <c r="F66" s="12" t="s">
        <v>138</v>
      </c>
      <c r="G66" s="12" t="n">
        <v>3</v>
      </c>
      <c r="H66" s="12" t="s">
        <v>81</v>
      </c>
      <c r="I66" s="12" t="s">
        <v>82</v>
      </c>
      <c r="J66" s="12"/>
      <c r="K66" s="12"/>
      <c r="L66" s="13" t="s">
        <v>83</v>
      </c>
      <c r="M66" s="13" t="s">
        <v>84</v>
      </c>
      <c r="N66" s="13" t="s">
        <v>85</v>
      </c>
      <c r="O66" s="12"/>
      <c r="P66" s="13"/>
      <c r="Q66" s="12"/>
      <c r="R66" s="12"/>
      <c r="S66" s="12"/>
      <c r="T66" s="12"/>
      <c r="U66" s="12" t="s">
        <v>86</v>
      </c>
      <c r="V66" s="13"/>
      <c r="W66" s="14" t="n">
        <v>19000</v>
      </c>
      <c r="X66" s="14"/>
      <c r="Y66" s="14"/>
      <c r="Z66" s="14"/>
      <c r="AA66" s="15" t="str">
        <f aca="false">IF(COUNT(X66,Y66,Z66)=0,"",SUM(X66,Y66,Z66))</f>
        <v/>
      </c>
      <c r="AB66" s="16" t="str">
        <f aca="false">IFERROR(IF(OR(W66="",AA66=""),"",(W66-AA66)/W66),"")</f>
        <v/>
      </c>
      <c r="AC66" s="17" t="str">
        <f aca="false">IFERROR(IF(OR(AA66="",AA66=0),"",W66/AA66),"")</f>
        <v/>
      </c>
      <c r="AD66" s="12" t="s">
        <v>87</v>
      </c>
      <c r="AE66" s="12" t="s">
        <v>88</v>
      </c>
      <c r="AF66" s="12"/>
      <c r="AG66" s="12"/>
      <c r="AH66" s="12"/>
      <c r="AI66" s="12"/>
      <c r="AJ66" s="12"/>
      <c r="AK66" s="12"/>
      <c r="AL66" s="12" t="s">
        <v>88</v>
      </c>
      <c r="AM66" s="12"/>
      <c r="AN66" s="12"/>
      <c r="AO66" s="12"/>
      <c r="AP66" s="12"/>
    </row>
    <row r="67" customFormat="false" ht="30" hidden="false" customHeight="true" outlineLevel="0" collapsed="false">
      <c r="A67" s="12" t="s">
        <v>191</v>
      </c>
      <c r="B67" s="12" t="s">
        <v>164</v>
      </c>
      <c r="C67" s="12"/>
      <c r="D67" s="12" t="s">
        <v>165</v>
      </c>
      <c r="E67" s="12" t="s">
        <v>79</v>
      </c>
      <c r="F67" s="12" t="s">
        <v>140</v>
      </c>
      <c r="G67" s="12" t="n">
        <v>3</v>
      </c>
      <c r="H67" s="12" t="s">
        <v>81</v>
      </c>
      <c r="I67" s="12" t="s">
        <v>82</v>
      </c>
      <c r="J67" s="12"/>
      <c r="K67" s="12"/>
      <c r="L67" s="13" t="s">
        <v>83</v>
      </c>
      <c r="M67" s="13" t="s">
        <v>84</v>
      </c>
      <c r="N67" s="13" t="s">
        <v>85</v>
      </c>
      <c r="O67" s="12"/>
      <c r="P67" s="13"/>
      <c r="Q67" s="12"/>
      <c r="R67" s="12"/>
      <c r="S67" s="12"/>
      <c r="T67" s="12"/>
      <c r="U67" s="12" t="s">
        <v>86</v>
      </c>
      <c r="V67" s="13"/>
      <c r="W67" s="14" t="n">
        <v>19000</v>
      </c>
      <c r="X67" s="14"/>
      <c r="Y67" s="14"/>
      <c r="Z67" s="14"/>
      <c r="AA67" s="15" t="str">
        <f aca="false">IF(COUNT(X67,Y67,Z67)=0,"",SUM(X67,Y67,Z67))</f>
        <v/>
      </c>
      <c r="AB67" s="16" t="str">
        <f aca="false">IFERROR(IF(OR(W67="",AA67=""),"",(W67-AA67)/W67),"")</f>
        <v/>
      </c>
      <c r="AC67" s="17" t="str">
        <f aca="false">IFERROR(IF(OR(AA67="",AA67=0),"",W67/AA67),"")</f>
        <v/>
      </c>
      <c r="AD67" s="12" t="s">
        <v>87</v>
      </c>
      <c r="AE67" s="12" t="s">
        <v>88</v>
      </c>
      <c r="AF67" s="12"/>
      <c r="AG67" s="12"/>
      <c r="AH67" s="12"/>
      <c r="AI67" s="12"/>
      <c r="AJ67" s="12"/>
      <c r="AK67" s="12"/>
      <c r="AL67" s="12" t="s">
        <v>88</v>
      </c>
      <c r="AM67" s="12"/>
      <c r="AN67" s="12"/>
      <c r="AO67" s="12"/>
      <c r="AP67" s="12"/>
    </row>
    <row r="68" customFormat="false" ht="30" hidden="false" customHeight="true" outlineLevel="0" collapsed="false">
      <c r="A68" s="12" t="s">
        <v>192</v>
      </c>
      <c r="B68" s="12" t="s">
        <v>164</v>
      </c>
      <c r="C68" s="12"/>
      <c r="D68" s="12" t="s">
        <v>165</v>
      </c>
      <c r="E68" s="12" t="s">
        <v>79</v>
      </c>
      <c r="F68" s="12" t="s">
        <v>142</v>
      </c>
      <c r="G68" s="12" t="n">
        <v>3</v>
      </c>
      <c r="H68" s="12" t="s">
        <v>81</v>
      </c>
      <c r="I68" s="12" t="s">
        <v>82</v>
      </c>
      <c r="J68" s="12"/>
      <c r="K68" s="12"/>
      <c r="L68" s="13" t="s">
        <v>83</v>
      </c>
      <c r="M68" s="13" t="s">
        <v>84</v>
      </c>
      <c r="N68" s="13" t="s">
        <v>85</v>
      </c>
      <c r="O68" s="12"/>
      <c r="P68" s="13"/>
      <c r="Q68" s="12"/>
      <c r="R68" s="12"/>
      <c r="S68" s="12"/>
      <c r="T68" s="12"/>
      <c r="U68" s="12" t="s">
        <v>86</v>
      </c>
      <c r="V68" s="13"/>
      <c r="W68" s="14" t="n">
        <v>19000</v>
      </c>
      <c r="X68" s="14"/>
      <c r="Y68" s="14"/>
      <c r="Z68" s="14"/>
      <c r="AA68" s="15" t="str">
        <f aca="false">IF(COUNT(X68,Y68,Z68)=0,"",SUM(X68,Y68,Z68))</f>
        <v/>
      </c>
      <c r="AB68" s="16" t="str">
        <f aca="false">IFERROR(IF(OR(W68="",AA68=""),"",(W68-AA68)/W68),"")</f>
        <v/>
      </c>
      <c r="AC68" s="17" t="str">
        <f aca="false">IFERROR(IF(OR(AA68="",AA68=0),"",W68/AA68),"")</f>
        <v/>
      </c>
      <c r="AD68" s="12" t="s">
        <v>87</v>
      </c>
      <c r="AE68" s="12" t="s">
        <v>88</v>
      </c>
      <c r="AF68" s="12"/>
      <c r="AG68" s="12"/>
      <c r="AH68" s="12"/>
      <c r="AI68" s="12"/>
      <c r="AJ68" s="12"/>
      <c r="AK68" s="12"/>
      <c r="AL68" s="12" t="s">
        <v>88</v>
      </c>
      <c r="AM68" s="12"/>
      <c r="AN68" s="12"/>
      <c r="AO68" s="12"/>
      <c r="AP68" s="12"/>
    </row>
    <row r="69" customFormat="false" ht="30" hidden="false" customHeight="true" outlineLevel="0" collapsed="false">
      <c r="A69" s="12" t="s">
        <v>193</v>
      </c>
      <c r="B69" s="12" t="s">
        <v>164</v>
      </c>
      <c r="C69" s="12"/>
      <c r="D69" s="12" t="s">
        <v>165</v>
      </c>
      <c r="E69" s="12" t="s">
        <v>79</v>
      </c>
      <c r="F69" s="12" t="s">
        <v>144</v>
      </c>
      <c r="G69" s="12" t="n">
        <v>3</v>
      </c>
      <c r="H69" s="12" t="s">
        <v>81</v>
      </c>
      <c r="I69" s="12" t="s">
        <v>82</v>
      </c>
      <c r="J69" s="12"/>
      <c r="K69" s="12"/>
      <c r="L69" s="13" t="s">
        <v>83</v>
      </c>
      <c r="M69" s="13" t="s">
        <v>84</v>
      </c>
      <c r="N69" s="13" t="s">
        <v>85</v>
      </c>
      <c r="O69" s="12"/>
      <c r="P69" s="13"/>
      <c r="Q69" s="12"/>
      <c r="R69" s="12"/>
      <c r="S69" s="12"/>
      <c r="T69" s="12"/>
      <c r="U69" s="12" t="s">
        <v>86</v>
      </c>
      <c r="V69" s="13"/>
      <c r="W69" s="14" t="n">
        <v>19000</v>
      </c>
      <c r="X69" s="14"/>
      <c r="Y69" s="14"/>
      <c r="Z69" s="14"/>
      <c r="AA69" s="15" t="str">
        <f aca="false">IF(COUNT(X69,Y69,Z69)=0,"",SUM(X69,Y69,Z69))</f>
        <v/>
      </c>
      <c r="AB69" s="16" t="str">
        <f aca="false">IFERROR(IF(OR(W69="",AA69=""),"",(W69-AA69)/W69),"")</f>
        <v/>
      </c>
      <c r="AC69" s="17" t="str">
        <f aca="false">IFERROR(IF(OR(AA69="",AA69=0),"",W69/AA69),"")</f>
        <v/>
      </c>
      <c r="AD69" s="12" t="s">
        <v>87</v>
      </c>
      <c r="AE69" s="12" t="s">
        <v>88</v>
      </c>
      <c r="AF69" s="12"/>
      <c r="AG69" s="12"/>
      <c r="AH69" s="12"/>
      <c r="AI69" s="12"/>
      <c r="AJ69" s="12"/>
      <c r="AK69" s="12"/>
      <c r="AL69" s="12" t="s">
        <v>88</v>
      </c>
      <c r="AM69" s="12"/>
      <c r="AN69" s="12"/>
      <c r="AO69" s="12"/>
      <c r="AP69" s="12"/>
    </row>
    <row r="70" customFormat="false" ht="30" hidden="false" customHeight="true" outlineLevel="0" collapsed="false">
      <c r="A70" s="12" t="s">
        <v>194</v>
      </c>
      <c r="B70" s="12" t="s">
        <v>164</v>
      </c>
      <c r="C70" s="12"/>
      <c r="D70" s="12" t="s">
        <v>165</v>
      </c>
      <c r="E70" s="12" t="s">
        <v>79</v>
      </c>
      <c r="F70" s="12" t="s">
        <v>146</v>
      </c>
      <c r="G70" s="12" t="n">
        <v>3</v>
      </c>
      <c r="H70" s="12" t="s">
        <v>81</v>
      </c>
      <c r="I70" s="12" t="s">
        <v>82</v>
      </c>
      <c r="J70" s="12"/>
      <c r="K70" s="12"/>
      <c r="L70" s="13" t="s">
        <v>83</v>
      </c>
      <c r="M70" s="13" t="s">
        <v>84</v>
      </c>
      <c r="N70" s="13" t="s">
        <v>85</v>
      </c>
      <c r="O70" s="12"/>
      <c r="P70" s="13"/>
      <c r="Q70" s="12"/>
      <c r="R70" s="12"/>
      <c r="S70" s="12"/>
      <c r="T70" s="12"/>
      <c r="U70" s="12" t="s">
        <v>86</v>
      </c>
      <c r="V70" s="13"/>
      <c r="W70" s="14" t="n">
        <v>19000</v>
      </c>
      <c r="X70" s="14"/>
      <c r="Y70" s="14"/>
      <c r="Z70" s="14"/>
      <c r="AA70" s="15" t="str">
        <f aca="false">IF(COUNT(X70,Y70,Z70)=0,"",SUM(X70,Y70,Z70))</f>
        <v/>
      </c>
      <c r="AB70" s="16" t="str">
        <f aca="false">IFERROR(IF(OR(W70="",AA70=""),"",(W70-AA70)/W70),"")</f>
        <v/>
      </c>
      <c r="AC70" s="17" t="str">
        <f aca="false">IFERROR(IF(OR(AA70="",AA70=0),"",W70/AA70),"")</f>
        <v/>
      </c>
      <c r="AD70" s="12" t="s">
        <v>87</v>
      </c>
      <c r="AE70" s="12" t="s">
        <v>88</v>
      </c>
      <c r="AF70" s="12"/>
      <c r="AG70" s="12"/>
      <c r="AH70" s="12"/>
      <c r="AI70" s="12"/>
      <c r="AJ70" s="12"/>
      <c r="AK70" s="12"/>
      <c r="AL70" s="12" t="s">
        <v>88</v>
      </c>
      <c r="AM70" s="12"/>
      <c r="AN70" s="12"/>
      <c r="AO70" s="12"/>
      <c r="AP70" s="12"/>
    </row>
    <row r="71" customFormat="false" ht="30" hidden="false" customHeight="true" outlineLevel="0" collapsed="false">
      <c r="A71" s="12" t="s">
        <v>195</v>
      </c>
      <c r="B71" s="12" t="s">
        <v>164</v>
      </c>
      <c r="C71" s="12"/>
      <c r="D71" s="12" t="s">
        <v>165</v>
      </c>
      <c r="E71" s="12" t="s">
        <v>79</v>
      </c>
      <c r="F71" s="12" t="s">
        <v>148</v>
      </c>
      <c r="G71" s="12" t="n">
        <v>3</v>
      </c>
      <c r="H71" s="12" t="s">
        <v>81</v>
      </c>
      <c r="I71" s="12" t="s">
        <v>82</v>
      </c>
      <c r="J71" s="12"/>
      <c r="K71" s="12"/>
      <c r="L71" s="13" t="s">
        <v>83</v>
      </c>
      <c r="M71" s="13" t="s">
        <v>84</v>
      </c>
      <c r="N71" s="13" t="s">
        <v>85</v>
      </c>
      <c r="O71" s="12"/>
      <c r="P71" s="13"/>
      <c r="Q71" s="12"/>
      <c r="R71" s="12"/>
      <c r="S71" s="12"/>
      <c r="T71" s="12"/>
      <c r="U71" s="12" t="s">
        <v>86</v>
      </c>
      <c r="V71" s="13"/>
      <c r="W71" s="14" t="n">
        <v>19000</v>
      </c>
      <c r="X71" s="14"/>
      <c r="Y71" s="14"/>
      <c r="Z71" s="14"/>
      <c r="AA71" s="15" t="str">
        <f aca="false">IF(COUNT(X71,Y71,Z71)=0,"",SUM(X71,Y71,Z71))</f>
        <v/>
      </c>
      <c r="AB71" s="16" t="str">
        <f aca="false">IFERROR(IF(OR(W71="",AA71=""),"",(W71-AA71)/W71),"")</f>
        <v/>
      </c>
      <c r="AC71" s="17" t="str">
        <f aca="false">IFERROR(IF(OR(AA71="",AA71=0),"",W71/AA71),"")</f>
        <v/>
      </c>
      <c r="AD71" s="12" t="s">
        <v>87</v>
      </c>
      <c r="AE71" s="12" t="s">
        <v>88</v>
      </c>
      <c r="AF71" s="12"/>
      <c r="AG71" s="12"/>
      <c r="AH71" s="12"/>
      <c r="AI71" s="12"/>
      <c r="AJ71" s="12"/>
      <c r="AK71" s="12"/>
      <c r="AL71" s="12" t="s">
        <v>88</v>
      </c>
      <c r="AM71" s="12"/>
      <c r="AN71" s="12"/>
      <c r="AO71" s="12"/>
      <c r="AP71" s="12"/>
    </row>
    <row r="72" customFormat="false" ht="30" hidden="false" customHeight="true" outlineLevel="0" collapsed="false">
      <c r="A72" s="12" t="s">
        <v>196</v>
      </c>
      <c r="B72" s="12" t="s">
        <v>164</v>
      </c>
      <c r="C72" s="12"/>
      <c r="D72" s="12" t="s">
        <v>165</v>
      </c>
      <c r="E72" s="12" t="s">
        <v>79</v>
      </c>
      <c r="F72" s="12" t="s">
        <v>150</v>
      </c>
      <c r="G72" s="12" t="n">
        <v>3</v>
      </c>
      <c r="H72" s="12" t="s">
        <v>81</v>
      </c>
      <c r="I72" s="12" t="s">
        <v>82</v>
      </c>
      <c r="J72" s="12"/>
      <c r="K72" s="12"/>
      <c r="L72" s="13" t="s">
        <v>83</v>
      </c>
      <c r="M72" s="13" t="s">
        <v>84</v>
      </c>
      <c r="N72" s="13" t="s">
        <v>85</v>
      </c>
      <c r="O72" s="12"/>
      <c r="P72" s="13"/>
      <c r="Q72" s="12"/>
      <c r="R72" s="12"/>
      <c r="S72" s="12"/>
      <c r="T72" s="12"/>
      <c r="U72" s="12" t="s">
        <v>86</v>
      </c>
      <c r="V72" s="13"/>
      <c r="W72" s="14" t="n">
        <v>19000</v>
      </c>
      <c r="X72" s="14"/>
      <c r="Y72" s="14"/>
      <c r="Z72" s="14"/>
      <c r="AA72" s="15" t="str">
        <f aca="false">IF(COUNT(X72,Y72,Z72)=0,"",SUM(X72,Y72,Z72))</f>
        <v/>
      </c>
      <c r="AB72" s="16" t="str">
        <f aca="false">IFERROR(IF(OR(W72="",AA72=""),"",(W72-AA72)/W72),"")</f>
        <v/>
      </c>
      <c r="AC72" s="17" t="str">
        <f aca="false">IFERROR(IF(OR(AA72="",AA72=0),"",W72/AA72),"")</f>
        <v/>
      </c>
      <c r="AD72" s="12" t="s">
        <v>87</v>
      </c>
      <c r="AE72" s="12" t="s">
        <v>88</v>
      </c>
      <c r="AF72" s="12"/>
      <c r="AG72" s="12"/>
      <c r="AH72" s="12"/>
      <c r="AI72" s="12"/>
      <c r="AJ72" s="12"/>
      <c r="AK72" s="12"/>
      <c r="AL72" s="12" t="s">
        <v>88</v>
      </c>
      <c r="AM72" s="12"/>
      <c r="AN72" s="12"/>
      <c r="AO72" s="12"/>
      <c r="AP72" s="12"/>
    </row>
    <row r="73" customFormat="false" ht="30" hidden="false" customHeight="true" outlineLevel="0" collapsed="false">
      <c r="A73" s="12" t="s">
        <v>197</v>
      </c>
      <c r="B73" s="12" t="s">
        <v>164</v>
      </c>
      <c r="C73" s="12"/>
      <c r="D73" s="12" t="s">
        <v>165</v>
      </c>
      <c r="E73" s="12" t="s">
        <v>79</v>
      </c>
      <c r="F73" s="12" t="s">
        <v>152</v>
      </c>
      <c r="G73" s="12" t="n">
        <v>3</v>
      </c>
      <c r="H73" s="12" t="s">
        <v>81</v>
      </c>
      <c r="I73" s="12" t="s">
        <v>82</v>
      </c>
      <c r="J73" s="12"/>
      <c r="K73" s="12"/>
      <c r="L73" s="13" t="s">
        <v>83</v>
      </c>
      <c r="M73" s="13" t="s">
        <v>84</v>
      </c>
      <c r="N73" s="13" t="s">
        <v>85</v>
      </c>
      <c r="O73" s="12"/>
      <c r="P73" s="13"/>
      <c r="Q73" s="12"/>
      <c r="R73" s="12"/>
      <c r="S73" s="12"/>
      <c r="T73" s="12"/>
      <c r="U73" s="12" t="s">
        <v>86</v>
      </c>
      <c r="V73" s="13"/>
      <c r="W73" s="14" t="n">
        <v>19000</v>
      </c>
      <c r="X73" s="14"/>
      <c r="Y73" s="14"/>
      <c r="Z73" s="14"/>
      <c r="AA73" s="15" t="str">
        <f aca="false">IF(COUNT(X73,Y73,Z73)=0,"",SUM(X73,Y73,Z73))</f>
        <v/>
      </c>
      <c r="AB73" s="16" t="str">
        <f aca="false">IFERROR(IF(OR(W73="",AA73=""),"",(W73-AA73)/W73),"")</f>
        <v/>
      </c>
      <c r="AC73" s="17" t="str">
        <f aca="false">IFERROR(IF(OR(AA73="",AA73=0),"",W73/AA73),"")</f>
        <v/>
      </c>
      <c r="AD73" s="12" t="s">
        <v>87</v>
      </c>
      <c r="AE73" s="12" t="s">
        <v>88</v>
      </c>
      <c r="AF73" s="12"/>
      <c r="AG73" s="12"/>
      <c r="AH73" s="12"/>
      <c r="AI73" s="12"/>
      <c r="AJ73" s="12"/>
      <c r="AK73" s="12"/>
      <c r="AL73" s="12" t="s">
        <v>88</v>
      </c>
      <c r="AM73" s="12"/>
      <c r="AN73" s="12"/>
      <c r="AO73" s="12"/>
      <c r="AP73" s="12"/>
    </row>
    <row r="74" customFormat="false" ht="30" hidden="false" customHeight="true" outlineLevel="0" collapsed="false">
      <c r="A74" s="12" t="s">
        <v>198</v>
      </c>
      <c r="B74" s="12" t="s">
        <v>164</v>
      </c>
      <c r="C74" s="12"/>
      <c r="D74" s="12" t="s">
        <v>165</v>
      </c>
      <c r="E74" s="12" t="s">
        <v>79</v>
      </c>
      <c r="F74" s="12" t="s">
        <v>154</v>
      </c>
      <c r="G74" s="12" t="n">
        <v>3</v>
      </c>
      <c r="H74" s="12" t="s">
        <v>81</v>
      </c>
      <c r="I74" s="12" t="s">
        <v>82</v>
      </c>
      <c r="J74" s="12"/>
      <c r="K74" s="12"/>
      <c r="L74" s="13" t="s">
        <v>83</v>
      </c>
      <c r="M74" s="13" t="s">
        <v>84</v>
      </c>
      <c r="N74" s="13" t="s">
        <v>85</v>
      </c>
      <c r="O74" s="12"/>
      <c r="P74" s="13"/>
      <c r="Q74" s="12"/>
      <c r="R74" s="12"/>
      <c r="S74" s="12"/>
      <c r="T74" s="12"/>
      <c r="U74" s="12" t="s">
        <v>86</v>
      </c>
      <c r="V74" s="13"/>
      <c r="W74" s="14" t="n">
        <v>19000</v>
      </c>
      <c r="X74" s="14"/>
      <c r="Y74" s="14"/>
      <c r="Z74" s="14"/>
      <c r="AA74" s="15" t="str">
        <f aca="false">IF(COUNT(X74,Y74,Z74)=0,"",SUM(X74,Y74,Z74))</f>
        <v/>
      </c>
      <c r="AB74" s="16" t="str">
        <f aca="false">IFERROR(IF(OR(W74="",AA74=""),"",(W74-AA74)/W74),"")</f>
        <v/>
      </c>
      <c r="AC74" s="17" t="str">
        <f aca="false">IFERROR(IF(OR(AA74="",AA74=0),"",W74/AA74),"")</f>
        <v/>
      </c>
      <c r="AD74" s="12" t="s">
        <v>87</v>
      </c>
      <c r="AE74" s="12" t="s">
        <v>88</v>
      </c>
      <c r="AF74" s="12"/>
      <c r="AG74" s="12"/>
      <c r="AH74" s="12"/>
      <c r="AI74" s="12"/>
      <c r="AJ74" s="12"/>
      <c r="AK74" s="12"/>
      <c r="AL74" s="12" t="s">
        <v>88</v>
      </c>
      <c r="AM74" s="12"/>
      <c r="AN74" s="12"/>
      <c r="AO74" s="12"/>
      <c r="AP74" s="12"/>
    </row>
    <row r="75" customFormat="false" ht="30" hidden="false" customHeight="true" outlineLevel="0" collapsed="false">
      <c r="A75" s="12" t="s">
        <v>199</v>
      </c>
      <c r="B75" s="12" t="s">
        <v>164</v>
      </c>
      <c r="C75" s="12"/>
      <c r="D75" s="12" t="s">
        <v>165</v>
      </c>
      <c r="E75" s="12" t="s">
        <v>79</v>
      </c>
      <c r="F75" s="12" t="s">
        <v>156</v>
      </c>
      <c r="G75" s="12" t="n">
        <v>3</v>
      </c>
      <c r="H75" s="12" t="s">
        <v>81</v>
      </c>
      <c r="I75" s="12" t="s">
        <v>82</v>
      </c>
      <c r="J75" s="12"/>
      <c r="K75" s="12"/>
      <c r="L75" s="13" t="s">
        <v>83</v>
      </c>
      <c r="M75" s="13" t="s">
        <v>84</v>
      </c>
      <c r="N75" s="13" t="s">
        <v>85</v>
      </c>
      <c r="O75" s="12"/>
      <c r="P75" s="13"/>
      <c r="Q75" s="12"/>
      <c r="R75" s="12"/>
      <c r="S75" s="12"/>
      <c r="T75" s="12"/>
      <c r="U75" s="12" t="s">
        <v>86</v>
      </c>
      <c r="V75" s="13"/>
      <c r="W75" s="14" t="n">
        <v>19000</v>
      </c>
      <c r="X75" s="14"/>
      <c r="Y75" s="14"/>
      <c r="Z75" s="14"/>
      <c r="AA75" s="15" t="str">
        <f aca="false">IF(COUNT(X75,Y75,Z75)=0,"",SUM(X75,Y75,Z75))</f>
        <v/>
      </c>
      <c r="AB75" s="16" t="str">
        <f aca="false">IFERROR(IF(OR(W75="",AA75=""),"",(W75-AA75)/W75),"")</f>
        <v/>
      </c>
      <c r="AC75" s="17" t="str">
        <f aca="false">IFERROR(IF(OR(AA75="",AA75=0),"",W75/AA75),"")</f>
        <v/>
      </c>
      <c r="AD75" s="12" t="s">
        <v>87</v>
      </c>
      <c r="AE75" s="12" t="s">
        <v>88</v>
      </c>
      <c r="AF75" s="12"/>
      <c r="AG75" s="12"/>
      <c r="AH75" s="12"/>
      <c r="AI75" s="12"/>
      <c r="AJ75" s="12"/>
      <c r="AK75" s="12"/>
      <c r="AL75" s="12" t="s">
        <v>88</v>
      </c>
      <c r="AM75" s="12"/>
      <c r="AN75" s="12"/>
      <c r="AO75" s="12"/>
      <c r="AP75" s="12"/>
    </row>
    <row r="76" customFormat="false" ht="30" hidden="false" customHeight="true" outlineLevel="0" collapsed="false">
      <c r="A76" s="12" t="s">
        <v>200</v>
      </c>
      <c r="B76" s="12" t="s">
        <v>164</v>
      </c>
      <c r="C76" s="12"/>
      <c r="D76" s="12" t="s">
        <v>165</v>
      </c>
      <c r="E76" s="12" t="s">
        <v>79</v>
      </c>
      <c r="F76" s="12" t="s">
        <v>158</v>
      </c>
      <c r="G76" s="12" t="n">
        <v>3</v>
      </c>
      <c r="H76" s="12" t="s">
        <v>81</v>
      </c>
      <c r="I76" s="12" t="s">
        <v>82</v>
      </c>
      <c r="J76" s="12"/>
      <c r="K76" s="12"/>
      <c r="L76" s="13" t="s">
        <v>83</v>
      </c>
      <c r="M76" s="13" t="s">
        <v>84</v>
      </c>
      <c r="N76" s="13" t="s">
        <v>85</v>
      </c>
      <c r="O76" s="12"/>
      <c r="P76" s="13"/>
      <c r="Q76" s="12"/>
      <c r="R76" s="12"/>
      <c r="S76" s="12"/>
      <c r="T76" s="12"/>
      <c r="U76" s="12" t="s">
        <v>86</v>
      </c>
      <c r="V76" s="13"/>
      <c r="W76" s="14" t="n">
        <v>19000</v>
      </c>
      <c r="X76" s="14"/>
      <c r="Y76" s="14"/>
      <c r="Z76" s="14"/>
      <c r="AA76" s="15" t="str">
        <f aca="false">IF(COUNT(X76,Y76,Z76)=0,"",SUM(X76,Y76,Z76))</f>
        <v/>
      </c>
      <c r="AB76" s="16" t="str">
        <f aca="false">IFERROR(IF(OR(W76="",AA76=""),"",(W76-AA76)/W76),"")</f>
        <v/>
      </c>
      <c r="AC76" s="17" t="str">
        <f aca="false">IFERROR(IF(OR(AA76="",AA76=0),"",W76/AA76),"")</f>
        <v/>
      </c>
      <c r="AD76" s="12" t="s">
        <v>87</v>
      </c>
      <c r="AE76" s="12" t="s">
        <v>88</v>
      </c>
      <c r="AF76" s="12"/>
      <c r="AG76" s="12"/>
      <c r="AH76" s="12"/>
      <c r="AI76" s="12"/>
      <c r="AJ76" s="12"/>
      <c r="AK76" s="12"/>
      <c r="AL76" s="12" t="s">
        <v>88</v>
      </c>
      <c r="AM76" s="12"/>
      <c r="AN76" s="12"/>
      <c r="AO76" s="12"/>
      <c r="AP76" s="12"/>
    </row>
    <row r="77" customFormat="false" ht="30" hidden="false" customHeight="true" outlineLevel="0" collapsed="false">
      <c r="A77" s="12" t="s">
        <v>201</v>
      </c>
      <c r="B77" s="12" t="s">
        <v>164</v>
      </c>
      <c r="C77" s="12"/>
      <c r="D77" s="12" t="s">
        <v>165</v>
      </c>
      <c r="E77" s="12" t="s">
        <v>79</v>
      </c>
      <c r="F77" s="12" t="s">
        <v>160</v>
      </c>
      <c r="G77" s="12" t="n">
        <v>3</v>
      </c>
      <c r="H77" s="12" t="s">
        <v>81</v>
      </c>
      <c r="I77" s="12" t="s">
        <v>82</v>
      </c>
      <c r="J77" s="12"/>
      <c r="K77" s="12"/>
      <c r="L77" s="13" t="s">
        <v>83</v>
      </c>
      <c r="M77" s="13" t="s">
        <v>84</v>
      </c>
      <c r="N77" s="13" t="s">
        <v>85</v>
      </c>
      <c r="O77" s="12"/>
      <c r="P77" s="13"/>
      <c r="Q77" s="12"/>
      <c r="R77" s="12"/>
      <c r="S77" s="12"/>
      <c r="T77" s="12"/>
      <c r="U77" s="12" t="s">
        <v>86</v>
      </c>
      <c r="V77" s="13"/>
      <c r="W77" s="14" t="n">
        <v>19000</v>
      </c>
      <c r="X77" s="14"/>
      <c r="Y77" s="14"/>
      <c r="Z77" s="14"/>
      <c r="AA77" s="15" t="str">
        <f aca="false">IF(COUNT(X77,Y77,Z77)=0,"",SUM(X77,Y77,Z77))</f>
        <v/>
      </c>
      <c r="AB77" s="16" t="str">
        <f aca="false">IFERROR(IF(OR(W77="",AA77=""),"",(W77-AA77)/W77),"")</f>
        <v/>
      </c>
      <c r="AC77" s="17" t="str">
        <f aca="false">IFERROR(IF(OR(AA77="",AA77=0),"",W77/AA77),"")</f>
        <v/>
      </c>
      <c r="AD77" s="12" t="s">
        <v>87</v>
      </c>
      <c r="AE77" s="12" t="s">
        <v>88</v>
      </c>
      <c r="AF77" s="12"/>
      <c r="AG77" s="12"/>
      <c r="AH77" s="12"/>
      <c r="AI77" s="12"/>
      <c r="AJ77" s="12"/>
      <c r="AK77" s="12"/>
      <c r="AL77" s="12" t="s">
        <v>88</v>
      </c>
      <c r="AM77" s="12"/>
      <c r="AN77" s="12"/>
      <c r="AO77" s="12"/>
      <c r="AP77" s="12"/>
    </row>
    <row r="78" customFormat="false" ht="30" hidden="false" customHeight="true" outlineLevel="0" collapsed="false">
      <c r="A78" s="12" t="s">
        <v>202</v>
      </c>
      <c r="B78" s="12" t="s">
        <v>164</v>
      </c>
      <c r="C78" s="12"/>
      <c r="D78" s="12" t="s">
        <v>165</v>
      </c>
      <c r="E78" s="12" t="s">
        <v>79</v>
      </c>
      <c r="F78" s="12" t="s">
        <v>162</v>
      </c>
      <c r="G78" s="12" t="n">
        <v>3</v>
      </c>
      <c r="H78" s="12" t="s">
        <v>81</v>
      </c>
      <c r="I78" s="12" t="s">
        <v>82</v>
      </c>
      <c r="J78" s="12"/>
      <c r="K78" s="12"/>
      <c r="L78" s="13" t="s">
        <v>83</v>
      </c>
      <c r="M78" s="13" t="s">
        <v>84</v>
      </c>
      <c r="N78" s="13" t="s">
        <v>85</v>
      </c>
      <c r="O78" s="12"/>
      <c r="P78" s="13"/>
      <c r="Q78" s="12"/>
      <c r="R78" s="12"/>
      <c r="S78" s="12"/>
      <c r="T78" s="12"/>
      <c r="U78" s="12" t="s">
        <v>86</v>
      </c>
      <c r="V78" s="13"/>
      <c r="W78" s="14" t="n">
        <v>19000</v>
      </c>
      <c r="X78" s="14"/>
      <c r="Y78" s="14"/>
      <c r="Z78" s="14"/>
      <c r="AA78" s="15" t="str">
        <f aca="false">IF(COUNT(X78,Y78,Z78)=0,"",SUM(X78,Y78,Z78))</f>
        <v/>
      </c>
      <c r="AB78" s="16" t="str">
        <f aca="false">IFERROR(IF(OR(W78="",AA78=""),"",(W78-AA78)/W78),"")</f>
        <v/>
      </c>
      <c r="AC78" s="17" t="str">
        <f aca="false">IFERROR(IF(OR(AA78="",AA78=0),"",W78/AA78),"")</f>
        <v/>
      </c>
      <c r="AD78" s="12" t="s">
        <v>87</v>
      </c>
      <c r="AE78" s="12" t="s">
        <v>88</v>
      </c>
      <c r="AF78" s="12"/>
      <c r="AG78" s="12"/>
      <c r="AH78" s="12"/>
      <c r="AI78" s="12"/>
      <c r="AJ78" s="12"/>
      <c r="AK78" s="12"/>
      <c r="AL78" s="12" t="s">
        <v>88</v>
      </c>
      <c r="AM78" s="12"/>
      <c r="AN78" s="12"/>
      <c r="AO78" s="12"/>
      <c r="AP78" s="12"/>
    </row>
    <row r="79" customFormat="false" ht="30" hidden="false" customHeight="true" outlineLevel="0" collapsed="false">
      <c r="A79" s="12" t="s">
        <v>203</v>
      </c>
      <c r="B79" s="12" t="s">
        <v>204</v>
      </c>
      <c r="C79" s="12"/>
      <c r="D79" s="12" t="s">
        <v>205</v>
      </c>
      <c r="E79" s="12" t="s">
        <v>79</v>
      </c>
      <c r="F79" s="12" t="s">
        <v>80</v>
      </c>
      <c r="G79" s="12" t="n">
        <v>1</v>
      </c>
      <c r="H79" s="12" t="s">
        <v>81</v>
      </c>
      <c r="I79" s="12" t="s">
        <v>82</v>
      </c>
      <c r="J79" s="12"/>
      <c r="K79" s="12"/>
      <c r="L79" s="13" t="s">
        <v>83</v>
      </c>
      <c r="M79" s="13" t="s">
        <v>84</v>
      </c>
      <c r="N79" s="13" t="s">
        <v>85</v>
      </c>
      <c r="O79" s="12"/>
      <c r="P79" s="13"/>
      <c r="Q79" s="12"/>
      <c r="R79" s="12"/>
      <c r="S79" s="12"/>
      <c r="T79" s="12"/>
      <c r="U79" s="12" t="s">
        <v>86</v>
      </c>
      <c r="V79" s="13"/>
      <c r="W79" s="14" t="n">
        <v>25000</v>
      </c>
      <c r="X79" s="14"/>
      <c r="Y79" s="14"/>
      <c r="Z79" s="14"/>
      <c r="AA79" s="15" t="str">
        <f aca="false">IF(COUNT(X79,Y79,Z79)=0,"",SUM(X79,Y79,Z79))</f>
        <v/>
      </c>
      <c r="AB79" s="16" t="str">
        <f aca="false">IFERROR(IF(OR(W79="",AA79=""),"",(W79-AA79)/W79),"")</f>
        <v/>
      </c>
      <c r="AC79" s="17" t="str">
        <f aca="false">IFERROR(IF(OR(AA79="",AA79=0),"",W79/AA79),"")</f>
        <v/>
      </c>
      <c r="AD79" s="12" t="s">
        <v>87</v>
      </c>
      <c r="AE79" s="12" t="s">
        <v>88</v>
      </c>
      <c r="AF79" s="12"/>
      <c r="AG79" s="12"/>
      <c r="AH79" s="12"/>
      <c r="AI79" s="12"/>
      <c r="AJ79" s="12"/>
      <c r="AK79" s="12"/>
      <c r="AL79" s="12" t="s">
        <v>88</v>
      </c>
      <c r="AM79" s="12"/>
      <c r="AN79" s="12"/>
      <c r="AO79" s="12"/>
      <c r="AP79" s="12"/>
    </row>
    <row r="80" customFormat="false" ht="30" hidden="false" customHeight="true" outlineLevel="0" collapsed="false">
      <c r="A80" s="12" t="s">
        <v>206</v>
      </c>
      <c r="B80" s="12" t="s">
        <v>204</v>
      </c>
      <c r="C80" s="12"/>
      <c r="D80" s="12" t="s">
        <v>205</v>
      </c>
      <c r="E80" s="12" t="s">
        <v>79</v>
      </c>
      <c r="F80" s="12" t="s">
        <v>90</v>
      </c>
      <c r="G80" s="12" t="n">
        <v>1</v>
      </c>
      <c r="H80" s="12" t="s">
        <v>81</v>
      </c>
      <c r="I80" s="12" t="s">
        <v>82</v>
      </c>
      <c r="J80" s="12"/>
      <c r="K80" s="12"/>
      <c r="L80" s="13" t="s">
        <v>83</v>
      </c>
      <c r="M80" s="13" t="s">
        <v>84</v>
      </c>
      <c r="N80" s="13" t="s">
        <v>85</v>
      </c>
      <c r="O80" s="12"/>
      <c r="P80" s="13"/>
      <c r="Q80" s="12"/>
      <c r="R80" s="12"/>
      <c r="S80" s="12"/>
      <c r="T80" s="12"/>
      <c r="U80" s="12" t="s">
        <v>86</v>
      </c>
      <c r="V80" s="13"/>
      <c r="W80" s="14" t="n">
        <v>25000</v>
      </c>
      <c r="X80" s="14"/>
      <c r="Y80" s="14"/>
      <c r="Z80" s="14"/>
      <c r="AA80" s="15" t="str">
        <f aca="false">IF(COUNT(X80,Y80,Z80)=0,"",SUM(X80,Y80,Z80))</f>
        <v/>
      </c>
      <c r="AB80" s="16" t="str">
        <f aca="false">IFERROR(IF(OR(W80="",AA80=""),"",(W80-AA80)/W80),"")</f>
        <v/>
      </c>
      <c r="AC80" s="17" t="str">
        <f aca="false">IFERROR(IF(OR(AA80="",AA80=0),"",W80/AA80),"")</f>
        <v/>
      </c>
      <c r="AD80" s="12" t="s">
        <v>87</v>
      </c>
      <c r="AE80" s="12" t="s">
        <v>88</v>
      </c>
      <c r="AF80" s="12"/>
      <c r="AG80" s="12"/>
      <c r="AH80" s="12"/>
      <c r="AI80" s="12"/>
      <c r="AJ80" s="12"/>
      <c r="AK80" s="12"/>
      <c r="AL80" s="12" t="s">
        <v>88</v>
      </c>
      <c r="AM80" s="12"/>
      <c r="AN80" s="12"/>
      <c r="AO80" s="12"/>
      <c r="AP80" s="12"/>
    </row>
    <row r="81" customFormat="false" ht="30" hidden="false" customHeight="true" outlineLevel="0" collapsed="false">
      <c r="A81" s="12" t="s">
        <v>207</v>
      </c>
      <c r="B81" s="12" t="s">
        <v>204</v>
      </c>
      <c r="C81" s="12"/>
      <c r="D81" s="12" t="s">
        <v>205</v>
      </c>
      <c r="E81" s="12" t="s">
        <v>79</v>
      </c>
      <c r="F81" s="12" t="s">
        <v>92</v>
      </c>
      <c r="G81" s="12" t="n">
        <v>1</v>
      </c>
      <c r="H81" s="12" t="s">
        <v>81</v>
      </c>
      <c r="I81" s="12" t="s">
        <v>82</v>
      </c>
      <c r="J81" s="12"/>
      <c r="K81" s="12"/>
      <c r="L81" s="13" t="s">
        <v>83</v>
      </c>
      <c r="M81" s="13" t="s">
        <v>84</v>
      </c>
      <c r="N81" s="13" t="s">
        <v>85</v>
      </c>
      <c r="O81" s="12"/>
      <c r="P81" s="13"/>
      <c r="Q81" s="12"/>
      <c r="R81" s="12"/>
      <c r="S81" s="12"/>
      <c r="T81" s="12"/>
      <c r="U81" s="12" t="s">
        <v>86</v>
      </c>
      <c r="V81" s="13"/>
      <c r="W81" s="14" t="n">
        <v>25000</v>
      </c>
      <c r="X81" s="14"/>
      <c r="Y81" s="14"/>
      <c r="Z81" s="14"/>
      <c r="AA81" s="15" t="str">
        <f aca="false">IF(COUNT(X81,Y81,Z81)=0,"",SUM(X81,Y81,Z81))</f>
        <v/>
      </c>
      <c r="AB81" s="16" t="str">
        <f aca="false">IFERROR(IF(OR(W81="",AA81=""),"",(W81-AA81)/W81),"")</f>
        <v/>
      </c>
      <c r="AC81" s="17" t="str">
        <f aca="false">IFERROR(IF(OR(AA81="",AA81=0),"",W81/AA81),"")</f>
        <v/>
      </c>
      <c r="AD81" s="12" t="s">
        <v>87</v>
      </c>
      <c r="AE81" s="12" t="s">
        <v>88</v>
      </c>
      <c r="AF81" s="12"/>
      <c r="AG81" s="12"/>
      <c r="AH81" s="12"/>
      <c r="AI81" s="12"/>
      <c r="AJ81" s="12"/>
      <c r="AK81" s="12"/>
      <c r="AL81" s="12" t="s">
        <v>88</v>
      </c>
      <c r="AM81" s="12"/>
      <c r="AN81" s="12"/>
      <c r="AO81" s="12"/>
      <c r="AP81" s="12"/>
    </row>
    <row r="82" customFormat="false" ht="30" hidden="false" customHeight="true" outlineLevel="0" collapsed="false">
      <c r="A82" s="12" t="s">
        <v>208</v>
      </c>
      <c r="B82" s="12" t="s">
        <v>204</v>
      </c>
      <c r="C82" s="12"/>
      <c r="D82" s="12" t="s">
        <v>205</v>
      </c>
      <c r="E82" s="12" t="s">
        <v>79</v>
      </c>
      <c r="F82" s="12" t="s">
        <v>94</v>
      </c>
      <c r="G82" s="12" t="n">
        <v>1</v>
      </c>
      <c r="H82" s="12" t="s">
        <v>81</v>
      </c>
      <c r="I82" s="12" t="s">
        <v>82</v>
      </c>
      <c r="J82" s="12"/>
      <c r="K82" s="12"/>
      <c r="L82" s="13" t="s">
        <v>83</v>
      </c>
      <c r="M82" s="13" t="s">
        <v>84</v>
      </c>
      <c r="N82" s="13" t="s">
        <v>85</v>
      </c>
      <c r="O82" s="12"/>
      <c r="P82" s="13"/>
      <c r="Q82" s="12"/>
      <c r="R82" s="12"/>
      <c r="S82" s="12"/>
      <c r="T82" s="12"/>
      <c r="U82" s="12" t="s">
        <v>86</v>
      </c>
      <c r="V82" s="13"/>
      <c r="W82" s="14" t="n">
        <v>25000</v>
      </c>
      <c r="X82" s="14"/>
      <c r="Y82" s="14"/>
      <c r="Z82" s="14"/>
      <c r="AA82" s="15" t="str">
        <f aca="false">IF(COUNT(X82,Y82,Z82)=0,"",SUM(X82,Y82,Z82))</f>
        <v/>
      </c>
      <c r="AB82" s="16" t="str">
        <f aca="false">IFERROR(IF(OR(W82="",AA82=""),"",(W82-AA82)/W82),"")</f>
        <v/>
      </c>
      <c r="AC82" s="17" t="str">
        <f aca="false">IFERROR(IF(OR(AA82="",AA82=0),"",W82/AA82),"")</f>
        <v/>
      </c>
      <c r="AD82" s="12" t="s">
        <v>87</v>
      </c>
      <c r="AE82" s="12" t="s">
        <v>88</v>
      </c>
      <c r="AF82" s="12"/>
      <c r="AG82" s="12"/>
      <c r="AH82" s="12"/>
      <c r="AI82" s="12"/>
      <c r="AJ82" s="12"/>
      <c r="AK82" s="12"/>
      <c r="AL82" s="12" t="s">
        <v>88</v>
      </c>
      <c r="AM82" s="12"/>
      <c r="AN82" s="12"/>
      <c r="AO82" s="12"/>
      <c r="AP82" s="12"/>
    </row>
    <row r="83" customFormat="false" ht="30" hidden="false" customHeight="true" outlineLevel="0" collapsed="false">
      <c r="A83" s="12" t="s">
        <v>209</v>
      </c>
      <c r="B83" s="12" t="s">
        <v>204</v>
      </c>
      <c r="C83" s="12"/>
      <c r="D83" s="12" t="s">
        <v>205</v>
      </c>
      <c r="E83" s="12" t="s">
        <v>79</v>
      </c>
      <c r="F83" s="12" t="s">
        <v>96</v>
      </c>
      <c r="G83" s="12" t="n">
        <v>1</v>
      </c>
      <c r="H83" s="12" t="s">
        <v>81</v>
      </c>
      <c r="I83" s="12" t="s">
        <v>82</v>
      </c>
      <c r="J83" s="12"/>
      <c r="K83" s="12"/>
      <c r="L83" s="13" t="s">
        <v>83</v>
      </c>
      <c r="M83" s="13" t="s">
        <v>84</v>
      </c>
      <c r="N83" s="13" t="s">
        <v>85</v>
      </c>
      <c r="O83" s="12"/>
      <c r="P83" s="13"/>
      <c r="Q83" s="12"/>
      <c r="R83" s="12"/>
      <c r="S83" s="12"/>
      <c r="T83" s="12"/>
      <c r="U83" s="12" t="s">
        <v>86</v>
      </c>
      <c r="V83" s="13"/>
      <c r="W83" s="14" t="n">
        <v>25000</v>
      </c>
      <c r="X83" s="14"/>
      <c r="Y83" s="14"/>
      <c r="Z83" s="14"/>
      <c r="AA83" s="15" t="str">
        <f aca="false">IF(COUNT(X83,Y83,Z83)=0,"",SUM(X83,Y83,Z83))</f>
        <v/>
      </c>
      <c r="AB83" s="16" t="str">
        <f aca="false">IFERROR(IF(OR(W83="",AA83=""),"",(W83-AA83)/W83),"")</f>
        <v/>
      </c>
      <c r="AC83" s="17" t="str">
        <f aca="false">IFERROR(IF(OR(AA83="",AA83=0),"",W83/AA83),"")</f>
        <v/>
      </c>
      <c r="AD83" s="12" t="s">
        <v>87</v>
      </c>
      <c r="AE83" s="12" t="s">
        <v>88</v>
      </c>
      <c r="AF83" s="12"/>
      <c r="AG83" s="12"/>
      <c r="AH83" s="12"/>
      <c r="AI83" s="12"/>
      <c r="AJ83" s="12"/>
      <c r="AK83" s="12"/>
      <c r="AL83" s="12" t="s">
        <v>88</v>
      </c>
      <c r="AM83" s="12"/>
      <c r="AN83" s="12"/>
      <c r="AO83" s="12"/>
      <c r="AP83" s="12"/>
    </row>
    <row r="84" customFormat="false" ht="30" hidden="false" customHeight="true" outlineLevel="0" collapsed="false">
      <c r="A84" s="12" t="s">
        <v>210</v>
      </c>
      <c r="B84" s="12" t="s">
        <v>204</v>
      </c>
      <c r="C84" s="12"/>
      <c r="D84" s="12" t="s">
        <v>205</v>
      </c>
      <c r="E84" s="12" t="s">
        <v>79</v>
      </c>
      <c r="F84" s="12" t="s">
        <v>98</v>
      </c>
      <c r="G84" s="12" t="n">
        <v>1</v>
      </c>
      <c r="H84" s="12" t="s">
        <v>81</v>
      </c>
      <c r="I84" s="12" t="s">
        <v>82</v>
      </c>
      <c r="J84" s="12"/>
      <c r="K84" s="12"/>
      <c r="L84" s="13" t="s">
        <v>83</v>
      </c>
      <c r="M84" s="13" t="s">
        <v>84</v>
      </c>
      <c r="N84" s="13" t="s">
        <v>85</v>
      </c>
      <c r="O84" s="12"/>
      <c r="P84" s="13"/>
      <c r="Q84" s="12"/>
      <c r="R84" s="12"/>
      <c r="S84" s="12"/>
      <c r="T84" s="12"/>
      <c r="U84" s="12" t="s">
        <v>86</v>
      </c>
      <c r="V84" s="13"/>
      <c r="W84" s="14" t="n">
        <v>25000</v>
      </c>
      <c r="X84" s="14"/>
      <c r="Y84" s="14"/>
      <c r="Z84" s="14"/>
      <c r="AA84" s="15" t="str">
        <f aca="false">IF(COUNT(X84,Y84,Z84)=0,"",SUM(X84,Y84,Z84))</f>
        <v/>
      </c>
      <c r="AB84" s="16" t="str">
        <f aca="false">IFERROR(IF(OR(W84="",AA84=""),"",(W84-AA84)/W84),"")</f>
        <v/>
      </c>
      <c r="AC84" s="17" t="str">
        <f aca="false">IFERROR(IF(OR(AA84="",AA84=0),"",W84/AA84),"")</f>
        <v/>
      </c>
      <c r="AD84" s="12" t="s">
        <v>87</v>
      </c>
      <c r="AE84" s="12" t="s">
        <v>88</v>
      </c>
      <c r="AF84" s="12"/>
      <c r="AG84" s="12"/>
      <c r="AH84" s="12"/>
      <c r="AI84" s="12"/>
      <c r="AJ84" s="12"/>
      <c r="AK84" s="12"/>
      <c r="AL84" s="12" t="s">
        <v>88</v>
      </c>
      <c r="AM84" s="12"/>
      <c r="AN84" s="12"/>
      <c r="AO84" s="12"/>
      <c r="AP84" s="12"/>
    </row>
    <row r="85" customFormat="false" ht="30" hidden="false" customHeight="true" outlineLevel="0" collapsed="false">
      <c r="A85" s="12" t="s">
        <v>211</v>
      </c>
      <c r="B85" s="12" t="s">
        <v>204</v>
      </c>
      <c r="C85" s="12"/>
      <c r="D85" s="12" t="s">
        <v>205</v>
      </c>
      <c r="E85" s="12" t="s">
        <v>79</v>
      </c>
      <c r="F85" s="12" t="s">
        <v>100</v>
      </c>
      <c r="G85" s="12" t="n">
        <v>1</v>
      </c>
      <c r="H85" s="12" t="s">
        <v>81</v>
      </c>
      <c r="I85" s="12" t="s">
        <v>82</v>
      </c>
      <c r="J85" s="12"/>
      <c r="K85" s="12"/>
      <c r="L85" s="13" t="s">
        <v>83</v>
      </c>
      <c r="M85" s="13" t="s">
        <v>84</v>
      </c>
      <c r="N85" s="13" t="s">
        <v>85</v>
      </c>
      <c r="O85" s="12"/>
      <c r="P85" s="13"/>
      <c r="Q85" s="12"/>
      <c r="R85" s="12"/>
      <c r="S85" s="12"/>
      <c r="T85" s="12"/>
      <c r="U85" s="12" t="s">
        <v>86</v>
      </c>
      <c r="V85" s="13"/>
      <c r="W85" s="14" t="n">
        <v>25000</v>
      </c>
      <c r="X85" s="14"/>
      <c r="Y85" s="14"/>
      <c r="Z85" s="14"/>
      <c r="AA85" s="15" t="str">
        <f aca="false">IF(COUNT(X85,Y85,Z85)=0,"",SUM(X85,Y85,Z85))</f>
        <v/>
      </c>
      <c r="AB85" s="16" t="str">
        <f aca="false">IFERROR(IF(OR(W85="",AA85=""),"",(W85-AA85)/W85),"")</f>
        <v/>
      </c>
      <c r="AC85" s="17" t="str">
        <f aca="false">IFERROR(IF(OR(AA85="",AA85=0),"",W85/AA85),"")</f>
        <v/>
      </c>
      <c r="AD85" s="12" t="s">
        <v>87</v>
      </c>
      <c r="AE85" s="12" t="s">
        <v>88</v>
      </c>
      <c r="AF85" s="12"/>
      <c r="AG85" s="12"/>
      <c r="AH85" s="12"/>
      <c r="AI85" s="12"/>
      <c r="AJ85" s="12"/>
      <c r="AK85" s="12"/>
      <c r="AL85" s="12" t="s">
        <v>88</v>
      </c>
      <c r="AM85" s="12"/>
      <c r="AN85" s="12"/>
      <c r="AO85" s="12"/>
      <c r="AP85" s="12"/>
    </row>
    <row r="86" customFormat="false" ht="30" hidden="false" customHeight="true" outlineLevel="0" collapsed="false">
      <c r="A86" s="12" t="s">
        <v>212</v>
      </c>
      <c r="B86" s="12" t="s">
        <v>204</v>
      </c>
      <c r="C86" s="12"/>
      <c r="D86" s="12" t="s">
        <v>205</v>
      </c>
      <c r="E86" s="12" t="s">
        <v>79</v>
      </c>
      <c r="F86" s="12" t="s">
        <v>102</v>
      </c>
      <c r="G86" s="12" t="n">
        <v>1</v>
      </c>
      <c r="H86" s="12" t="s">
        <v>81</v>
      </c>
      <c r="I86" s="12" t="s">
        <v>82</v>
      </c>
      <c r="J86" s="12"/>
      <c r="K86" s="12"/>
      <c r="L86" s="13" t="s">
        <v>83</v>
      </c>
      <c r="M86" s="13" t="s">
        <v>84</v>
      </c>
      <c r="N86" s="13" t="s">
        <v>85</v>
      </c>
      <c r="O86" s="12"/>
      <c r="P86" s="13"/>
      <c r="Q86" s="12"/>
      <c r="R86" s="12"/>
      <c r="S86" s="12"/>
      <c r="T86" s="12"/>
      <c r="U86" s="12" t="s">
        <v>86</v>
      </c>
      <c r="V86" s="13"/>
      <c r="W86" s="14" t="n">
        <v>25000</v>
      </c>
      <c r="X86" s="14"/>
      <c r="Y86" s="14"/>
      <c r="Z86" s="14"/>
      <c r="AA86" s="15" t="str">
        <f aca="false">IF(COUNT(X86,Y86,Z86)=0,"",SUM(X86,Y86,Z86))</f>
        <v/>
      </c>
      <c r="AB86" s="16" t="str">
        <f aca="false">IFERROR(IF(OR(W86="",AA86=""),"",(W86-AA86)/W86),"")</f>
        <v/>
      </c>
      <c r="AC86" s="17" t="str">
        <f aca="false">IFERROR(IF(OR(AA86="",AA86=0),"",W86/AA86),"")</f>
        <v/>
      </c>
      <c r="AD86" s="12" t="s">
        <v>87</v>
      </c>
      <c r="AE86" s="12" t="s">
        <v>88</v>
      </c>
      <c r="AF86" s="12"/>
      <c r="AG86" s="12"/>
      <c r="AH86" s="12"/>
      <c r="AI86" s="12"/>
      <c r="AJ86" s="12"/>
      <c r="AK86" s="12"/>
      <c r="AL86" s="12" t="s">
        <v>88</v>
      </c>
      <c r="AM86" s="12"/>
      <c r="AN86" s="12"/>
      <c r="AO86" s="12"/>
      <c r="AP86" s="12"/>
    </row>
    <row r="87" customFormat="false" ht="30" hidden="false" customHeight="true" outlineLevel="0" collapsed="false">
      <c r="A87" s="12" t="s">
        <v>213</v>
      </c>
      <c r="B87" s="12" t="s">
        <v>204</v>
      </c>
      <c r="C87" s="12"/>
      <c r="D87" s="12" t="s">
        <v>205</v>
      </c>
      <c r="E87" s="12" t="s">
        <v>79</v>
      </c>
      <c r="F87" s="12" t="s">
        <v>104</v>
      </c>
      <c r="G87" s="12" t="n">
        <v>1</v>
      </c>
      <c r="H87" s="12" t="s">
        <v>81</v>
      </c>
      <c r="I87" s="12" t="s">
        <v>82</v>
      </c>
      <c r="J87" s="12"/>
      <c r="K87" s="12"/>
      <c r="L87" s="13" t="s">
        <v>83</v>
      </c>
      <c r="M87" s="13" t="s">
        <v>84</v>
      </c>
      <c r="N87" s="13" t="s">
        <v>85</v>
      </c>
      <c r="O87" s="12"/>
      <c r="P87" s="13"/>
      <c r="Q87" s="12"/>
      <c r="R87" s="12"/>
      <c r="S87" s="12"/>
      <c r="T87" s="12"/>
      <c r="U87" s="12" t="s">
        <v>86</v>
      </c>
      <c r="V87" s="13"/>
      <c r="W87" s="14" t="n">
        <v>25000</v>
      </c>
      <c r="X87" s="14"/>
      <c r="Y87" s="14"/>
      <c r="Z87" s="14"/>
      <c r="AA87" s="15" t="str">
        <f aca="false">IF(COUNT(X87,Y87,Z87)=0,"",SUM(X87,Y87,Z87))</f>
        <v/>
      </c>
      <c r="AB87" s="16" t="str">
        <f aca="false">IFERROR(IF(OR(W87="",AA87=""),"",(W87-AA87)/W87),"")</f>
        <v/>
      </c>
      <c r="AC87" s="17" t="str">
        <f aca="false">IFERROR(IF(OR(AA87="",AA87=0),"",W87/AA87),"")</f>
        <v/>
      </c>
      <c r="AD87" s="12" t="s">
        <v>87</v>
      </c>
      <c r="AE87" s="12" t="s">
        <v>88</v>
      </c>
      <c r="AF87" s="12"/>
      <c r="AG87" s="12"/>
      <c r="AH87" s="12"/>
      <c r="AI87" s="12"/>
      <c r="AJ87" s="12"/>
      <c r="AK87" s="12"/>
      <c r="AL87" s="12" t="s">
        <v>88</v>
      </c>
      <c r="AM87" s="12"/>
      <c r="AN87" s="12"/>
      <c r="AO87" s="12"/>
      <c r="AP87" s="12"/>
    </row>
    <row r="88" customFormat="false" ht="30" hidden="false" customHeight="true" outlineLevel="0" collapsed="false">
      <c r="A88" s="12" t="s">
        <v>214</v>
      </c>
      <c r="B88" s="12" t="s">
        <v>204</v>
      </c>
      <c r="C88" s="12"/>
      <c r="D88" s="12" t="s">
        <v>205</v>
      </c>
      <c r="E88" s="12" t="s">
        <v>79</v>
      </c>
      <c r="F88" s="12" t="s">
        <v>106</v>
      </c>
      <c r="G88" s="12" t="n">
        <v>1</v>
      </c>
      <c r="H88" s="12" t="s">
        <v>81</v>
      </c>
      <c r="I88" s="12" t="s">
        <v>82</v>
      </c>
      <c r="J88" s="12"/>
      <c r="K88" s="12"/>
      <c r="L88" s="13" t="s">
        <v>83</v>
      </c>
      <c r="M88" s="13" t="s">
        <v>84</v>
      </c>
      <c r="N88" s="13" t="s">
        <v>85</v>
      </c>
      <c r="O88" s="12"/>
      <c r="P88" s="13"/>
      <c r="Q88" s="12"/>
      <c r="R88" s="12"/>
      <c r="S88" s="12"/>
      <c r="T88" s="12"/>
      <c r="U88" s="12" t="s">
        <v>86</v>
      </c>
      <c r="V88" s="13"/>
      <c r="W88" s="14" t="n">
        <v>25000</v>
      </c>
      <c r="X88" s="14"/>
      <c r="Y88" s="14"/>
      <c r="Z88" s="14"/>
      <c r="AA88" s="15" t="str">
        <f aca="false">IF(COUNT(X88,Y88,Z88)=0,"",SUM(X88,Y88,Z88))</f>
        <v/>
      </c>
      <c r="AB88" s="16" t="str">
        <f aca="false">IFERROR(IF(OR(W88="",AA88=""),"",(W88-AA88)/W88),"")</f>
        <v/>
      </c>
      <c r="AC88" s="17" t="str">
        <f aca="false">IFERROR(IF(OR(AA88="",AA88=0),"",W88/AA88),"")</f>
        <v/>
      </c>
      <c r="AD88" s="12" t="s">
        <v>87</v>
      </c>
      <c r="AE88" s="12" t="s">
        <v>88</v>
      </c>
      <c r="AF88" s="12"/>
      <c r="AG88" s="12"/>
      <c r="AH88" s="12"/>
      <c r="AI88" s="12"/>
      <c r="AJ88" s="12"/>
      <c r="AK88" s="12"/>
      <c r="AL88" s="12" t="s">
        <v>88</v>
      </c>
      <c r="AM88" s="12"/>
      <c r="AN88" s="12"/>
      <c r="AO88" s="12"/>
      <c r="AP88" s="12"/>
    </row>
    <row r="89" customFormat="false" ht="30" hidden="false" customHeight="true" outlineLevel="0" collapsed="false">
      <c r="A89" s="12" t="s">
        <v>215</v>
      </c>
      <c r="B89" s="12" t="s">
        <v>204</v>
      </c>
      <c r="C89" s="12"/>
      <c r="D89" s="12" t="s">
        <v>205</v>
      </c>
      <c r="E89" s="12" t="s">
        <v>79</v>
      </c>
      <c r="F89" s="12" t="s">
        <v>108</v>
      </c>
      <c r="G89" s="12" t="n">
        <v>1</v>
      </c>
      <c r="H89" s="12" t="s">
        <v>81</v>
      </c>
      <c r="I89" s="12" t="s">
        <v>82</v>
      </c>
      <c r="J89" s="12"/>
      <c r="K89" s="12"/>
      <c r="L89" s="13" t="s">
        <v>83</v>
      </c>
      <c r="M89" s="13" t="s">
        <v>84</v>
      </c>
      <c r="N89" s="13" t="s">
        <v>85</v>
      </c>
      <c r="O89" s="12"/>
      <c r="P89" s="13"/>
      <c r="Q89" s="12"/>
      <c r="R89" s="12"/>
      <c r="S89" s="12"/>
      <c r="T89" s="12"/>
      <c r="U89" s="12" t="s">
        <v>86</v>
      </c>
      <c r="V89" s="13"/>
      <c r="W89" s="14" t="n">
        <v>25000</v>
      </c>
      <c r="X89" s="14"/>
      <c r="Y89" s="14"/>
      <c r="Z89" s="14"/>
      <c r="AA89" s="15" t="str">
        <f aca="false">IF(COUNT(X89,Y89,Z89)=0,"",SUM(X89,Y89,Z89))</f>
        <v/>
      </c>
      <c r="AB89" s="16" t="str">
        <f aca="false">IFERROR(IF(OR(W89="",AA89=""),"",(W89-AA89)/W89),"")</f>
        <v/>
      </c>
      <c r="AC89" s="17" t="str">
        <f aca="false">IFERROR(IF(OR(AA89="",AA89=0),"",W89/AA89),"")</f>
        <v/>
      </c>
      <c r="AD89" s="12" t="s">
        <v>87</v>
      </c>
      <c r="AE89" s="12" t="s">
        <v>88</v>
      </c>
      <c r="AF89" s="12"/>
      <c r="AG89" s="12"/>
      <c r="AH89" s="12"/>
      <c r="AI89" s="12"/>
      <c r="AJ89" s="12"/>
      <c r="AK89" s="12"/>
      <c r="AL89" s="12" t="s">
        <v>88</v>
      </c>
      <c r="AM89" s="12"/>
      <c r="AN89" s="12"/>
      <c r="AO89" s="12"/>
      <c r="AP89" s="12"/>
    </row>
    <row r="90" customFormat="false" ht="30" hidden="false" customHeight="true" outlineLevel="0" collapsed="false">
      <c r="A90" s="12" t="s">
        <v>216</v>
      </c>
      <c r="B90" s="12" t="s">
        <v>204</v>
      </c>
      <c r="C90" s="12"/>
      <c r="D90" s="12" t="s">
        <v>205</v>
      </c>
      <c r="E90" s="12" t="s">
        <v>79</v>
      </c>
      <c r="F90" s="12" t="s">
        <v>110</v>
      </c>
      <c r="G90" s="12" t="n">
        <v>1</v>
      </c>
      <c r="H90" s="12" t="s">
        <v>81</v>
      </c>
      <c r="I90" s="12" t="s">
        <v>82</v>
      </c>
      <c r="J90" s="12"/>
      <c r="K90" s="12"/>
      <c r="L90" s="13" t="s">
        <v>83</v>
      </c>
      <c r="M90" s="13" t="s">
        <v>84</v>
      </c>
      <c r="N90" s="13" t="s">
        <v>85</v>
      </c>
      <c r="O90" s="12"/>
      <c r="P90" s="13"/>
      <c r="Q90" s="12"/>
      <c r="R90" s="12"/>
      <c r="S90" s="12"/>
      <c r="T90" s="12"/>
      <c r="U90" s="12" t="s">
        <v>86</v>
      </c>
      <c r="V90" s="13"/>
      <c r="W90" s="14" t="n">
        <v>25000</v>
      </c>
      <c r="X90" s="14"/>
      <c r="Y90" s="14"/>
      <c r="Z90" s="14"/>
      <c r="AA90" s="15" t="str">
        <f aca="false">IF(COUNT(X90,Y90,Z90)=0,"",SUM(X90,Y90,Z90))</f>
        <v/>
      </c>
      <c r="AB90" s="16" t="str">
        <f aca="false">IFERROR(IF(OR(W90="",AA90=""),"",(W90-AA90)/W90),"")</f>
        <v/>
      </c>
      <c r="AC90" s="17" t="str">
        <f aca="false">IFERROR(IF(OR(AA90="",AA90=0),"",W90/AA90),"")</f>
        <v/>
      </c>
      <c r="AD90" s="12" t="s">
        <v>87</v>
      </c>
      <c r="AE90" s="12" t="s">
        <v>88</v>
      </c>
      <c r="AF90" s="12"/>
      <c r="AG90" s="12"/>
      <c r="AH90" s="12"/>
      <c r="AI90" s="12"/>
      <c r="AJ90" s="12"/>
      <c r="AK90" s="12"/>
      <c r="AL90" s="12" t="s">
        <v>88</v>
      </c>
      <c r="AM90" s="12"/>
      <c r="AN90" s="12"/>
      <c r="AO90" s="12"/>
      <c r="AP90" s="12"/>
    </row>
    <row r="91" customFormat="false" ht="30" hidden="false" customHeight="true" outlineLevel="0" collapsed="false">
      <c r="A91" s="12" t="s">
        <v>217</v>
      </c>
      <c r="B91" s="12" t="s">
        <v>204</v>
      </c>
      <c r="C91" s="12"/>
      <c r="D91" s="12" t="s">
        <v>205</v>
      </c>
      <c r="E91" s="12" t="s">
        <v>79</v>
      </c>
      <c r="F91" s="12" t="s">
        <v>112</v>
      </c>
      <c r="G91" s="12" t="n">
        <v>1</v>
      </c>
      <c r="H91" s="12" t="s">
        <v>81</v>
      </c>
      <c r="I91" s="12" t="s">
        <v>82</v>
      </c>
      <c r="J91" s="12"/>
      <c r="K91" s="12"/>
      <c r="L91" s="13" t="s">
        <v>83</v>
      </c>
      <c r="M91" s="13" t="s">
        <v>84</v>
      </c>
      <c r="N91" s="13" t="s">
        <v>85</v>
      </c>
      <c r="O91" s="12"/>
      <c r="P91" s="13"/>
      <c r="Q91" s="12"/>
      <c r="R91" s="12"/>
      <c r="S91" s="12"/>
      <c r="T91" s="12"/>
      <c r="U91" s="12" t="s">
        <v>86</v>
      </c>
      <c r="V91" s="13"/>
      <c r="W91" s="14" t="n">
        <v>25000</v>
      </c>
      <c r="X91" s="14"/>
      <c r="Y91" s="14"/>
      <c r="Z91" s="14"/>
      <c r="AA91" s="15" t="str">
        <f aca="false">IF(COUNT(X91,Y91,Z91)=0,"",SUM(X91,Y91,Z91))</f>
        <v/>
      </c>
      <c r="AB91" s="16" t="str">
        <f aca="false">IFERROR(IF(OR(W91="",AA91=""),"",(W91-AA91)/W91),"")</f>
        <v/>
      </c>
      <c r="AC91" s="17" t="str">
        <f aca="false">IFERROR(IF(OR(AA91="",AA91=0),"",W91/AA91),"")</f>
        <v/>
      </c>
      <c r="AD91" s="12" t="s">
        <v>87</v>
      </c>
      <c r="AE91" s="12" t="s">
        <v>88</v>
      </c>
      <c r="AF91" s="12"/>
      <c r="AG91" s="12"/>
      <c r="AH91" s="12"/>
      <c r="AI91" s="12"/>
      <c r="AJ91" s="12"/>
      <c r="AK91" s="12"/>
      <c r="AL91" s="12" t="s">
        <v>88</v>
      </c>
      <c r="AM91" s="12"/>
      <c r="AN91" s="12"/>
      <c r="AO91" s="12"/>
      <c r="AP91" s="12"/>
    </row>
    <row r="92" customFormat="false" ht="30" hidden="false" customHeight="true" outlineLevel="0" collapsed="false">
      <c r="A92" s="12" t="s">
        <v>218</v>
      </c>
      <c r="B92" s="12" t="s">
        <v>204</v>
      </c>
      <c r="C92" s="12"/>
      <c r="D92" s="12" t="s">
        <v>205</v>
      </c>
      <c r="E92" s="12" t="s">
        <v>79</v>
      </c>
      <c r="F92" s="12" t="s">
        <v>114</v>
      </c>
      <c r="G92" s="12" t="n">
        <v>1</v>
      </c>
      <c r="H92" s="12" t="s">
        <v>81</v>
      </c>
      <c r="I92" s="12" t="s">
        <v>82</v>
      </c>
      <c r="J92" s="12"/>
      <c r="K92" s="12"/>
      <c r="L92" s="13" t="s">
        <v>83</v>
      </c>
      <c r="M92" s="13" t="s">
        <v>84</v>
      </c>
      <c r="N92" s="13" t="s">
        <v>85</v>
      </c>
      <c r="O92" s="12"/>
      <c r="P92" s="13"/>
      <c r="Q92" s="12"/>
      <c r="R92" s="12"/>
      <c r="S92" s="12"/>
      <c r="T92" s="12"/>
      <c r="U92" s="12" t="s">
        <v>86</v>
      </c>
      <c r="V92" s="13"/>
      <c r="W92" s="14" t="n">
        <v>25000</v>
      </c>
      <c r="X92" s="14"/>
      <c r="Y92" s="14"/>
      <c r="Z92" s="14"/>
      <c r="AA92" s="15" t="str">
        <f aca="false">IF(COUNT(X92,Y92,Z92)=0,"",SUM(X92,Y92,Z92))</f>
        <v/>
      </c>
      <c r="AB92" s="16" t="str">
        <f aca="false">IFERROR(IF(OR(W92="",AA92=""),"",(W92-AA92)/W92),"")</f>
        <v/>
      </c>
      <c r="AC92" s="17" t="str">
        <f aca="false">IFERROR(IF(OR(AA92="",AA92=0),"",W92/AA92),"")</f>
        <v/>
      </c>
      <c r="AD92" s="12" t="s">
        <v>87</v>
      </c>
      <c r="AE92" s="12" t="s">
        <v>88</v>
      </c>
      <c r="AF92" s="12"/>
      <c r="AG92" s="12"/>
      <c r="AH92" s="12"/>
      <c r="AI92" s="12"/>
      <c r="AJ92" s="12"/>
      <c r="AK92" s="12"/>
      <c r="AL92" s="12" t="s">
        <v>88</v>
      </c>
      <c r="AM92" s="12"/>
      <c r="AN92" s="12"/>
      <c r="AO92" s="12"/>
      <c r="AP92" s="12"/>
    </row>
    <row r="93" customFormat="false" ht="30" hidden="false" customHeight="true" outlineLevel="0" collapsed="false">
      <c r="A93" s="12" t="s">
        <v>219</v>
      </c>
      <c r="B93" s="12" t="s">
        <v>204</v>
      </c>
      <c r="C93" s="12"/>
      <c r="D93" s="12" t="s">
        <v>205</v>
      </c>
      <c r="E93" s="12" t="s">
        <v>79</v>
      </c>
      <c r="F93" s="12" t="s">
        <v>116</v>
      </c>
      <c r="G93" s="12" t="n">
        <v>1</v>
      </c>
      <c r="H93" s="12" t="s">
        <v>81</v>
      </c>
      <c r="I93" s="12" t="s">
        <v>82</v>
      </c>
      <c r="J93" s="12"/>
      <c r="K93" s="12"/>
      <c r="L93" s="13" t="s">
        <v>83</v>
      </c>
      <c r="M93" s="13" t="s">
        <v>84</v>
      </c>
      <c r="N93" s="13" t="s">
        <v>85</v>
      </c>
      <c r="O93" s="12"/>
      <c r="P93" s="13"/>
      <c r="Q93" s="12"/>
      <c r="R93" s="12"/>
      <c r="S93" s="12"/>
      <c r="T93" s="12"/>
      <c r="U93" s="12" t="s">
        <v>86</v>
      </c>
      <c r="V93" s="13"/>
      <c r="W93" s="14" t="n">
        <v>25000</v>
      </c>
      <c r="X93" s="14"/>
      <c r="Y93" s="14"/>
      <c r="Z93" s="14"/>
      <c r="AA93" s="15" t="str">
        <f aca="false">IF(COUNT(X93,Y93,Z93)=0,"",SUM(X93,Y93,Z93))</f>
        <v/>
      </c>
      <c r="AB93" s="16" t="str">
        <f aca="false">IFERROR(IF(OR(W93="",AA93=""),"",(W93-AA93)/W93),"")</f>
        <v/>
      </c>
      <c r="AC93" s="17" t="str">
        <f aca="false">IFERROR(IF(OR(AA93="",AA93=0),"",W93/AA93),"")</f>
        <v/>
      </c>
      <c r="AD93" s="12" t="s">
        <v>87</v>
      </c>
      <c r="AE93" s="12" t="s">
        <v>88</v>
      </c>
      <c r="AF93" s="12"/>
      <c r="AG93" s="12"/>
      <c r="AH93" s="12"/>
      <c r="AI93" s="12"/>
      <c r="AJ93" s="12"/>
      <c r="AK93" s="12"/>
      <c r="AL93" s="12" t="s">
        <v>88</v>
      </c>
      <c r="AM93" s="12"/>
      <c r="AN93" s="12"/>
      <c r="AO93" s="12"/>
      <c r="AP93" s="12"/>
    </row>
    <row r="94" customFormat="false" ht="30" hidden="false" customHeight="true" outlineLevel="0" collapsed="false">
      <c r="A94" s="12" t="s">
        <v>220</v>
      </c>
      <c r="B94" s="12" t="s">
        <v>204</v>
      </c>
      <c r="C94" s="12"/>
      <c r="D94" s="12" t="s">
        <v>205</v>
      </c>
      <c r="E94" s="12" t="s">
        <v>79</v>
      </c>
      <c r="F94" s="12" t="s">
        <v>118</v>
      </c>
      <c r="G94" s="12" t="n">
        <v>1</v>
      </c>
      <c r="H94" s="12" t="s">
        <v>81</v>
      </c>
      <c r="I94" s="12" t="s">
        <v>82</v>
      </c>
      <c r="J94" s="12"/>
      <c r="K94" s="12"/>
      <c r="L94" s="13" t="s">
        <v>83</v>
      </c>
      <c r="M94" s="13" t="s">
        <v>84</v>
      </c>
      <c r="N94" s="13" t="s">
        <v>85</v>
      </c>
      <c r="O94" s="12"/>
      <c r="P94" s="13"/>
      <c r="Q94" s="12"/>
      <c r="R94" s="12"/>
      <c r="S94" s="12"/>
      <c r="T94" s="12"/>
      <c r="U94" s="12" t="s">
        <v>86</v>
      </c>
      <c r="V94" s="13"/>
      <c r="W94" s="14" t="n">
        <v>25000</v>
      </c>
      <c r="X94" s="14"/>
      <c r="Y94" s="14"/>
      <c r="Z94" s="14"/>
      <c r="AA94" s="15" t="str">
        <f aca="false">IF(COUNT(X94,Y94,Z94)=0,"",SUM(X94,Y94,Z94))</f>
        <v/>
      </c>
      <c r="AB94" s="16" t="str">
        <f aca="false">IFERROR(IF(OR(W94="",AA94=""),"",(W94-AA94)/W94),"")</f>
        <v/>
      </c>
      <c r="AC94" s="17" t="str">
        <f aca="false">IFERROR(IF(OR(AA94="",AA94=0),"",W94/AA94),"")</f>
        <v/>
      </c>
      <c r="AD94" s="12" t="s">
        <v>87</v>
      </c>
      <c r="AE94" s="12" t="s">
        <v>88</v>
      </c>
      <c r="AF94" s="12"/>
      <c r="AG94" s="12"/>
      <c r="AH94" s="12"/>
      <c r="AI94" s="12"/>
      <c r="AJ94" s="12"/>
      <c r="AK94" s="12"/>
      <c r="AL94" s="12" t="s">
        <v>88</v>
      </c>
      <c r="AM94" s="12"/>
      <c r="AN94" s="12"/>
      <c r="AO94" s="12"/>
      <c r="AP94" s="12"/>
    </row>
    <row r="95" customFormat="false" ht="30" hidden="false" customHeight="true" outlineLevel="0" collapsed="false">
      <c r="A95" s="12" t="s">
        <v>221</v>
      </c>
      <c r="B95" s="12" t="s">
        <v>204</v>
      </c>
      <c r="C95" s="12"/>
      <c r="D95" s="12" t="s">
        <v>205</v>
      </c>
      <c r="E95" s="12" t="s">
        <v>79</v>
      </c>
      <c r="F95" s="12" t="s">
        <v>120</v>
      </c>
      <c r="G95" s="12" t="n">
        <v>1</v>
      </c>
      <c r="H95" s="12" t="s">
        <v>81</v>
      </c>
      <c r="I95" s="12" t="s">
        <v>82</v>
      </c>
      <c r="J95" s="12"/>
      <c r="K95" s="12"/>
      <c r="L95" s="13" t="s">
        <v>83</v>
      </c>
      <c r="M95" s="13" t="s">
        <v>84</v>
      </c>
      <c r="N95" s="13" t="s">
        <v>85</v>
      </c>
      <c r="O95" s="12"/>
      <c r="P95" s="13"/>
      <c r="Q95" s="12"/>
      <c r="R95" s="12"/>
      <c r="S95" s="12"/>
      <c r="T95" s="12"/>
      <c r="U95" s="12" t="s">
        <v>86</v>
      </c>
      <c r="V95" s="13"/>
      <c r="W95" s="14" t="n">
        <v>25000</v>
      </c>
      <c r="X95" s="14"/>
      <c r="Y95" s="14"/>
      <c r="Z95" s="14"/>
      <c r="AA95" s="15" t="str">
        <f aca="false">IF(COUNT(X95,Y95,Z95)=0,"",SUM(X95,Y95,Z95))</f>
        <v/>
      </c>
      <c r="AB95" s="16" t="str">
        <f aca="false">IFERROR(IF(OR(W95="",AA95=""),"",(W95-AA95)/W95),"")</f>
        <v/>
      </c>
      <c r="AC95" s="17" t="str">
        <f aca="false">IFERROR(IF(OR(AA95="",AA95=0),"",W95/AA95),"")</f>
        <v/>
      </c>
      <c r="AD95" s="12" t="s">
        <v>87</v>
      </c>
      <c r="AE95" s="12" t="s">
        <v>88</v>
      </c>
      <c r="AF95" s="12"/>
      <c r="AG95" s="12"/>
      <c r="AH95" s="12"/>
      <c r="AI95" s="12"/>
      <c r="AJ95" s="12"/>
      <c r="AK95" s="12"/>
      <c r="AL95" s="12" t="s">
        <v>88</v>
      </c>
      <c r="AM95" s="12"/>
      <c r="AN95" s="12"/>
      <c r="AO95" s="12"/>
      <c r="AP95" s="12"/>
    </row>
    <row r="96" customFormat="false" ht="30" hidden="false" customHeight="true" outlineLevel="0" collapsed="false">
      <c r="A96" s="12" t="s">
        <v>222</v>
      </c>
      <c r="B96" s="12" t="s">
        <v>204</v>
      </c>
      <c r="C96" s="12"/>
      <c r="D96" s="12" t="s">
        <v>205</v>
      </c>
      <c r="E96" s="12" t="s">
        <v>79</v>
      </c>
      <c r="F96" s="12" t="s">
        <v>122</v>
      </c>
      <c r="G96" s="12" t="n">
        <v>1</v>
      </c>
      <c r="H96" s="12" t="s">
        <v>81</v>
      </c>
      <c r="I96" s="12" t="s">
        <v>82</v>
      </c>
      <c r="J96" s="12"/>
      <c r="K96" s="12"/>
      <c r="L96" s="13" t="s">
        <v>83</v>
      </c>
      <c r="M96" s="13" t="s">
        <v>84</v>
      </c>
      <c r="N96" s="13" t="s">
        <v>85</v>
      </c>
      <c r="O96" s="12"/>
      <c r="P96" s="13"/>
      <c r="Q96" s="12"/>
      <c r="R96" s="12"/>
      <c r="S96" s="12"/>
      <c r="T96" s="12"/>
      <c r="U96" s="12" t="s">
        <v>86</v>
      </c>
      <c r="V96" s="13"/>
      <c r="W96" s="14" t="n">
        <v>25000</v>
      </c>
      <c r="X96" s="14"/>
      <c r="Y96" s="14"/>
      <c r="Z96" s="14"/>
      <c r="AA96" s="15" t="str">
        <f aca="false">IF(COUNT(X96,Y96,Z96)=0,"",SUM(X96,Y96,Z96))</f>
        <v/>
      </c>
      <c r="AB96" s="16" t="str">
        <f aca="false">IFERROR(IF(OR(W96="",AA96=""),"",(W96-AA96)/W96),"")</f>
        <v/>
      </c>
      <c r="AC96" s="17" t="str">
        <f aca="false">IFERROR(IF(OR(AA96="",AA96=0),"",W96/AA96),"")</f>
        <v/>
      </c>
      <c r="AD96" s="12" t="s">
        <v>87</v>
      </c>
      <c r="AE96" s="12" t="s">
        <v>88</v>
      </c>
      <c r="AF96" s="12"/>
      <c r="AG96" s="12"/>
      <c r="AH96" s="12"/>
      <c r="AI96" s="12"/>
      <c r="AJ96" s="12"/>
      <c r="AK96" s="12"/>
      <c r="AL96" s="12" t="s">
        <v>88</v>
      </c>
      <c r="AM96" s="12"/>
      <c r="AN96" s="12"/>
      <c r="AO96" s="12"/>
      <c r="AP96" s="12"/>
    </row>
    <row r="97" customFormat="false" ht="30" hidden="false" customHeight="true" outlineLevel="0" collapsed="false">
      <c r="A97" s="12" t="s">
        <v>223</v>
      </c>
      <c r="B97" s="12" t="s">
        <v>204</v>
      </c>
      <c r="C97" s="12"/>
      <c r="D97" s="12" t="s">
        <v>205</v>
      </c>
      <c r="E97" s="12" t="s">
        <v>79</v>
      </c>
      <c r="F97" s="12" t="s">
        <v>124</v>
      </c>
      <c r="G97" s="12" t="n">
        <v>1</v>
      </c>
      <c r="H97" s="12" t="s">
        <v>81</v>
      </c>
      <c r="I97" s="12" t="s">
        <v>82</v>
      </c>
      <c r="J97" s="12"/>
      <c r="K97" s="12"/>
      <c r="L97" s="13" t="s">
        <v>83</v>
      </c>
      <c r="M97" s="13" t="s">
        <v>84</v>
      </c>
      <c r="N97" s="13" t="s">
        <v>85</v>
      </c>
      <c r="O97" s="12"/>
      <c r="P97" s="13"/>
      <c r="Q97" s="12"/>
      <c r="R97" s="12"/>
      <c r="S97" s="12"/>
      <c r="T97" s="12"/>
      <c r="U97" s="12" t="s">
        <v>86</v>
      </c>
      <c r="V97" s="13"/>
      <c r="W97" s="14" t="n">
        <v>25000</v>
      </c>
      <c r="X97" s="14"/>
      <c r="Y97" s="14"/>
      <c r="Z97" s="14"/>
      <c r="AA97" s="15" t="str">
        <f aca="false">IF(COUNT(X97,Y97,Z97)=0,"",SUM(X97,Y97,Z97))</f>
        <v/>
      </c>
      <c r="AB97" s="16" t="str">
        <f aca="false">IFERROR(IF(OR(W97="",AA97=""),"",(W97-AA97)/W97),"")</f>
        <v/>
      </c>
      <c r="AC97" s="17" t="str">
        <f aca="false">IFERROR(IF(OR(AA97="",AA97=0),"",W97/AA97),"")</f>
        <v/>
      </c>
      <c r="AD97" s="12" t="s">
        <v>87</v>
      </c>
      <c r="AE97" s="12" t="s">
        <v>88</v>
      </c>
      <c r="AF97" s="12"/>
      <c r="AG97" s="12"/>
      <c r="AH97" s="12"/>
      <c r="AI97" s="12"/>
      <c r="AJ97" s="12"/>
      <c r="AK97" s="12"/>
      <c r="AL97" s="12" t="s">
        <v>88</v>
      </c>
      <c r="AM97" s="12"/>
      <c r="AN97" s="12"/>
      <c r="AO97" s="12"/>
      <c r="AP97" s="12"/>
    </row>
    <row r="98" customFormat="false" ht="30" hidden="false" customHeight="true" outlineLevel="0" collapsed="false">
      <c r="A98" s="12" t="s">
        <v>224</v>
      </c>
      <c r="B98" s="12" t="s">
        <v>204</v>
      </c>
      <c r="C98" s="12"/>
      <c r="D98" s="12" t="s">
        <v>205</v>
      </c>
      <c r="E98" s="12" t="s">
        <v>79</v>
      </c>
      <c r="F98" s="12" t="s">
        <v>126</v>
      </c>
      <c r="G98" s="12" t="n">
        <v>1</v>
      </c>
      <c r="H98" s="12" t="s">
        <v>81</v>
      </c>
      <c r="I98" s="12" t="s">
        <v>82</v>
      </c>
      <c r="J98" s="12"/>
      <c r="K98" s="12"/>
      <c r="L98" s="13" t="s">
        <v>83</v>
      </c>
      <c r="M98" s="13" t="s">
        <v>84</v>
      </c>
      <c r="N98" s="13" t="s">
        <v>85</v>
      </c>
      <c r="O98" s="12"/>
      <c r="P98" s="13"/>
      <c r="Q98" s="12"/>
      <c r="R98" s="12"/>
      <c r="S98" s="12"/>
      <c r="T98" s="12"/>
      <c r="U98" s="12" t="s">
        <v>86</v>
      </c>
      <c r="V98" s="13"/>
      <c r="W98" s="14" t="n">
        <v>25000</v>
      </c>
      <c r="X98" s="14"/>
      <c r="Y98" s="14"/>
      <c r="Z98" s="14"/>
      <c r="AA98" s="15" t="str">
        <f aca="false">IF(COUNT(X98,Y98,Z98)=0,"",SUM(X98,Y98,Z98))</f>
        <v/>
      </c>
      <c r="AB98" s="16" t="str">
        <f aca="false">IFERROR(IF(OR(W98="",AA98=""),"",(W98-AA98)/W98),"")</f>
        <v/>
      </c>
      <c r="AC98" s="17" t="str">
        <f aca="false">IFERROR(IF(OR(AA98="",AA98=0),"",W98/AA98),"")</f>
        <v/>
      </c>
      <c r="AD98" s="12" t="s">
        <v>87</v>
      </c>
      <c r="AE98" s="12" t="s">
        <v>88</v>
      </c>
      <c r="AF98" s="12"/>
      <c r="AG98" s="12"/>
      <c r="AH98" s="12"/>
      <c r="AI98" s="12"/>
      <c r="AJ98" s="12"/>
      <c r="AK98" s="12"/>
      <c r="AL98" s="12" t="s">
        <v>88</v>
      </c>
      <c r="AM98" s="12"/>
      <c r="AN98" s="12"/>
      <c r="AO98" s="12"/>
      <c r="AP98" s="12"/>
    </row>
    <row r="99" customFormat="false" ht="30" hidden="false" customHeight="true" outlineLevel="0" collapsed="false">
      <c r="A99" s="12" t="s">
        <v>225</v>
      </c>
      <c r="B99" s="12" t="s">
        <v>204</v>
      </c>
      <c r="C99" s="12"/>
      <c r="D99" s="12" t="s">
        <v>205</v>
      </c>
      <c r="E99" s="12" t="s">
        <v>79</v>
      </c>
      <c r="F99" s="12" t="s">
        <v>128</v>
      </c>
      <c r="G99" s="12" t="n">
        <v>1</v>
      </c>
      <c r="H99" s="12" t="s">
        <v>81</v>
      </c>
      <c r="I99" s="12" t="s">
        <v>82</v>
      </c>
      <c r="J99" s="12"/>
      <c r="K99" s="12"/>
      <c r="L99" s="13" t="s">
        <v>83</v>
      </c>
      <c r="M99" s="13" t="s">
        <v>84</v>
      </c>
      <c r="N99" s="13" t="s">
        <v>85</v>
      </c>
      <c r="O99" s="12"/>
      <c r="P99" s="13"/>
      <c r="Q99" s="12"/>
      <c r="R99" s="12"/>
      <c r="S99" s="12"/>
      <c r="T99" s="12"/>
      <c r="U99" s="12" t="s">
        <v>86</v>
      </c>
      <c r="V99" s="13"/>
      <c r="W99" s="14" t="n">
        <v>25000</v>
      </c>
      <c r="X99" s="14"/>
      <c r="Y99" s="14"/>
      <c r="Z99" s="14"/>
      <c r="AA99" s="15" t="str">
        <f aca="false">IF(COUNT(X99,Y99,Z99)=0,"",SUM(X99,Y99,Z99))</f>
        <v/>
      </c>
      <c r="AB99" s="16" t="str">
        <f aca="false">IFERROR(IF(OR(W99="",AA99=""),"",(W99-AA99)/W99),"")</f>
        <v/>
      </c>
      <c r="AC99" s="17" t="str">
        <f aca="false">IFERROR(IF(OR(AA99="",AA99=0),"",W99/AA99),"")</f>
        <v/>
      </c>
      <c r="AD99" s="12" t="s">
        <v>87</v>
      </c>
      <c r="AE99" s="12" t="s">
        <v>88</v>
      </c>
      <c r="AF99" s="12"/>
      <c r="AG99" s="12"/>
      <c r="AH99" s="12"/>
      <c r="AI99" s="12"/>
      <c r="AJ99" s="12"/>
      <c r="AK99" s="12"/>
      <c r="AL99" s="12" t="s">
        <v>88</v>
      </c>
      <c r="AM99" s="12"/>
      <c r="AN99" s="12"/>
      <c r="AO99" s="12"/>
      <c r="AP99" s="12"/>
    </row>
    <row r="100" customFormat="false" ht="30" hidden="false" customHeight="true" outlineLevel="0" collapsed="false">
      <c r="A100" s="12" t="s">
        <v>226</v>
      </c>
      <c r="B100" s="12" t="s">
        <v>204</v>
      </c>
      <c r="C100" s="12"/>
      <c r="D100" s="12" t="s">
        <v>205</v>
      </c>
      <c r="E100" s="12" t="s">
        <v>79</v>
      </c>
      <c r="F100" s="12" t="s">
        <v>130</v>
      </c>
      <c r="G100" s="12" t="n">
        <v>1</v>
      </c>
      <c r="H100" s="12" t="s">
        <v>81</v>
      </c>
      <c r="I100" s="12" t="s">
        <v>82</v>
      </c>
      <c r="J100" s="12"/>
      <c r="K100" s="12"/>
      <c r="L100" s="13" t="s">
        <v>83</v>
      </c>
      <c r="M100" s="13" t="s">
        <v>84</v>
      </c>
      <c r="N100" s="13" t="s">
        <v>85</v>
      </c>
      <c r="O100" s="12"/>
      <c r="P100" s="13"/>
      <c r="Q100" s="12"/>
      <c r="R100" s="12"/>
      <c r="S100" s="12"/>
      <c r="T100" s="12"/>
      <c r="U100" s="12" t="s">
        <v>86</v>
      </c>
      <c r="V100" s="13"/>
      <c r="W100" s="14" t="n">
        <v>25000</v>
      </c>
      <c r="X100" s="14"/>
      <c r="Y100" s="14"/>
      <c r="Z100" s="14"/>
      <c r="AA100" s="15" t="str">
        <f aca="false">IF(COUNT(X100,Y100,Z100)=0,"",SUM(X100,Y100,Z100))</f>
        <v/>
      </c>
      <c r="AB100" s="16" t="str">
        <f aca="false">IFERROR(IF(OR(W100="",AA100=""),"",(W100-AA100)/W100),"")</f>
        <v/>
      </c>
      <c r="AC100" s="17" t="str">
        <f aca="false">IFERROR(IF(OR(AA100="",AA100=0),"",W100/AA100),"")</f>
        <v/>
      </c>
      <c r="AD100" s="12" t="s">
        <v>87</v>
      </c>
      <c r="AE100" s="12" t="s">
        <v>88</v>
      </c>
      <c r="AF100" s="12"/>
      <c r="AG100" s="12"/>
      <c r="AH100" s="12"/>
      <c r="AI100" s="12"/>
      <c r="AJ100" s="12"/>
      <c r="AK100" s="12"/>
      <c r="AL100" s="12" t="s">
        <v>88</v>
      </c>
      <c r="AM100" s="12"/>
      <c r="AN100" s="12"/>
      <c r="AO100" s="12"/>
      <c r="AP100" s="12"/>
    </row>
    <row r="101" customFormat="false" ht="30" hidden="false" customHeight="true" outlineLevel="0" collapsed="false">
      <c r="A101" s="12" t="s">
        <v>227</v>
      </c>
      <c r="B101" s="12" t="s">
        <v>204</v>
      </c>
      <c r="C101" s="12"/>
      <c r="D101" s="12" t="s">
        <v>205</v>
      </c>
      <c r="E101" s="12" t="s">
        <v>79</v>
      </c>
      <c r="F101" s="12" t="s">
        <v>132</v>
      </c>
      <c r="G101" s="12" t="n">
        <v>1</v>
      </c>
      <c r="H101" s="12" t="s">
        <v>81</v>
      </c>
      <c r="I101" s="12" t="s">
        <v>82</v>
      </c>
      <c r="J101" s="12"/>
      <c r="K101" s="12"/>
      <c r="L101" s="13" t="s">
        <v>83</v>
      </c>
      <c r="M101" s="13" t="s">
        <v>84</v>
      </c>
      <c r="N101" s="13" t="s">
        <v>85</v>
      </c>
      <c r="O101" s="12"/>
      <c r="P101" s="13"/>
      <c r="Q101" s="12"/>
      <c r="R101" s="12"/>
      <c r="S101" s="12"/>
      <c r="T101" s="12"/>
      <c r="U101" s="12" t="s">
        <v>86</v>
      </c>
      <c r="V101" s="13"/>
      <c r="W101" s="14" t="n">
        <v>25000</v>
      </c>
      <c r="X101" s="14"/>
      <c r="Y101" s="14"/>
      <c r="Z101" s="14"/>
      <c r="AA101" s="15" t="str">
        <f aca="false">IF(COUNT(X101,Y101,Z101)=0,"",SUM(X101,Y101,Z101))</f>
        <v/>
      </c>
      <c r="AB101" s="16" t="str">
        <f aca="false">IFERROR(IF(OR(W101="",AA101=""),"",(W101-AA101)/W101),"")</f>
        <v/>
      </c>
      <c r="AC101" s="17" t="str">
        <f aca="false">IFERROR(IF(OR(AA101="",AA101=0),"",W101/AA101),"")</f>
        <v/>
      </c>
      <c r="AD101" s="12" t="s">
        <v>87</v>
      </c>
      <c r="AE101" s="12" t="s">
        <v>88</v>
      </c>
      <c r="AF101" s="12"/>
      <c r="AG101" s="12"/>
      <c r="AH101" s="12"/>
      <c r="AI101" s="12"/>
      <c r="AJ101" s="12"/>
      <c r="AK101" s="12"/>
      <c r="AL101" s="12" t="s">
        <v>88</v>
      </c>
      <c r="AM101" s="12"/>
      <c r="AN101" s="12"/>
      <c r="AO101" s="12"/>
      <c r="AP101" s="12"/>
    </row>
    <row r="102" customFormat="false" ht="30" hidden="false" customHeight="true" outlineLevel="0" collapsed="false">
      <c r="A102" s="12" t="s">
        <v>228</v>
      </c>
      <c r="B102" s="12" t="s">
        <v>204</v>
      </c>
      <c r="C102" s="12"/>
      <c r="D102" s="12" t="s">
        <v>205</v>
      </c>
      <c r="E102" s="12" t="s">
        <v>79</v>
      </c>
      <c r="F102" s="12" t="s">
        <v>134</v>
      </c>
      <c r="G102" s="12" t="n">
        <v>1</v>
      </c>
      <c r="H102" s="12" t="s">
        <v>81</v>
      </c>
      <c r="I102" s="12" t="s">
        <v>82</v>
      </c>
      <c r="J102" s="12"/>
      <c r="K102" s="12"/>
      <c r="L102" s="13" t="s">
        <v>83</v>
      </c>
      <c r="M102" s="13" t="s">
        <v>84</v>
      </c>
      <c r="N102" s="13" t="s">
        <v>85</v>
      </c>
      <c r="O102" s="12"/>
      <c r="P102" s="13"/>
      <c r="Q102" s="12"/>
      <c r="R102" s="12"/>
      <c r="S102" s="12"/>
      <c r="T102" s="12"/>
      <c r="U102" s="12" t="s">
        <v>86</v>
      </c>
      <c r="V102" s="13"/>
      <c r="W102" s="14" t="n">
        <v>25000</v>
      </c>
      <c r="X102" s="14"/>
      <c r="Y102" s="14"/>
      <c r="Z102" s="14"/>
      <c r="AA102" s="15" t="str">
        <f aca="false">IF(COUNT(X102,Y102,Z102)=0,"",SUM(X102,Y102,Z102))</f>
        <v/>
      </c>
      <c r="AB102" s="16" t="str">
        <f aca="false">IFERROR(IF(OR(W102="",AA102=""),"",(W102-AA102)/W102),"")</f>
        <v/>
      </c>
      <c r="AC102" s="17" t="str">
        <f aca="false">IFERROR(IF(OR(AA102="",AA102=0),"",W102/AA102),"")</f>
        <v/>
      </c>
      <c r="AD102" s="12" t="s">
        <v>87</v>
      </c>
      <c r="AE102" s="12" t="s">
        <v>88</v>
      </c>
      <c r="AF102" s="12"/>
      <c r="AG102" s="12"/>
      <c r="AH102" s="12"/>
      <c r="AI102" s="12"/>
      <c r="AJ102" s="12"/>
      <c r="AK102" s="12"/>
      <c r="AL102" s="12" t="s">
        <v>88</v>
      </c>
      <c r="AM102" s="12"/>
      <c r="AN102" s="12"/>
      <c r="AO102" s="12"/>
      <c r="AP102" s="12"/>
    </row>
    <row r="103" customFormat="false" ht="30" hidden="false" customHeight="true" outlineLevel="0" collapsed="false">
      <c r="A103" s="12" t="s">
        <v>229</v>
      </c>
      <c r="B103" s="12" t="s">
        <v>204</v>
      </c>
      <c r="C103" s="12"/>
      <c r="D103" s="12" t="s">
        <v>205</v>
      </c>
      <c r="E103" s="12" t="s">
        <v>79</v>
      </c>
      <c r="F103" s="12" t="s">
        <v>136</v>
      </c>
      <c r="G103" s="12" t="n">
        <v>1</v>
      </c>
      <c r="H103" s="12" t="s">
        <v>81</v>
      </c>
      <c r="I103" s="12" t="s">
        <v>82</v>
      </c>
      <c r="J103" s="12"/>
      <c r="K103" s="12"/>
      <c r="L103" s="13" t="s">
        <v>83</v>
      </c>
      <c r="M103" s="13" t="s">
        <v>84</v>
      </c>
      <c r="N103" s="13" t="s">
        <v>85</v>
      </c>
      <c r="O103" s="12"/>
      <c r="P103" s="13"/>
      <c r="Q103" s="12"/>
      <c r="R103" s="12"/>
      <c r="S103" s="12"/>
      <c r="T103" s="12"/>
      <c r="U103" s="12" t="s">
        <v>86</v>
      </c>
      <c r="V103" s="13"/>
      <c r="W103" s="14" t="n">
        <v>25000</v>
      </c>
      <c r="X103" s="14"/>
      <c r="Y103" s="14"/>
      <c r="Z103" s="14"/>
      <c r="AA103" s="15" t="str">
        <f aca="false">IF(COUNT(X103,Y103,Z103)=0,"",SUM(X103,Y103,Z103))</f>
        <v/>
      </c>
      <c r="AB103" s="16" t="str">
        <f aca="false">IFERROR(IF(OR(W103="",AA103=""),"",(W103-AA103)/W103),"")</f>
        <v/>
      </c>
      <c r="AC103" s="17" t="str">
        <f aca="false">IFERROR(IF(OR(AA103="",AA103=0),"",W103/AA103),"")</f>
        <v/>
      </c>
      <c r="AD103" s="12" t="s">
        <v>87</v>
      </c>
      <c r="AE103" s="12" t="s">
        <v>88</v>
      </c>
      <c r="AF103" s="12"/>
      <c r="AG103" s="12"/>
      <c r="AH103" s="12"/>
      <c r="AI103" s="12"/>
      <c r="AJ103" s="12"/>
      <c r="AK103" s="12"/>
      <c r="AL103" s="12" t="s">
        <v>88</v>
      </c>
      <c r="AM103" s="12"/>
      <c r="AN103" s="12"/>
      <c r="AO103" s="12"/>
      <c r="AP103" s="12"/>
    </row>
    <row r="104" customFormat="false" ht="30" hidden="false" customHeight="true" outlineLevel="0" collapsed="false">
      <c r="A104" s="12" t="s">
        <v>230</v>
      </c>
      <c r="B104" s="12" t="s">
        <v>204</v>
      </c>
      <c r="C104" s="12"/>
      <c r="D104" s="12" t="s">
        <v>205</v>
      </c>
      <c r="E104" s="12" t="s">
        <v>79</v>
      </c>
      <c r="F104" s="12" t="s">
        <v>138</v>
      </c>
      <c r="G104" s="12" t="n">
        <v>1</v>
      </c>
      <c r="H104" s="12" t="s">
        <v>81</v>
      </c>
      <c r="I104" s="12" t="s">
        <v>82</v>
      </c>
      <c r="J104" s="12"/>
      <c r="K104" s="12"/>
      <c r="L104" s="13" t="s">
        <v>83</v>
      </c>
      <c r="M104" s="13" t="s">
        <v>84</v>
      </c>
      <c r="N104" s="13" t="s">
        <v>85</v>
      </c>
      <c r="O104" s="12"/>
      <c r="P104" s="13"/>
      <c r="Q104" s="12"/>
      <c r="R104" s="12"/>
      <c r="S104" s="12"/>
      <c r="T104" s="12"/>
      <c r="U104" s="12" t="s">
        <v>86</v>
      </c>
      <c r="V104" s="13"/>
      <c r="W104" s="14" t="n">
        <v>25000</v>
      </c>
      <c r="X104" s="14"/>
      <c r="Y104" s="14"/>
      <c r="Z104" s="14"/>
      <c r="AA104" s="15" t="str">
        <f aca="false">IF(COUNT(X104,Y104,Z104)=0,"",SUM(X104,Y104,Z104))</f>
        <v/>
      </c>
      <c r="AB104" s="16" t="str">
        <f aca="false">IFERROR(IF(OR(W104="",AA104=""),"",(W104-AA104)/W104),"")</f>
        <v/>
      </c>
      <c r="AC104" s="17" t="str">
        <f aca="false">IFERROR(IF(OR(AA104="",AA104=0),"",W104/AA104),"")</f>
        <v/>
      </c>
      <c r="AD104" s="12" t="s">
        <v>87</v>
      </c>
      <c r="AE104" s="12" t="s">
        <v>88</v>
      </c>
      <c r="AF104" s="12"/>
      <c r="AG104" s="12"/>
      <c r="AH104" s="12"/>
      <c r="AI104" s="12"/>
      <c r="AJ104" s="12"/>
      <c r="AK104" s="12"/>
      <c r="AL104" s="12" t="s">
        <v>88</v>
      </c>
      <c r="AM104" s="12"/>
      <c r="AN104" s="12"/>
      <c r="AO104" s="12"/>
      <c r="AP104" s="12"/>
    </row>
    <row r="105" customFormat="false" ht="30" hidden="false" customHeight="true" outlineLevel="0" collapsed="false">
      <c r="A105" s="12" t="s">
        <v>231</v>
      </c>
      <c r="B105" s="12" t="s">
        <v>204</v>
      </c>
      <c r="C105" s="12"/>
      <c r="D105" s="12" t="s">
        <v>205</v>
      </c>
      <c r="E105" s="12" t="s">
        <v>79</v>
      </c>
      <c r="F105" s="12" t="s">
        <v>140</v>
      </c>
      <c r="G105" s="12" t="n">
        <v>1</v>
      </c>
      <c r="H105" s="12" t="s">
        <v>81</v>
      </c>
      <c r="I105" s="12" t="s">
        <v>82</v>
      </c>
      <c r="J105" s="12"/>
      <c r="K105" s="12"/>
      <c r="L105" s="13" t="s">
        <v>83</v>
      </c>
      <c r="M105" s="13" t="s">
        <v>84</v>
      </c>
      <c r="N105" s="13" t="s">
        <v>85</v>
      </c>
      <c r="O105" s="12"/>
      <c r="P105" s="13"/>
      <c r="Q105" s="12"/>
      <c r="R105" s="12"/>
      <c r="S105" s="12"/>
      <c r="T105" s="12"/>
      <c r="U105" s="12" t="s">
        <v>86</v>
      </c>
      <c r="V105" s="13"/>
      <c r="W105" s="14" t="n">
        <v>25000</v>
      </c>
      <c r="X105" s="14"/>
      <c r="Y105" s="14"/>
      <c r="Z105" s="14"/>
      <c r="AA105" s="15" t="str">
        <f aca="false">IF(COUNT(X105,Y105,Z105)=0,"",SUM(X105,Y105,Z105))</f>
        <v/>
      </c>
      <c r="AB105" s="16" t="str">
        <f aca="false">IFERROR(IF(OR(W105="",AA105=""),"",(W105-AA105)/W105),"")</f>
        <v/>
      </c>
      <c r="AC105" s="17" t="str">
        <f aca="false">IFERROR(IF(OR(AA105="",AA105=0),"",W105/AA105),"")</f>
        <v/>
      </c>
      <c r="AD105" s="12" t="s">
        <v>87</v>
      </c>
      <c r="AE105" s="12" t="s">
        <v>88</v>
      </c>
      <c r="AF105" s="12"/>
      <c r="AG105" s="12"/>
      <c r="AH105" s="12"/>
      <c r="AI105" s="12"/>
      <c r="AJ105" s="12"/>
      <c r="AK105" s="12"/>
      <c r="AL105" s="12" t="s">
        <v>88</v>
      </c>
      <c r="AM105" s="12"/>
      <c r="AN105" s="12"/>
      <c r="AO105" s="12"/>
      <c r="AP105" s="12"/>
    </row>
    <row r="106" customFormat="false" ht="30" hidden="false" customHeight="true" outlineLevel="0" collapsed="false">
      <c r="A106" s="12" t="s">
        <v>232</v>
      </c>
      <c r="B106" s="12" t="s">
        <v>204</v>
      </c>
      <c r="C106" s="12"/>
      <c r="D106" s="12" t="s">
        <v>205</v>
      </c>
      <c r="E106" s="12" t="s">
        <v>79</v>
      </c>
      <c r="F106" s="12" t="s">
        <v>142</v>
      </c>
      <c r="G106" s="12" t="n">
        <v>1</v>
      </c>
      <c r="H106" s="12" t="s">
        <v>81</v>
      </c>
      <c r="I106" s="12" t="s">
        <v>82</v>
      </c>
      <c r="J106" s="12"/>
      <c r="K106" s="12"/>
      <c r="L106" s="13" t="s">
        <v>83</v>
      </c>
      <c r="M106" s="13" t="s">
        <v>84</v>
      </c>
      <c r="N106" s="13" t="s">
        <v>85</v>
      </c>
      <c r="O106" s="12"/>
      <c r="P106" s="13"/>
      <c r="Q106" s="12"/>
      <c r="R106" s="12"/>
      <c r="S106" s="12"/>
      <c r="T106" s="12"/>
      <c r="U106" s="12" t="s">
        <v>86</v>
      </c>
      <c r="V106" s="13"/>
      <c r="W106" s="14" t="n">
        <v>25000</v>
      </c>
      <c r="X106" s="14"/>
      <c r="Y106" s="14"/>
      <c r="Z106" s="14"/>
      <c r="AA106" s="15" t="str">
        <f aca="false">IF(COUNT(X106,Y106,Z106)=0,"",SUM(X106,Y106,Z106))</f>
        <v/>
      </c>
      <c r="AB106" s="16" t="str">
        <f aca="false">IFERROR(IF(OR(W106="",AA106=""),"",(W106-AA106)/W106),"")</f>
        <v/>
      </c>
      <c r="AC106" s="17" t="str">
        <f aca="false">IFERROR(IF(OR(AA106="",AA106=0),"",W106/AA106),"")</f>
        <v/>
      </c>
      <c r="AD106" s="12" t="s">
        <v>87</v>
      </c>
      <c r="AE106" s="12" t="s">
        <v>88</v>
      </c>
      <c r="AF106" s="12"/>
      <c r="AG106" s="12"/>
      <c r="AH106" s="12"/>
      <c r="AI106" s="12"/>
      <c r="AJ106" s="12"/>
      <c r="AK106" s="12"/>
      <c r="AL106" s="12" t="s">
        <v>88</v>
      </c>
      <c r="AM106" s="12"/>
      <c r="AN106" s="12"/>
      <c r="AO106" s="12"/>
      <c r="AP106" s="12"/>
    </row>
    <row r="107" customFormat="false" ht="30" hidden="false" customHeight="true" outlineLevel="0" collapsed="false">
      <c r="A107" s="12" t="s">
        <v>233</v>
      </c>
      <c r="B107" s="12" t="s">
        <v>204</v>
      </c>
      <c r="C107" s="12"/>
      <c r="D107" s="12" t="s">
        <v>205</v>
      </c>
      <c r="E107" s="12" t="s">
        <v>79</v>
      </c>
      <c r="F107" s="12" t="s">
        <v>144</v>
      </c>
      <c r="G107" s="12" t="n">
        <v>1</v>
      </c>
      <c r="H107" s="12" t="s">
        <v>81</v>
      </c>
      <c r="I107" s="12" t="s">
        <v>82</v>
      </c>
      <c r="J107" s="12"/>
      <c r="K107" s="12"/>
      <c r="L107" s="13" t="s">
        <v>83</v>
      </c>
      <c r="M107" s="13" t="s">
        <v>84</v>
      </c>
      <c r="N107" s="13" t="s">
        <v>85</v>
      </c>
      <c r="O107" s="12"/>
      <c r="P107" s="13"/>
      <c r="Q107" s="12"/>
      <c r="R107" s="12"/>
      <c r="S107" s="12"/>
      <c r="T107" s="12"/>
      <c r="U107" s="12" t="s">
        <v>86</v>
      </c>
      <c r="V107" s="13"/>
      <c r="W107" s="14" t="n">
        <v>25000</v>
      </c>
      <c r="X107" s="14"/>
      <c r="Y107" s="14"/>
      <c r="Z107" s="14"/>
      <c r="AA107" s="15" t="str">
        <f aca="false">IF(COUNT(X107,Y107,Z107)=0,"",SUM(X107,Y107,Z107))</f>
        <v/>
      </c>
      <c r="AB107" s="16" t="str">
        <f aca="false">IFERROR(IF(OR(W107="",AA107=""),"",(W107-AA107)/W107),"")</f>
        <v/>
      </c>
      <c r="AC107" s="17" t="str">
        <f aca="false">IFERROR(IF(OR(AA107="",AA107=0),"",W107/AA107),"")</f>
        <v/>
      </c>
      <c r="AD107" s="12" t="s">
        <v>87</v>
      </c>
      <c r="AE107" s="12" t="s">
        <v>88</v>
      </c>
      <c r="AF107" s="12"/>
      <c r="AG107" s="12"/>
      <c r="AH107" s="12"/>
      <c r="AI107" s="12"/>
      <c r="AJ107" s="12"/>
      <c r="AK107" s="12"/>
      <c r="AL107" s="12" t="s">
        <v>88</v>
      </c>
      <c r="AM107" s="12"/>
      <c r="AN107" s="12"/>
      <c r="AO107" s="12"/>
      <c r="AP107" s="12"/>
    </row>
    <row r="108" customFormat="false" ht="30" hidden="false" customHeight="true" outlineLevel="0" collapsed="false">
      <c r="A108" s="12" t="s">
        <v>234</v>
      </c>
      <c r="B108" s="12" t="s">
        <v>204</v>
      </c>
      <c r="C108" s="12"/>
      <c r="D108" s="12" t="s">
        <v>205</v>
      </c>
      <c r="E108" s="12" t="s">
        <v>79</v>
      </c>
      <c r="F108" s="12" t="s">
        <v>146</v>
      </c>
      <c r="G108" s="12" t="n">
        <v>1</v>
      </c>
      <c r="H108" s="12" t="s">
        <v>81</v>
      </c>
      <c r="I108" s="12" t="s">
        <v>82</v>
      </c>
      <c r="J108" s="12"/>
      <c r="K108" s="12"/>
      <c r="L108" s="13" t="s">
        <v>83</v>
      </c>
      <c r="M108" s="13" t="s">
        <v>84</v>
      </c>
      <c r="N108" s="13" t="s">
        <v>85</v>
      </c>
      <c r="O108" s="12"/>
      <c r="P108" s="13"/>
      <c r="Q108" s="12"/>
      <c r="R108" s="12"/>
      <c r="S108" s="12"/>
      <c r="T108" s="12"/>
      <c r="U108" s="12" t="s">
        <v>86</v>
      </c>
      <c r="V108" s="13"/>
      <c r="W108" s="14" t="n">
        <v>25000</v>
      </c>
      <c r="X108" s="14"/>
      <c r="Y108" s="14"/>
      <c r="Z108" s="14"/>
      <c r="AA108" s="15" t="str">
        <f aca="false">IF(COUNT(X108,Y108,Z108)=0,"",SUM(X108,Y108,Z108))</f>
        <v/>
      </c>
      <c r="AB108" s="16" t="str">
        <f aca="false">IFERROR(IF(OR(W108="",AA108=""),"",(W108-AA108)/W108),"")</f>
        <v/>
      </c>
      <c r="AC108" s="17" t="str">
        <f aca="false">IFERROR(IF(OR(AA108="",AA108=0),"",W108/AA108),"")</f>
        <v/>
      </c>
      <c r="AD108" s="12" t="s">
        <v>87</v>
      </c>
      <c r="AE108" s="12" t="s">
        <v>88</v>
      </c>
      <c r="AF108" s="12"/>
      <c r="AG108" s="12"/>
      <c r="AH108" s="12"/>
      <c r="AI108" s="12"/>
      <c r="AJ108" s="12"/>
      <c r="AK108" s="12"/>
      <c r="AL108" s="12" t="s">
        <v>88</v>
      </c>
      <c r="AM108" s="12"/>
      <c r="AN108" s="12"/>
      <c r="AO108" s="12"/>
      <c r="AP108" s="12"/>
    </row>
    <row r="109" customFormat="false" ht="30" hidden="false" customHeight="true" outlineLevel="0" collapsed="false">
      <c r="A109" s="12" t="s">
        <v>235</v>
      </c>
      <c r="B109" s="12" t="s">
        <v>204</v>
      </c>
      <c r="C109" s="12"/>
      <c r="D109" s="12" t="s">
        <v>205</v>
      </c>
      <c r="E109" s="12" t="s">
        <v>79</v>
      </c>
      <c r="F109" s="12" t="s">
        <v>148</v>
      </c>
      <c r="G109" s="12" t="n">
        <v>1</v>
      </c>
      <c r="H109" s="12" t="s">
        <v>81</v>
      </c>
      <c r="I109" s="12" t="s">
        <v>82</v>
      </c>
      <c r="J109" s="12"/>
      <c r="K109" s="12"/>
      <c r="L109" s="13" t="s">
        <v>83</v>
      </c>
      <c r="M109" s="13" t="s">
        <v>84</v>
      </c>
      <c r="N109" s="13" t="s">
        <v>85</v>
      </c>
      <c r="O109" s="12"/>
      <c r="P109" s="13"/>
      <c r="Q109" s="12"/>
      <c r="R109" s="12"/>
      <c r="S109" s="12"/>
      <c r="T109" s="12"/>
      <c r="U109" s="12" t="s">
        <v>86</v>
      </c>
      <c r="V109" s="13"/>
      <c r="W109" s="14" t="n">
        <v>25000</v>
      </c>
      <c r="X109" s="14"/>
      <c r="Y109" s="14"/>
      <c r="Z109" s="14"/>
      <c r="AA109" s="15" t="str">
        <f aca="false">IF(COUNT(X109,Y109,Z109)=0,"",SUM(X109,Y109,Z109))</f>
        <v/>
      </c>
      <c r="AB109" s="16" t="str">
        <f aca="false">IFERROR(IF(OR(W109="",AA109=""),"",(W109-AA109)/W109),"")</f>
        <v/>
      </c>
      <c r="AC109" s="17" t="str">
        <f aca="false">IFERROR(IF(OR(AA109="",AA109=0),"",W109/AA109),"")</f>
        <v/>
      </c>
      <c r="AD109" s="12" t="s">
        <v>87</v>
      </c>
      <c r="AE109" s="12" t="s">
        <v>88</v>
      </c>
      <c r="AF109" s="12"/>
      <c r="AG109" s="12"/>
      <c r="AH109" s="12"/>
      <c r="AI109" s="12"/>
      <c r="AJ109" s="12"/>
      <c r="AK109" s="12"/>
      <c r="AL109" s="12" t="s">
        <v>88</v>
      </c>
      <c r="AM109" s="12"/>
      <c r="AN109" s="12"/>
      <c r="AO109" s="12"/>
      <c r="AP109" s="12"/>
    </row>
    <row r="110" customFormat="false" ht="30" hidden="false" customHeight="true" outlineLevel="0" collapsed="false">
      <c r="A110" s="12" t="s">
        <v>236</v>
      </c>
      <c r="B110" s="12" t="s">
        <v>204</v>
      </c>
      <c r="C110" s="12"/>
      <c r="D110" s="12" t="s">
        <v>205</v>
      </c>
      <c r="E110" s="12" t="s">
        <v>79</v>
      </c>
      <c r="F110" s="12" t="s">
        <v>150</v>
      </c>
      <c r="G110" s="12" t="n">
        <v>1</v>
      </c>
      <c r="H110" s="12" t="s">
        <v>81</v>
      </c>
      <c r="I110" s="12" t="s">
        <v>82</v>
      </c>
      <c r="J110" s="12"/>
      <c r="K110" s="12"/>
      <c r="L110" s="13" t="s">
        <v>83</v>
      </c>
      <c r="M110" s="13" t="s">
        <v>84</v>
      </c>
      <c r="N110" s="13" t="s">
        <v>85</v>
      </c>
      <c r="O110" s="12"/>
      <c r="P110" s="13"/>
      <c r="Q110" s="12"/>
      <c r="R110" s="12"/>
      <c r="S110" s="12"/>
      <c r="T110" s="12"/>
      <c r="U110" s="12" t="s">
        <v>86</v>
      </c>
      <c r="V110" s="13"/>
      <c r="W110" s="14" t="n">
        <v>25000</v>
      </c>
      <c r="X110" s="14"/>
      <c r="Y110" s="14"/>
      <c r="Z110" s="14"/>
      <c r="AA110" s="15" t="str">
        <f aca="false">IF(COUNT(X110,Y110,Z110)=0,"",SUM(X110,Y110,Z110))</f>
        <v/>
      </c>
      <c r="AB110" s="16" t="str">
        <f aca="false">IFERROR(IF(OR(W110="",AA110=""),"",(W110-AA110)/W110),"")</f>
        <v/>
      </c>
      <c r="AC110" s="17" t="str">
        <f aca="false">IFERROR(IF(OR(AA110="",AA110=0),"",W110/AA110),"")</f>
        <v/>
      </c>
      <c r="AD110" s="12" t="s">
        <v>87</v>
      </c>
      <c r="AE110" s="12" t="s">
        <v>88</v>
      </c>
      <c r="AF110" s="12"/>
      <c r="AG110" s="12"/>
      <c r="AH110" s="12"/>
      <c r="AI110" s="12"/>
      <c r="AJ110" s="12"/>
      <c r="AK110" s="12"/>
      <c r="AL110" s="12" t="s">
        <v>88</v>
      </c>
      <c r="AM110" s="12"/>
      <c r="AN110" s="12"/>
      <c r="AO110" s="12"/>
      <c r="AP110" s="12"/>
    </row>
    <row r="111" customFormat="false" ht="30" hidden="false" customHeight="true" outlineLevel="0" collapsed="false">
      <c r="A111" s="12" t="s">
        <v>237</v>
      </c>
      <c r="B111" s="12" t="s">
        <v>204</v>
      </c>
      <c r="C111" s="12"/>
      <c r="D111" s="12" t="s">
        <v>205</v>
      </c>
      <c r="E111" s="12" t="s">
        <v>79</v>
      </c>
      <c r="F111" s="12" t="s">
        <v>152</v>
      </c>
      <c r="G111" s="12" t="n">
        <v>1</v>
      </c>
      <c r="H111" s="12" t="s">
        <v>81</v>
      </c>
      <c r="I111" s="12" t="s">
        <v>82</v>
      </c>
      <c r="J111" s="12"/>
      <c r="K111" s="12"/>
      <c r="L111" s="13" t="s">
        <v>83</v>
      </c>
      <c r="M111" s="13" t="s">
        <v>84</v>
      </c>
      <c r="N111" s="13" t="s">
        <v>85</v>
      </c>
      <c r="O111" s="12"/>
      <c r="P111" s="13"/>
      <c r="Q111" s="12"/>
      <c r="R111" s="12"/>
      <c r="S111" s="12"/>
      <c r="T111" s="12"/>
      <c r="U111" s="12" t="s">
        <v>86</v>
      </c>
      <c r="V111" s="13"/>
      <c r="W111" s="14" t="n">
        <v>25000</v>
      </c>
      <c r="X111" s="14"/>
      <c r="Y111" s="14"/>
      <c r="Z111" s="14"/>
      <c r="AA111" s="15" t="str">
        <f aca="false">IF(COUNT(X111,Y111,Z111)=0,"",SUM(X111,Y111,Z111))</f>
        <v/>
      </c>
      <c r="AB111" s="16" t="str">
        <f aca="false">IFERROR(IF(OR(W111="",AA111=""),"",(W111-AA111)/W111),"")</f>
        <v/>
      </c>
      <c r="AC111" s="17" t="str">
        <f aca="false">IFERROR(IF(OR(AA111="",AA111=0),"",W111/AA111),"")</f>
        <v/>
      </c>
      <c r="AD111" s="12" t="s">
        <v>87</v>
      </c>
      <c r="AE111" s="12" t="s">
        <v>88</v>
      </c>
      <c r="AF111" s="12"/>
      <c r="AG111" s="12"/>
      <c r="AH111" s="12"/>
      <c r="AI111" s="12"/>
      <c r="AJ111" s="12"/>
      <c r="AK111" s="12"/>
      <c r="AL111" s="12" t="s">
        <v>88</v>
      </c>
      <c r="AM111" s="12"/>
      <c r="AN111" s="12"/>
      <c r="AO111" s="12"/>
      <c r="AP111" s="12"/>
    </row>
    <row r="112" customFormat="false" ht="30" hidden="false" customHeight="true" outlineLevel="0" collapsed="false">
      <c r="A112" s="12" t="s">
        <v>238</v>
      </c>
      <c r="B112" s="12" t="s">
        <v>204</v>
      </c>
      <c r="C112" s="12"/>
      <c r="D112" s="12" t="s">
        <v>205</v>
      </c>
      <c r="E112" s="12" t="s">
        <v>79</v>
      </c>
      <c r="F112" s="12" t="s">
        <v>154</v>
      </c>
      <c r="G112" s="12" t="n">
        <v>1</v>
      </c>
      <c r="H112" s="12" t="s">
        <v>81</v>
      </c>
      <c r="I112" s="12" t="s">
        <v>82</v>
      </c>
      <c r="J112" s="12"/>
      <c r="K112" s="12"/>
      <c r="L112" s="13" t="s">
        <v>83</v>
      </c>
      <c r="M112" s="13" t="s">
        <v>84</v>
      </c>
      <c r="N112" s="13" t="s">
        <v>85</v>
      </c>
      <c r="O112" s="12"/>
      <c r="P112" s="13"/>
      <c r="Q112" s="12"/>
      <c r="R112" s="12"/>
      <c r="S112" s="12"/>
      <c r="T112" s="12"/>
      <c r="U112" s="12" t="s">
        <v>86</v>
      </c>
      <c r="V112" s="13"/>
      <c r="W112" s="14" t="n">
        <v>25000</v>
      </c>
      <c r="X112" s="14"/>
      <c r="Y112" s="14"/>
      <c r="Z112" s="14"/>
      <c r="AA112" s="15" t="str">
        <f aca="false">IF(COUNT(X112,Y112,Z112)=0,"",SUM(X112,Y112,Z112))</f>
        <v/>
      </c>
      <c r="AB112" s="16" t="str">
        <f aca="false">IFERROR(IF(OR(W112="",AA112=""),"",(W112-AA112)/W112),"")</f>
        <v/>
      </c>
      <c r="AC112" s="17" t="str">
        <f aca="false">IFERROR(IF(OR(AA112="",AA112=0),"",W112/AA112),"")</f>
        <v/>
      </c>
      <c r="AD112" s="12" t="s">
        <v>87</v>
      </c>
      <c r="AE112" s="12" t="s">
        <v>88</v>
      </c>
      <c r="AF112" s="12"/>
      <c r="AG112" s="12"/>
      <c r="AH112" s="12"/>
      <c r="AI112" s="12"/>
      <c r="AJ112" s="12"/>
      <c r="AK112" s="12"/>
      <c r="AL112" s="12" t="s">
        <v>88</v>
      </c>
      <c r="AM112" s="12"/>
      <c r="AN112" s="12"/>
      <c r="AO112" s="12"/>
      <c r="AP112" s="12"/>
    </row>
    <row r="113" customFormat="false" ht="30" hidden="false" customHeight="true" outlineLevel="0" collapsed="false">
      <c r="A113" s="12" t="s">
        <v>239</v>
      </c>
      <c r="B113" s="12" t="s">
        <v>204</v>
      </c>
      <c r="C113" s="12"/>
      <c r="D113" s="12" t="s">
        <v>205</v>
      </c>
      <c r="E113" s="12" t="s">
        <v>79</v>
      </c>
      <c r="F113" s="12" t="s">
        <v>156</v>
      </c>
      <c r="G113" s="12" t="n">
        <v>1</v>
      </c>
      <c r="H113" s="12" t="s">
        <v>81</v>
      </c>
      <c r="I113" s="12" t="s">
        <v>82</v>
      </c>
      <c r="J113" s="12"/>
      <c r="K113" s="12"/>
      <c r="L113" s="13" t="s">
        <v>83</v>
      </c>
      <c r="M113" s="13" t="s">
        <v>84</v>
      </c>
      <c r="N113" s="13" t="s">
        <v>85</v>
      </c>
      <c r="O113" s="12"/>
      <c r="P113" s="13"/>
      <c r="Q113" s="12"/>
      <c r="R113" s="12"/>
      <c r="S113" s="12"/>
      <c r="T113" s="12"/>
      <c r="U113" s="12" t="s">
        <v>86</v>
      </c>
      <c r="V113" s="13"/>
      <c r="W113" s="14" t="n">
        <v>25000</v>
      </c>
      <c r="X113" s="14"/>
      <c r="Y113" s="14"/>
      <c r="Z113" s="14"/>
      <c r="AA113" s="15" t="str">
        <f aca="false">IF(COUNT(X113,Y113,Z113)=0,"",SUM(X113,Y113,Z113))</f>
        <v/>
      </c>
      <c r="AB113" s="16" t="str">
        <f aca="false">IFERROR(IF(OR(W113="",AA113=""),"",(W113-AA113)/W113),"")</f>
        <v/>
      </c>
      <c r="AC113" s="17" t="str">
        <f aca="false">IFERROR(IF(OR(AA113="",AA113=0),"",W113/AA113),"")</f>
        <v/>
      </c>
      <c r="AD113" s="12" t="s">
        <v>87</v>
      </c>
      <c r="AE113" s="12" t="s">
        <v>88</v>
      </c>
      <c r="AF113" s="12"/>
      <c r="AG113" s="12"/>
      <c r="AH113" s="12"/>
      <c r="AI113" s="12"/>
      <c r="AJ113" s="12"/>
      <c r="AK113" s="12"/>
      <c r="AL113" s="12" t="s">
        <v>88</v>
      </c>
      <c r="AM113" s="12"/>
      <c r="AN113" s="12"/>
      <c r="AO113" s="12"/>
      <c r="AP113" s="12"/>
    </row>
    <row r="114" customFormat="false" ht="30" hidden="false" customHeight="true" outlineLevel="0" collapsed="false">
      <c r="A114" s="12" t="s">
        <v>240</v>
      </c>
      <c r="B114" s="12" t="s">
        <v>204</v>
      </c>
      <c r="C114" s="12"/>
      <c r="D114" s="12" t="s">
        <v>205</v>
      </c>
      <c r="E114" s="12" t="s">
        <v>79</v>
      </c>
      <c r="F114" s="12" t="s">
        <v>158</v>
      </c>
      <c r="G114" s="12" t="n">
        <v>1</v>
      </c>
      <c r="H114" s="12" t="s">
        <v>81</v>
      </c>
      <c r="I114" s="12" t="s">
        <v>82</v>
      </c>
      <c r="J114" s="12"/>
      <c r="K114" s="12"/>
      <c r="L114" s="13" t="s">
        <v>83</v>
      </c>
      <c r="M114" s="13" t="s">
        <v>84</v>
      </c>
      <c r="N114" s="13" t="s">
        <v>85</v>
      </c>
      <c r="O114" s="12"/>
      <c r="P114" s="13"/>
      <c r="Q114" s="12"/>
      <c r="R114" s="12"/>
      <c r="S114" s="12"/>
      <c r="T114" s="12"/>
      <c r="U114" s="12" t="s">
        <v>86</v>
      </c>
      <c r="V114" s="13"/>
      <c r="W114" s="14" t="n">
        <v>25000</v>
      </c>
      <c r="X114" s="14"/>
      <c r="Y114" s="14"/>
      <c r="Z114" s="14"/>
      <c r="AA114" s="15" t="str">
        <f aca="false">IF(COUNT(X114,Y114,Z114)=0,"",SUM(X114,Y114,Z114))</f>
        <v/>
      </c>
      <c r="AB114" s="16" t="str">
        <f aca="false">IFERROR(IF(OR(W114="",AA114=""),"",(W114-AA114)/W114),"")</f>
        <v/>
      </c>
      <c r="AC114" s="17" t="str">
        <f aca="false">IFERROR(IF(OR(AA114="",AA114=0),"",W114/AA114),"")</f>
        <v/>
      </c>
      <c r="AD114" s="12" t="s">
        <v>87</v>
      </c>
      <c r="AE114" s="12" t="s">
        <v>88</v>
      </c>
      <c r="AF114" s="12"/>
      <c r="AG114" s="12"/>
      <c r="AH114" s="12"/>
      <c r="AI114" s="12"/>
      <c r="AJ114" s="12"/>
      <c r="AK114" s="12"/>
      <c r="AL114" s="12" t="s">
        <v>88</v>
      </c>
      <c r="AM114" s="12"/>
      <c r="AN114" s="12"/>
      <c r="AO114" s="12"/>
      <c r="AP114" s="12"/>
    </row>
    <row r="115" customFormat="false" ht="30" hidden="false" customHeight="true" outlineLevel="0" collapsed="false">
      <c r="A115" s="12" t="s">
        <v>241</v>
      </c>
      <c r="B115" s="12" t="s">
        <v>204</v>
      </c>
      <c r="C115" s="12"/>
      <c r="D115" s="12" t="s">
        <v>205</v>
      </c>
      <c r="E115" s="12" t="s">
        <v>79</v>
      </c>
      <c r="F115" s="12" t="s">
        <v>160</v>
      </c>
      <c r="G115" s="12" t="n">
        <v>1</v>
      </c>
      <c r="H115" s="12" t="s">
        <v>81</v>
      </c>
      <c r="I115" s="12" t="s">
        <v>82</v>
      </c>
      <c r="J115" s="12"/>
      <c r="K115" s="12"/>
      <c r="L115" s="13" t="s">
        <v>83</v>
      </c>
      <c r="M115" s="13" t="s">
        <v>84</v>
      </c>
      <c r="N115" s="13" t="s">
        <v>85</v>
      </c>
      <c r="O115" s="12"/>
      <c r="P115" s="13"/>
      <c r="Q115" s="12"/>
      <c r="R115" s="12"/>
      <c r="S115" s="12"/>
      <c r="T115" s="12"/>
      <c r="U115" s="12" t="s">
        <v>86</v>
      </c>
      <c r="V115" s="13"/>
      <c r="W115" s="14" t="n">
        <v>25000</v>
      </c>
      <c r="X115" s="14"/>
      <c r="Y115" s="14"/>
      <c r="Z115" s="14"/>
      <c r="AA115" s="15" t="str">
        <f aca="false">IF(COUNT(X115,Y115,Z115)=0,"",SUM(X115,Y115,Z115))</f>
        <v/>
      </c>
      <c r="AB115" s="16" t="str">
        <f aca="false">IFERROR(IF(OR(W115="",AA115=""),"",(W115-AA115)/W115),"")</f>
        <v/>
      </c>
      <c r="AC115" s="17" t="str">
        <f aca="false">IFERROR(IF(OR(AA115="",AA115=0),"",W115/AA115),"")</f>
        <v/>
      </c>
      <c r="AD115" s="12" t="s">
        <v>87</v>
      </c>
      <c r="AE115" s="12" t="s">
        <v>88</v>
      </c>
      <c r="AF115" s="12"/>
      <c r="AG115" s="12"/>
      <c r="AH115" s="12"/>
      <c r="AI115" s="12"/>
      <c r="AJ115" s="12"/>
      <c r="AK115" s="12"/>
      <c r="AL115" s="12" t="s">
        <v>88</v>
      </c>
      <c r="AM115" s="12"/>
      <c r="AN115" s="12"/>
      <c r="AO115" s="12"/>
      <c r="AP115" s="12"/>
    </row>
    <row r="116" customFormat="false" ht="30" hidden="false" customHeight="true" outlineLevel="0" collapsed="false">
      <c r="A116" s="12" t="s">
        <v>242</v>
      </c>
      <c r="B116" s="12" t="s">
        <v>204</v>
      </c>
      <c r="C116" s="12"/>
      <c r="D116" s="12" t="s">
        <v>205</v>
      </c>
      <c r="E116" s="12" t="s">
        <v>79</v>
      </c>
      <c r="F116" s="12" t="s">
        <v>162</v>
      </c>
      <c r="G116" s="12" t="n">
        <v>1</v>
      </c>
      <c r="H116" s="12" t="s">
        <v>81</v>
      </c>
      <c r="I116" s="12" t="s">
        <v>82</v>
      </c>
      <c r="J116" s="12"/>
      <c r="K116" s="12"/>
      <c r="L116" s="13" t="s">
        <v>83</v>
      </c>
      <c r="M116" s="13" t="s">
        <v>84</v>
      </c>
      <c r="N116" s="13" t="s">
        <v>85</v>
      </c>
      <c r="O116" s="12"/>
      <c r="P116" s="13"/>
      <c r="Q116" s="12"/>
      <c r="R116" s="12"/>
      <c r="S116" s="12"/>
      <c r="T116" s="12"/>
      <c r="U116" s="12" t="s">
        <v>86</v>
      </c>
      <c r="V116" s="13"/>
      <c r="W116" s="14" t="n">
        <v>25000</v>
      </c>
      <c r="X116" s="14"/>
      <c r="Y116" s="14"/>
      <c r="Z116" s="14"/>
      <c r="AA116" s="15" t="str">
        <f aca="false">IF(COUNT(X116,Y116,Z116)=0,"",SUM(X116,Y116,Z116))</f>
        <v/>
      </c>
      <c r="AB116" s="16" t="str">
        <f aca="false">IFERROR(IF(OR(W116="",AA116=""),"",(W116-AA116)/W116),"")</f>
        <v/>
      </c>
      <c r="AC116" s="17" t="str">
        <f aca="false">IFERROR(IF(OR(AA116="",AA116=0),"",W116/AA116),"")</f>
        <v/>
      </c>
      <c r="AD116" s="12" t="s">
        <v>87</v>
      </c>
      <c r="AE116" s="12" t="s">
        <v>88</v>
      </c>
      <c r="AF116" s="12"/>
      <c r="AG116" s="12"/>
      <c r="AH116" s="12"/>
      <c r="AI116" s="12"/>
      <c r="AJ116" s="12"/>
      <c r="AK116" s="12"/>
      <c r="AL116" s="12" t="s">
        <v>88</v>
      </c>
      <c r="AM116" s="12"/>
      <c r="AN116" s="12"/>
      <c r="AO116" s="12"/>
      <c r="AP116" s="12"/>
    </row>
    <row r="117" customFormat="false" ht="30" hidden="false" customHeight="true" outlineLevel="0" collapsed="false">
      <c r="A117" s="12" t="s">
        <v>243</v>
      </c>
      <c r="B117" s="12" t="s">
        <v>244</v>
      </c>
      <c r="C117" s="12"/>
      <c r="D117" s="12" t="s">
        <v>245</v>
      </c>
      <c r="E117" s="12" t="s">
        <v>246</v>
      </c>
      <c r="F117" s="12"/>
      <c r="G117" s="12" t="n">
        <v>5</v>
      </c>
      <c r="H117" s="12" t="s">
        <v>247</v>
      </c>
      <c r="I117" s="12" t="s">
        <v>248</v>
      </c>
      <c r="J117" s="12"/>
      <c r="K117" s="12"/>
      <c r="L117" s="13" t="s">
        <v>83</v>
      </c>
      <c r="M117" s="13" t="s">
        <v>84</v>
      </c>
      <c r="N117" s="13" t="s">
        <v>85</v>
      </c>
      <c r="O117" s="12"/>
      <c r="P117" s="13"/>
      <c r="Q117" s="12"/>
      <c r="R117" s="12"/>
      <c r="S117" s="12"/>
      <c r="T117" s="12"/>
      <c r="U117" s="12" t="s">
        <v>86</v>
      </c>
      <c r="V117" s="13"/>
      <c r="W117" s="14" t="n">
        <v>13000</v>
      </c>
      <c r="X117" s="14"/>
      <c r="Y117" s="14"/>
      <c r="Z117" s="14"/>
      <c r="AA117" s="15" t="str">
        <f aca="false">IF(COUNT(X117,Y117,Z117)=0,"",SUM(X117,Y117,Z117))</f>
        <v/>
      </c>
      <c r="AB117" s="16" t="str">
        <f aca="false">IFERROR(IF(OR(W117="",AA117=""),"",(W117-AA117)/W117),"")</f>
        <v/>
      </c>
      <c r="AC117" s="17" t="str">
        <f aca="false">IFERROR(IF(OR(AA117="",AA117=0),"",W117/AA117),"")</f>
        <v/>
      </c>
      <c r="AD117" s="12" t="s">
        <v>87</v>
      </c>
      <c r="AE117" s="12" t="s">
        <v>88</v>
      </c>
      <c r="AF117" s="12"/>
      <c r="AG117" s="12"/>
      <c r="AH117" s="12"/>
      <c r="AI117" s="12"/>
      <c r="AJ117" s="12"/>
      <c r="AK117" s="12"/>
      <c r="AL117" s="12" t="s">
        <v>88</v>
      </c>
      <c r="AM117" s="12"/>
      <c r="AN117" s="12"/>
      <c r="AO117" s="12"/>
      <c r="AP117" s="12"/>
    </row>
    <row r="118" customFormat="false" ht="30" hidden="false" customHeight="true" outlineLevel="0" collapsed="false">
      <c r="A118" s="12" t="s">
        <v>249</v>
      </c>
      <c r="B118" s="12" t="s">
        <v>244</v>
      </c>
      <c r="C118" s="12"/>
      <c r="D118" s="12" t="s">
        <v>245</v>
      </c>
      <c r="E118" s="12" t="s">
        <v>246</v>
      </c>
      <c r="F118" s="12"/>
      <c r="G118" s="12" t="n">
        <v>4</v>
      </c>
      <c r="H118" s="12" t="s">
        <v>247</v>
      </c>
      <c r="I118" s="12" t="s">
        <v>248</v>
      </c>
      <c r="J118" s="12"/>
      <c r="K118" s="12"/>
      <c r="L118" s="13" t="s">
        <v>83</v>
      </c>
      <c r="M118" s="13" t="s">
        <v>84</v>
      </c>
      <c r="N118" s="13" t="s">
        <v>85</v>
      </c>
      <c r="O118" s="12"/>
      <c r="P118" s="13"/>
      <c r="Q118" s="12"/>
      <c r="R118" s="12"/>
      <c r="S118" s="12"/>
      <c r="T118" s="12"/>
      <c r="U118" s="12" t="s">
        <v>86</v>
      </c>
      <c r="V118" s="13"/>
      <c r="W118" s="14" t="n">
        <v>27000</v>
      </c>
      <c r="X118" s="14"/>
      <c r="Y118" s="14"/>
      <c r="Z118" s="14"/>
      <c r="AA118" s="15" t="str">
        <f aca="false">IF(COUNT(X118,Y118,Z118)=0,"",SUM(X118,Y118,Z118))</f>
        <v/>
      </c>
      <c r="AB118" s="16" t="str">
        <f aca="false">IFERROR(IF(OR(W118="",AA118=""),"",(W118-AA118)/W118),"")</f>
        <v/>
      </c>
      <c r="AC118" s="17" t="str">
        <f aca="false">IFERROR(IF(OR(AA118="",AA118=0),"",W118/AA118),"")</f>
        <v/>
      </c>
      <c r="AD118" s="12" t="s">
        <v>87</v>
      </c>
      <c r="AE118" s="12" t="s">
        <v>88</v>
      </c>
      <c r="AF118" s="12"/>
      <c r="AG118" s="12"/>
      <c r="AH118" s="12"/>
      <c r="AI118" s="12"/>
      <c r="AJ118" s="12"/>
      <c r="AK118" s="12"/>
      <c r="AL118" s="12" t="s">
        <v>88</v>
      </c>
      <c r="AM118" s="12"/>
      <c r="AN118" s="12"/>
      <c r="AO118" s="12"/>
      <c r="AP118" s="12"/>
    </row>
    <row r="119" customFormat="false" ht="30" hidden="false" customHeight="true" outlineLevel="0" collapsed="false">
      <c r="A119" s="12" t="s">
        <v>250</v>
      </c>
      <c r="B119" s="12" t="s">
        <v>251</v>
      </c>
      <c r="C119" s="12"/>
      <c r="D119" s="12" t="s">
        <v>245</v>
      </c>
      <c r="E119" s="12" t="s">
        <v>252</v>
      </c>
      <c r="F119" s="12"/>
      <c r="G119" s="12" t="n">
        <v>5</v>
      </c>
      <c r="H119" s="12" t="s">
        <v>253</v>
      </c>
      <c r="I119" s="12" t="s">
        <v>254</v>
      </c>
      <c r="J119" s="12"/>
      <c r="K119" s="12"/>
      <c r="L119" s="13" t="s">
        <v>83</v>
      </c>
      <c r="M119" s="13" t="s">
        <v>84</v>
      </c>
      <c r="N119" s="13" t="s">
        <v>85</v>
      </c>
      <c r="O119" s="12"/>
      <c r="P119" s="13"/>
      <c r="Q119" s="12"/>
      <c r="R119" s="12"/>
      <c r="S119" s="12"/>
      <c r="T119" s="12"/>
      <c r="U119" s="12" t="s">
        <v>86</v>
      </c>
      <c r="V119" s="13"/>
      <c r="W119" s="14" t="n">
        <v>13000</v>
      </c>
      <c r="X119" s="14"/>
      <c r="Y119" s="14"/>
      <c r="Z119" s="14"/>
      <c r="AA119" s="15" t="str">
        <f aca="false">IF(COUNT(X119,Y119,Z119)=0,"",SUM(X119,Y119,Z119))</f>
        <v/>
      </c>
      <c r="AB119" s="16" t="str">
        <f aca="false">IFERROR(IF(OR(W119="",AA119=""),"",(W119-AA119)/W119),"")</f>
        <v/>
      </c>
      <c r="AC119" s="17" t="str">
        <f aca="false">IFERROR(IF(OR(AA119="",AA119=0),"",W119/AA119),"")</f>
        <v/>
      </c>
      <c r="AD119" s="12" t="s">
        <v>87</v>
      </c>
      <c r="AE119" s="12" t="s">
        <v>88</v>
      </c>
      <c r="AF119" s="12"/>
      <c r="AG119" s="12"/>
      <c r="AH119" s="12"/>
      <c r="AI119" s="12"/>
      <c r="AJ119" s="12"/>
      <c r="AK119" s="12"/>
      <c r="AL119" s="12" t="s">
        <v>88</v>
      </c>
      <c r="AM119" s="12"/>
      <c r="AN119" s="12"/>
      <c r="AO119" s="12"/>
      <c r="AP119" s="12"/>
    </row>
    <row r="120" customFormat="false" ht="30" hidden="false" customHeight="true" outlineLevel="0" collapsed="false">
      <c r="A120" s="12" t="s">
        <v>255</v>
      </c>
      <c r="B120" s="12" t="s">
        <v>251</v>
      </c>
      <c r="C120" s="12"/>
      <c r="D120" s="12" t="s">
        <v>245</v>
      </c>
      <c r="E120" s="12" t="s">
        <v>252</v>
      </c>
      <c r="F120" s="12"/>
      <c r="G120" s="12" t="n">
        <v>4</v>
      </c>
      <c r="H120" s="12" t="s">
        <v>253</v>
      </c>
      <c r="I120" s="12" t="s">
        <v>254</v>
      </c>
      <c r="J120" s="12"/>
      <c r="K120" s="12"/>
      <c r="L120" s="13" t="s">
        <v>83</v>
      </c>
      <c r="M120" s="13" t="s">
        <v>84</v>
      </c>
      <c r="N120" s="13" t="s">
        <v>85</v>
      </c>
      <c r="O120" s="12"/>
      <c r="P120" s="13"/>
      <c r="Q120" s="12"/>
      <c r="R120" s="12"/>
      <c r="S120" s="12"/>
      <c r="T120" s="12"/>
      <c r="U120" s="12" t="s">
        <v>86</v>
      </c>
      <c r="V120" s="13"/>
      <c r="W120" s="14" t="n">
        <v>27000</v>
      </c>
      <c r="X120" s="14"/>
      <c r="Y120" s="14"/>
      <c r="Z120" s="14"/>
      <c r="AA120" s="15" t="str">
        <f aca="false">IF(COUNT(X120,Y120,Z120)=0,"",SUM(X120,Y120,Z120))</f>
        <v/>
      </c>
      <c r="AB120" s="16" t="str">
        <f aca="false">IFERROR(IF(OR(W120="",AA120=""),"",(W120-AA120)/W120),"")</f>
        <v/>
      </c>
      <c r="AC120" s="17" t="str">
        <f aca="false">IFERROR(IF(OR(AA120="",AA120=0),"",W120/AA120),"")</f>
        <v/>
      </c>
      <c r="AD120" s="12" t="s">
        <v>87</v>
      </c>
      <c r="AE120" s="12" t="s">
        <v>88</v>
      </c>
      <c r="AF120" s="12"/>
      <c r="AG120" s="12"/>
      <c r="AH120" s="12"/>
      <c r="AI120" s="12"/>
      <c r="AJ120" s="12"/>
      <c r="AK120" s="12"/>
      <c r="AL120" s="12" t="s">
        <v>88</v>
      </c>
      <c r="AM120" s="12"/>
      <c r="AN120" s="12"/>
      <c r="AO120" s="12"/>
      <c r="AP120" s="12"/>
    </row>
    <row r="121" customFormat="false" ht="30" hidden="false" customHeight="true" outlineLevel="0" collapsed="false">
      <c r="A121" s="12" t="s">
        <v>256</v>
      </c>
      <c r="B121" s="12" t="s">
        <v>257</v>
      </c>
      <c r="C121" s="12"/>
      <c r="D121" s="12" t="s">
        <v>245</v>
      </c>
      <c r="E121" s="12" t="s">
        <v>258</v>
      </c>
      <c r="F121" s="12"/>
      <c r="G121" s="12" t="n">
        <v>6</v>
      </c>
      <c r="H121" s="12" t="s">
        <v>259</v>
      </c>
      <c r="I121" s="12" t="s">
        <v>260</v>
      </c>
      <c r="J121" s="12"/>
      <c r="K121" s="12"/>
      <c r="L121" s="13" t="s">
        <v>83</v>
      </c>
      <c r="M121" s="13" t="s">
        <v>84</v>
      </c>
      <c r="N121" s="13" t="s">
        <v>85</v>
      </c>
      <c r="O121" s="12"/>
      <c r="P121" s="13"/>
      <c r="Q121" s="12"/>
      <c r="R121" s="12"/>
      <c r="S121" s="12"/>
      <c r="T121" s="12"/>
      <c r="U121" s="12" t="s">
        <v>86</v>
      </c>
      <c r="V121" s="13"/>
      <c r="W121" s="14" t="n">
        <v>13000</v>
      </c>
      <c r="X121" s="14"/>
      <c r="Y121" s="14"/>
      <c r="Z121" s="14"/>
      <c r="AA121" s="15" t="str">
        <f aca="false">IF(COUNT(X121,Y121,Z121)=0,"",SUM(X121,Y121,Z121))</f>
        <v/>
      </c>
      <c r="AB121" s="16" t="str">
        <f aca="false">IFERROR(IF(OR(W121="",AA121=""),"",(W121-AA121)/W121),"")</f>
        <v/>
      </c>
      <c r="AC121" s="17" t="str">
        <f aca="false">IFERROR(IF(OR(AA121="",AA121=0),"",W121/AA121),"")</f>
        <v/>
      </c>
      <c r="AD121" s="12" t="s">
        <v>87</v>
      </c>
      <c r="AE121" s="12" t="s">
        <v>88</v>
      </c>
      <c r="AF121" s="12"/>
      <c r="AG121" s="12"/>
      <c r="AH121" s="12"/>
      <c r="AI121" s="12"/>
      <c r="AJ121" s="12"/>
      <c r="AK121" s="12"/>
      <c r="AL121" s="12" t="s">
        <v>88</v>
      </c>
      <c r="AM121" s="12"/>
      <c r="AN121" s="12"/>
      <c r="AO121" s="12"/>
      <c r="AP121" s="12"/>
    </row>
    <row r="122" customFormat="false" ht="30" hidden="false" customHeight="true" outlineLevel="0" collapsed="false">
      <c r="A122" s="12" t="s">
        <v>261</v>
      </c>
      <c r="B122" s="12" t="s">
        <v>257</v>
      </c>
      <c r="C122" s="12"/>
      <c r="D122" s="12" t="s">
        <v>245</v>
      </c>
      <c r="E122" s="12" t="s">
        <v>258</v>
      </c>
      <c r="F122" s="12"/>
      <c r="G122" s="12" t="n">
        <v>4</v>
      </c>
      <c r="H122" s="12" t="s">
        <v>259</v>
      </c>
      <c r="I122" s="12" t="s">
        <v>260</v>
      </c>
      <c r="J122" s="12"/>
      <c r="K122" s="12"/>
      <c r="L122" s="13" t="s">
        <v>83</v>
      </c>
      <c r="M122" s="13" t="s">
        <v>84</v>
      </c>
      <c r="N122" s="13" t="s">
        <v>85</v>
      </c>
      <c r="O122" s="12"/>
      <c r="P122" s="13"/>
      <c r="Q122" s="12"/>
      <c r="R122" s="12"/>
      <c r="S122" s="12"/>
      <c r="T122" s="12"/>
      <c r="U122" s="12" t="s">
        <v>86</v>
      </c>
      <c r="V122" s="13"/>
      <c r="W122" s="14" t="n">
        <v>27000</v>
      </c>
      <c r="X122" s="14"/>
      <c r="Y122" s="14"/>
      <c r="Z122" s="14"/>
      <c r="AA122" s="15" t="str">
        <f aca="false">IF(COUNT(X122,Y122,Z122)=0,"",SUM(X122,Y122,Z122))</f>
        <v/>
      </c>
      <c r="AB122" s="16" t="str">
        <f aca="false">IFERROR(IF(OR(W122="",AA122=""),"",(W122-AA122)/W122),"")</f>
        <v/>
      </c>
      <c r="AC122" s="17" t="str">
        <f aca="false">IFERROR(IF(OR(AA122="",AA122=0),"",W122/AA122),"")</f>
        <v/>
      </c>
      <c r="AD122" s="12" t="s">
        <v>87</v>
      </c>
      <c r="AE122" s="12" t="s">
        <v>88</v>
      </c>
      <c r="AF122" s="12"/>
      <c r="AG122" s="12"/>
      <c r="AH122" s="12"/>
      <c r="AI122" s="12"/>
      <c r="AJ122" s="12"/>
      <c r="AK122" s="12"/>
      <c r="AL122" s="12" t="s">
        <v>88</v>
      </c>
      <c r="AM122" s="12"/>
      <c r="AN122" s="12"/>
      <c r="AO122" s="12"/>
      <c r="AP122" s="12"/>
    </row>
    <row r="123" customFormat="false" ht="30" hidden="false" customHeight="true" outlineLevel="0" collapsed="false">
      <c r="A123" s="12" t="s">
        <v>262</v>
      </c>
      <c r="B123" s="12" t="s">
        <v>263</v>
      </c>
      <c r="C123" s="12"/>
      <c r="D123" s="12" t="s">
        <v>245</v>
      </c>
      <c r="E123" s="12" t="s">
        <v>264</v>
      </c>
      <c r="F123" s="12"/>
      <c r="G123" s="12" t="n">
        <v>5</v>
      </c>
      <c r="H123" s="12" t="s">
        <v>265</v>
      </c>
      <c r="I123" s="12" t="s">
        <v>266</v>
      </c>
      <c r="J123" s="12"/>
      <c r="K123" s="12"/>
      <c r="L123" s="13" t="s">
        <v>83</v>
      </c>
      <c r="M123" s="13" t="s">
        <v>84</v>
      </c>
      <c r="N123" s="13" t="s">
        <v>85</v>
      </c>
      <c r="O123" s="12"/>
      <c r="P123" s="13"/>
      <c r="Q123" s="12"/>
      <c r="R123" s="12"/>
      <c r="S123" s="12"/>
      <c r="T123" s="12"/>
      <c r="U123" s="12" t="s">
        <v>86</v>
      </c>
      <c r="V123" s="13"/>
      <c r="W123" s="14" t="n">
        <v>13000</v>
      </c>
      <c r="X123" s="14"/>
      <c r="Y123" s="14"/>
      <c r="Z123" s="14"/>
      <c r="AA123" s="15" t="str">
        <f aca="false">IF(COUNT(X123,Y123,Z123)=0,"",SUM(X123,Y123,Z123))</f>
        <v/>
      </c>
      <c r="AB123" s="16" t="str">
        <f aca="false">IFERROR(IF(OR(W123="",AA123=""),"",(W123-AA123)/W123),"")</f>
        <v/>
      </c>
      <c r="AC123" s="17" t="str">
        <f aca="false">IFERROR(IF(OR(AA123="",AA123=0),"",W123/AA123),"")</f>
        <v/>
      </c>
      <c r="AD123" s="12" t="s">
        <v>87</v>
      </c>
      <c r="AE123" s="12" t="s">
        <v>88</v>
      </c>
      <c r="AF123" s="12"/>
      <c r="AG123" s="12"/>
      <c r="AH123" s="12"/>
      <c r="AI123" s="12"/>
      <c r="AJ123" s="12"/>
      <c r="AK123" s="12"/>
      <c r="AL123" s="12" t="s">
        <v>88</v>
      </c>
      <c r="AM123" s="12"/>
      <c r="AN123" s="12"/>
      <c r="AO123" s="12"/>
      <c r="AP123" s="12"/>
    </row>
    <row r="124" customFormat="false" ht="30" hidden="false" customHeight="true" outlineLevel="0" collapsed="false">
      <c r="A124" s="12" t="s">
        <v>267</v>
      </c>
      <c r="B124" s="12" t="s">
        <v>263</v>
      </c>
      <c r="C124" s="12"/>
      <c r="D124" s="12" t="s">
        <v>245</v>
      </c>
      <c r="E124" s="12" t="s">
        <v>264</v>
      </c>
      <c r="F124" s="12"/>
      <c r="G124" s="12" t="n">
        <v>4</v>
      </c>
      <c r="H124" s="12" t="s">
        <v>265</v>
      </c>
      <c r="I124" s="12" t="s">
        <v>266</v>
      </c>
      <c r="J124" s="12"/>
      <c r="K124" s="12"/>
      <c r="L124" s="13" t="s">
        <v>83</v>
      </c>
      <c r="M124" s="13" t="s">
        <v>84</v>
      </c>
      <c r="N124" s="13" t="s">
        <v>85</v>
      </c>
      <c r="O124" s="12"/>
      <c r="P124" s="13"/>
      <c r="Q124" s="12"/>
      <c r="R124" s="12"/>
      <c r="S124" s="12"/>
      <c r="T124" s="12"/>
      <c r="U124" s="12" t="s">
        <v>86</v>
      </c>
      <c r="V124" s="13"/>
      <c r="W124" s="14" t="n">
        <v>27000</v>
      </c>
      <c r="X124" s="14"/>
      <c r="Y124" s="14"/>
      <c r="Z124" s="14"/>
      <c r="AA124" s="15" t="str">
        <f aca="false">IF(COUNT(X124,Y124,Z124)=0,"",SUM(X124,Y124,Z124))</f>
        <v/>
      </c>
      <c r="AB124" s="16" t="str">
        <f aca="false">IFERROR(IF(OR(W124="",AA124=""),"",(W124-AA124)/W124),"")</f>
        <v/>
      </c>
      <c r="AC124" s="17" t="str">
        <f aca="false">IFERROR(IF(OR(AA124="",AA124=0),"",W124/AA124),"")</f>
        <v/>
      </c>
      <c r="AD124" s="12" t="s">
        <v>87</v>
      </c>
      <c r="AE124" s="12" t="s">
        <v>88</v>
      </c>
      <c r="AF124" s="12"/>
      <c r="AG124" s="12"/>
      <c r="AH124" s="12"/>
      <c r="AI124" s="12"/>
      <c r="AJ124" s="12"/>
      <c r="AK124" s="12"/>
      <c r="AL124" s="12" t="s">
        <v>88</v>
      </c>
      <c r="AM124" s="12"/>
      <c r="AN124" s="12"/>
      <c r="AO124" s="12"/>
      <c r="AP124" s="12"/>
    </row>
    <row r="125" customFormat="false" ht="30" hidden="false" customHeight="true" outlineLevel="0" collapsed="false">
      <c r="A125" s="12" t="s">
        <v>268</v>
      </c>
      <c r="B125" s="12" t="s">
        <v>269</v>
      </c>
      <c r="C125" s="12"/>
      <c r="D125" s="12" t="s">
        <v>245</v>
      </c>
      <c r="E125" s="12" t="s">
        <v>270</v>
      </c>
      <c r="F125" s="12"/>
      <c r="G125" s="12" t="n">
        <v>5</v>
      </c>
      <c r="H125" s="12" t="s">
        <v>271</v>
      </c>
      <c r="I125" s="12" t="s">
        <v>272</v>
      </c>
      <c r="J125" s="12"/>
      <c r="K125" s="12"/>
      <c r="L125" s="13" t="s">
        <v>83</v>
      </c>
      <c r="M125" s="13" t="s">
        <v>84</v>
      </c>
      <c r="N125" s="13" t="s">
        <v>85</v>
      </c>
      <c r="O125" s="12"/>
      <c r="P125" s="13"/>
      <c r="Q125" s="12"/>
      <c r="R125" s="12"/>
      <c r="S125" s="12"/>
      <c r="T125" s="12"/>
      <c r="U125" s="12" t="s">
        <v>86</v>
      </c>
      <c r="V125" s="13"/>
      <c r="W125" s="14" t="n">
        <v>13000</v>
      </c>
      <c r="X125" s="14"/>
      <c r="Y125" s="14"/>
      <c r="Z125" s="14"/>
      <c r="AA125" s="15" t="str">
        <f aca="false">IF(COUNT(X125,Y125,Z125)=0,"",SUM(X125,Y125,Z125))</f>
        <v/>
      </c>
      <c r="AB125" s="16" t="str">
        <f aca="false">IFERROR(IF(OR(W125="",AA125=""),"",(W125-AA125)/W125),"")</f>
        <v/>
      </c>
      <c r="AC125" s="17" t="str">
        <f aca="false">IFERROR(IF(OR(AA125="",AA125=0),"",W125/AA125),"")</f>
        <v/>
      </c>
      <c r="AD125" s="12" t="s">
        <v>87</v>
      </c>
      <c r="AE125" s="12" t="s">
        <v>88</v>
      </c>
      <c r="AF125" s="12"/>
      <c r="AG125" s="12"/>
      <c r="AH125" s="12"/>
      <c r="AI125" s="12"/>
      <c r="AJ125" s="12"/>
      <c r="AK125" s="12"/>
      <c r="AL125" s="12" t="s">
        <v>88</v>
      </c>
      <c r="AM125" s="12"/>
      <c r="AN125" s="12"/>
      <c r="AO125" s="12"/>
      <c r="AP125" s="12"/>
    </row>
    <row r="126" customFormat="false" ht="30" hidden="false" customHeight="true" outlineLevel="0" collapsed="false">
      <c r="A126" s="12" t="s">
        <v>273</v>
      </c>
      <c r="B126" s="12" t="s">
        <v>269</v>
      </c>
      <c r="C126" s="12"/>
      <c r="D126" s="12" t="s">
        <v>245</v>
      </c>
      <c r="E126" s="12" t="s">
        <v>270</v>
      </c>
      <c r="F126" s="12"/>
      <c r="G126" s="12" t="n">
        <v>4</v>
      </c>
      <c r="H126" s="12" t="s">
        <v>271</v>
      </c>
      <c r="I126" s="12" t="s">
        <v>272</v>
      </c>
      <c r="J126" s="12"/>
      <c r="K126" s="12"/>
      <c r="L126" s="13" t="s">
        <v>83</v>
      </c>
      <c r="M126" s="13" t="s">
        <v>84</v>
      </c>
      <c r="N126" s="13" t="s">
        <v>85</v>
      </c>
      <c r="O126" s="12"/>
      <c r="P126" s="13"/>
      <c r="Q126" s="12"/>
      <c r="R126" s="12"/>
      <c r="S126" s="12"/>
      <c r="T126" s="12"/>
      <c r="U126" s="12" t="s">
        <v>86</v>
      </c>
      <c r="V126" s="13"/>
      <c r="W126" s="14" t="n">
        <v>27000</v>
      </c>
      <c r="X126" s="14"/>
      <c r="Y126" s="14"/>
      <c r="Z126" s="14"/>
      <c r="AA126" s="15" t="str">
        <f aca="false">IF(COUNT(X126,Y126,Z126)=0,"",SUM(X126,Y126,Z126))</f>
        <v/>
      </c>
      <c r="AB126" s="16" t="str">
        <f aca="false">IFERROR(IF(OR(W126="",AA126=""),"",(W126-AA126)/W126),"")</f>
        <v/>
      </c>
      <c r="AC126" s="17" t="str">
        <f aca="false">IFERROR(IF(OR(AA126="",AA126=0),"",W126/AA126),"")</f>
        <v/>
      </c>
      <c r="AD126" s="12" t="s">
        <v>87</v>
      </c>
      <c r="AE126" s="12" t="s">
        <v>88</v>
      </c>
      <c r="AF126" s="12"/>
      <c r="AG126" s="12"/>
      <c r="AH126" s="12"/>
      <c r="AI126" s="12"/>
      <c r="AJ126" s="12"/>
      <c r="AK126" s="12"/>
      <c r="AL126" s="12" t="s">
        <v>88</v>
      </c>
      <c r="AM126" s="12"/>
      <c r="AN126" s="12"/>
      <c r="AO126" s="12"/>
      <c r="AP126" s="12"/>
    </row>
    <row r="127" customFormat="false" ht="30" hidden="false" customHeight="true" outlineLevel="0" collapsed="false">
      <c r="A127" s="12" t="s">
        <v>274</v>
      </c>
      <c r="B127" s="12" t="s">
        <v>275</v>
      </c>
      <c r="C127" s="12"/>
      <c r="D127" s="12" t="s">
        <v>276</v>
      </c>
      <c r="E127" s="12" t="s">
        <v>246</v>
      </c>
      <c r="F127" s="12"/>
      <c r="G127" s="12" t="n">
        <v>4</v>
      </c>
      <c r="H127" s="12" t="s">
        <v>247</v>
      </c>
      <c r="I127" s="12" t="s">
        <v>248</v>
      </c>
      <c r="J127" s="12"/>
      <c r="K127" s="12"/>
      <c r="L127" s="13" t="s">
        <v>83</v>
      </c>
      <c r="M127" s="13" t="s">
        <v>84</v>
      </c>
      <c r="N127" s="13" t="s">
        <v>85</v>
      </c>
      <c r="O127" s="12"/>
      <c r="P127" s="13"/>
      <c r="Q127" s="12"/>
      <c r="R127" s="12"/>
      <c r="S127" s="12"/>
      <c r="T127" s="12"/>
      <c r="U127" s="12" t="s">
        <v>86</v>
      </c>
      <c r="V127" s="13"/>
      <c r="W127" s="14" t="n">
        <v>36000</v>
      </c>
      <c r="X127" s="14"/>
      <c r="Y127" s="14"/>
      <c r="Z127" s="14"/>
      <c r="AA127" s="15" t="str">
        <f aca="false">IF(COUNT(X127,Y127,Z127)=0,"",SUM(X127,Y127,Z127))</f>
        <v/>
      </c>
      <c r="AB127" s="16" t="str">
        <f aca="false">IFERROR(IF(OR(W127="",AA127=""),"",(W127-AA127)/W127),"")</f>
        <v/>
      </c>
      <c r="AC127" s="17" t="str">
        <f aca="false">IFERROR(IF(OR(AA127="",AA127=0),"",W127/AA127),"")</f>
        <v/>
      </c>
      <c r="AD127" s="12" t="s">
        <v>87</v>
      </c>
      <c r="AE127" s="12" t="s">
        <v>88</v>
      </c>
      <c r="AF127" s="12"/>
      <c r="AG127" s="12"/>
      <c r="AH127" s="12"/>
      <c r="AI127" s="12"/>
      <c r="AJ127" s="12"/>
      <c r="AK127" s="12"/>
      <c r="AL127" s="12" t="s">
        <v>88</v>
      </c>
      <c r="AM127" s="12"/>
      <c r="AN127" s="12"/>
      <c r="AO127" s="12"/>
      <c r="AP127" s="12"/>
    </row>
    <row r="128" customFormat="false" ht="30" hidden="false" customHeight="true" outlineLevel="0" collapsed="false">
      <c r="A128" s="12" t="s">
        <v>277</v>
      </c>
      <c r="B128" s="12" t="s">
        <v>278</v>
      </c>
      <c r="C128" s="12"/>
      <c r="D128" s="12" t="s">
        <v>276</v>
      </c>
      <c r="E128" s="12" t="s">
        <v>264</v>
      </c>
      <c r="F128" s="12"/>
      <c r="G128" s="12" t="n">
        <v>4</v>
      </c>
      <c r="H128" s="12" t="s">
        <v>265</v>
      </c>
      <c r="I128" s="12" t="s">
        <v>266</v>
      </c>
      <c r="J128" s="12"/>
      <c r="K128" s="12"/>
      <c r="L128" s="13" t="s">
        <v>83</v>
      </c>
      <c r="M128" s="13" t="s">
        <v>84</v>
      </c>
      <c r="N128" s="13" t="s">
        <v>85</v>
      </c>
      <c r="O128" s="12"/>
      <c r="P128" s="13"/>
      <c r="Q128" s="12"/>
      <c r="R128" s="12"/>
      <c r="S128" s="12"/>
      <c r="T128" s="12"/>
      <c r="U128" s="12" t="s">
        <v>86</v>
      </c>
      <c r="V128" s="13"/>
      <c r="W128" s="14" t="n">
        <v>36000</v>
      </c>
      <c r="X128" s="14"/>
      <c r="Y128" s="14"/>
      <c r="Z128" s="14"/>
      <c r="AA128" s="15" t="str">
        <f aca="false">IF(COUNT(X128,Y128,Z128)=0,"",SUM(X128,Y128,Z128))</f>
        <v/>
      </c>
      <c r="AB128" s="16" t="str">
        <f aca="false">IFERROR(IF(OR(W128="",AA128=""),"",(W128-AA128)/W128),"")</f>
        <v/>
      </c>
      <c r="AC128" s="17" t="str">
        <f aca="false">IFERROR(IF(OR(AA128="",AA128=0),"",W128/AA128),"")</f>
        <v/>
      </c>
      <c r="AD128" s="12" t="s">
        <v>87</v>
      </c>
      <c r="AE128" s="12" t="s">
        <v>88</v>
      </c>
      <c r="AF128" s="12"/>
      <c r="AG128" s="12"/>
      <c r="AH128" s="12"/>
      <c r="AI128" s="12"/>
      <c r="AJ128" s="12"/>
      <c r="AK128" s="12"/>
      <c r="AL128" s="12" t="s">
        <v>88</v>
      </c>
      <c r="AM128" s="12"/>
      <c r="AN128" s="12"/>
      <c r="AO128" s="12"/>
      <c r="AP128" s="12"/>
    </row>
    <row r="129" customFormat="false" ht="30" hidden="false" customHeight="true" outlineLevel="0" collapsed="false">
      <c r="A129" s="12" t="s">
        <v>279</v>
      </c>
      <c r="B129" s="12" t="s">
        <v>280</v>
      </c>
      <c r="C129" s="12"/>
      <c r="D129" s="12" t="s">
        <v>276</v>
      </c>
      <c r="E129" s="12" t="s">
        <v>252</v>
      </c>
      <c r="F129" s="12"/>
      <c r="G129" s="12" t="n">
        <v>4</v>
      </c>
      <c r="H129" s="12" t="s">
        <v>253</v>
      </c>
      <c r="I129" s="12" t="s">
        <v>254</v>
      </c>
      <c r="J129" s="12"/>
      <c r="K129" s="12"/>
      <c r="L129" s="13" t="s">
        <v>83</v>
      </c>
      <c r="M129" s="13" t="s">
        <v>84</v>
      </c>
      <c r="N129" s="13" t="s">
        <v>85</v>
      </c>
      <c r="O129" s="12"/>
      <c r="P129" s="13"/>
      <c r="Q129" s="12"/>
      <c r="R129" s="12"/>
      <c r="S129" s="12"/>
      <c r="T129" s="12"/>
      <c r="U129" s="12" t="s">
        <v>86</v>
      </c>
      <c r="V129" s="13"/>
      <c r="W129" s="14" t="n">
        <v>36000</v>
      </c>
      <c r="X129" s="14"/>
      <c r="Y129" s="14"/>
      <c r="Z129" s="14"/>
      <c r="AA129" s="15" t="str">
        <f aca="false">IF(COUNT(X129,Y129,Z129)=0,"",SUM(X129,Y129,Z129))</f>
        <v/>
      </c>
      <c r="AB129" s="16" t="str">
        <f aca="false">IFERROR(IF(OR(W129="",AA129=""),"",(W129-AA129)/W129),"")</f>
        <v/>
      </c>
      <c r="AC129" s="17" t="str">
        <f aca="false">IFERROR(IF(OR(AA129="",AA129=0),"",W129/AA129),"")</f>
        <v/>
      </c>
      <c r="AD129" s="12" t="s">
        <v>87</v>
      </c>
      <c r="AE129" s="12" t="s">
        <v>88</v>
      </c>
      <c r="AF129" s="12"/>
      <c r="AG129" s="12"/>
      <c r="AH129" s="12"/>
      <c r="AI129" s="12"/>
      <c r="AJ129" s="12"/>
      <c r="AK129" s="12"/>
      <c r="AL129" s="12" t="s">
        <v>88</v>
      </c>
      <c r="AM129" s="12"/>
      <c r="AN129" s="12"/>
      <c r="AO129" s="12"/>
      <c r="AP129" s="12"/>
    </row>
    <row r="130" customFormat="false" ht="30" hidden="false" customHeight="true" outlineLevel="0" collapsed="false">
      <c r="A130" s="12" t="s">
        <v>281</v>
      </c>
      <c r="B130" s="12" t="s">
        <v>282</v>
      </c>
      <c r="C130" s="12"/>
      <c r="D130" s="12" t="s">
        <v>276</v>
      </c>
      <c r="E130" s="12" t="s">
        <v>258</v>
      </c>
      <c r="F130" s="12"/>
      <c r="G130" s="12" t="n">
        <v>1</v>
      </c>
      <c r="H130" s="12" t="s">
        <v>259</v>
      </c>
      <c r="I130" s="12" t="s">
        <v>260</v>
      </c>
      <c r="J130" s="12"/>
      <c r="K130" s="12"/>
      <c r="L130" s="13" t="s">
        <v>83</v>
      </c>
      <c r="M130" s="13" t="s">
        <v>84</v>
      </c>
      <c r="N130" s="13" t="s">
        <v>85</v>
      </c>
      <c r="O130" s="12"/>
      <c r="P130" s="13"/>
      <c r="Q130" s="12"/>
      <c r="R130" s="12"/>
      <c r="S130" s="12"/>
      <c r="T130" s="12"/>
      <c r="U130" s="12" t="s">
        <v>86</v>
      </c>
      <c r="V130" s="13"/>
      <c r="W130" s="14" t="n">
        <v>36000</v>
      </c>
      <c r="X130" s="14"/>
      <c r="Y130" s="14"/>
      <c r="Z130" s="14"/>
      <c r="AA130" s="15" t="str">
        <f aca="false">IF(COUNT(X130,Y130,Z130)=0,"",SUM(X130,Y130,Z130))</f>
        <v/>
      </c>
      <c r="AB130" s="16" t="str">
        <f aca="false">IFERROR(IF(OR(W130="",AA130=""),"",(W130-AA130)/W130),"")</f>
        <v/>
      </c>
      <c r="AC130" s="17" t="str">
        <f aca="false">IFERROR(IF(OR(AA130="",AA130=0),"",W130/AA130),"")</f>
        <v/>
      </c>
      <c r="AD130" s="12" t="s">
        <v>87</v>
      </c>
      <c r="AE130" s="12" t="s">
        <v>88</v>
      </c>
      <c r="AF130" s="12"/>
      <c r="AG130" s="12"/>
      <c r="AH130" s="12"/>
      <c r="AI130" s="12"/>
      <c r="AJ130" s="12"/>
      <c r="AK130" s="12"/>
      <c r="AL130" s="12" t="s">
        <v>88</v>
      </c>
      <c r="AM130" s="12"/>
      <c r="AN130" s="12"/>
      <c r="AO130" s="12"/>
      <c r="AP130" s="12"/>
    </row>
    <row r="131" customFormat="false" ht="30" hidden="false" customHeight="true" outlineLevel="0" collapsed="false">
      <c r="A131" s="12" t="s">
        <v>283</v>
      </c>
      <c r="B131" s="12" t="s">
        <v>269</v>
      </c>
      <c r="C131" s="12"/>
      <c r="D131" s="12" t="s">
        <v>276</v>
      </c>
      <c r="E131" s="12" t="s">
        <v>270</v>
      </c>
      <c r="F131" s="12"/>
      <c r="G131" s="12" t="n">
        <v>4</v>
      </c>
      <c r="H131" s="12" t="s">
        <v>271</v>
      </c>
      <c r="I131" s="12" t="s">
        <v>272</v>
      </c>
      <c r="J131" s="12"/>
      <c r="K131" s="12"/>
      <c r="L131" s="13" t="s">
        <v>83</v>
      </c>
      <c r="M131" s="13" t="s">
        <v>84</v>
      </c>
      <c r="N131" s="13" t="s">
        <v>85</v>
      </c>
      <c r="O131" s="12"/>
      <c r="P131" s="13"/>
      <c r="Q131" s="12"/>
      <c r="R131" s="12"/>
      <c r="S131" s="12"/>
      <c r="T131" s="12"/>
      <c r="U131" s="12" t="s">
        <v>86</v>
      </c>
      <c r="V131" s="13"/>
      <c r="W131" s="14" t="n">
        <v>36000</v>
      </c>
      <c r="X131" s="14"/>
      <c r="Y131" s="14"/>
      <c r="Z131" s="14"/>
      <c r="AA131" s="15" t="str">
        <f aca="false">IF(COUNT(X131,Y131,Z131)=0,"",SUM(X131,Y131,Z131))</f>
        <v/>
      </c>
      <c r="AB131" s="16" t="str">
        <f aca="false">IFERROR(IF(OR(W131="",AA131=""),"",(W131-AA131)/W131),"")</f>
        <v/>
      </c>
      <c r="AC131" s="17" t="str">
        <f aca="false">IFERROR(IF(OR(AA131="",AA131=0),"",W131/AA131),"")</f>
        <v/>
      </c>
      <c r="AD131" s="12" t="s">
        <v>87</v>
      </c>
      <c r="AE131" s="12" t="s">
        <v>88</v>
      </c>
      <c r="AF131" s="12"/>
      <c r="AG131" s="12"/>
      <c r="AH131" s="12"/>
      <c r="AI131" s="12"/>
      <c r="AJ131" s="12"/>
      <c r="AK131" s="12"/>
      <c r="AL131" s="12" t="s">
        <v>88</v>
      </c>
      <c r="AM131" s="12"/>
      <c r="AN131" s="12"/>
      <c r="AO131" s="12"/>
      <c r="AP131" s="12"/>
    </row>
    <row r="132" customFormat="false" ht="30" hidden="false" customHeight="true" outlineLevel="0" collapsed="false">
      <c r="A132" s="12" t="s">
        <v>284</v>
      </c>
      <c r="B132" s="12" t="s">
        <v>244</v>
      </c>
      <c r="C132" s="12"/>
      <c r="D132" s="12" t="s">
        <v>245</v>
      </c>
      <c r="E132" s="12" t="s">
        <v>246</v>
      </c>
      <c r="F132" s="12"/>
      <c r="G132" s="12" t="n">
        <v>3</v>
      </c>
      <c r="H132" s="12" t="s">
        <v>247</v>
      </c>
      <c r="I132" s="12" t="s">
        <v>248</v>
      </c>
      <c r="J132" s="12"/>
      <c r="K132" s="12"/>
      <c r="L132" s="13" t="s">
        <v>83</v>
      </c>
      <c r="M132" s="13" t="s">
        <v>84</v>
      </c>
      <c r="N132" s="13" t="s">
        <v>85</v>
      </c>
      <c r="O132" s="12"/>
      <c r="P132" s="13"/>
      <c r="Q132" s="12"/>
      <c r="R132" s="12"/>
      <c r="S132" s="12"/>
      <c r="T132" s="12"/>
      <c r="U132" s="12" t="s">
        <v>86</v>
      </c>
      <c r="V132" s="13"/>
      <c r="W132" s="14" t="n">
        <v>44000</v>
      </c>
      <c r="X132" s="14"/>
      <c r="Y132" s="14"/>
      <c r="Z132" s="14"/>
      <c r="AA132" s="15" t="str">
        <f aca="false">IF(COUNT(X132,Y132,Z132)=0,"",SUM(X132,Y132,Z132))</f>
        <v/>
      </c>
      <c r="AB132" s="16" t="str">
        <f aca="false">IFERROR(IF(OR(W132="",AA132=""),"",(W132-AA132)/W132),"")</f>
        <v/>
      </c>
      <c r="AC132" s="17" t="str">
        <f aca="false">IFERROR(IF(OR(AA132="",AA132=0),"",W132/AA132),"")</f>
        <v/>
      </c>
      <c r="AD132" s="12" t="s">
        <v>87</v>
      </c>
      <c r="AE132" s="12" t="s">
        <v>88</v>
      </c>
      <c r="AF132" s="12"/>
      <c r="AG132" s="12"/>
      <c r="AH132" s="12"/>
      <c r="AI132" s="12"/>
      <c r="AJ132" s="12"/>
      <c r="AK132" s="12"/>
      <c r="AL132" s="12" t="s">
        <v>88</v>
      </c>
      <c r="AM132" s="12"/>
      <c r="AN132" s="12"/>
      <c r="AO132" s="12"/>
      <c r="AP132" s="12"/>
    </row>
    <row r="133" customFormat="false" ht="30" hidden="false" customHeight="true" outlineLevel="0" collapsed="false">
      <c r="A133" s="12" t="s">
        <v>285</v>
      </c>
      <c r="B133" s="12" t="s">
        <v>286</v>
      </c>
      <c r="C133" s="12"/>
      <c r="D133" s="12" t="s">
        <v>287</v>
      </c>
      <c r="E133" s="12" t="s">
        <v>246</v>
      </c>
      <c r="F133" s="12"/>
      <c r="G133" s="12" t="n">
        <v>5</v>
      </c>
      <c r="H133" s="12" t="s">
        <v>247</v>
      </c>
      <c r="I133" s="12" t="s">
        <v>248</v>
      </c>
      <c r="J133" s="12"/>
      <c r="K133" s="12"/>
      <c r="L133" s="13" t="s">
        <v>83</v>
      </c>
      <c r="M133" s="13" t="s">
        <v>84</v>
      </c>
      <c r="N133" s="13" t="s">
        <v>85</v>
      </c>
      <c r="O133" s="12"/>
      <c r="P133" s="13"/>
      <c r="Q133" s="12"/>
      <c r="R133" s="12"/>
      <c r="S133" s="12"/>
      <c r="T133" s="12"/>
      <c r="U133" s="12" t="s">
        <v>86</v>
      </c>
      <c r="V133" s="13"/>
      <c r="W133" s="14" t="n">
        <v>13000</v>
      </c>
      <c r="X133" s="14"/>
      <c r="Y133" s="14"/>
      <c r="Z133" s="14"/>
      <c r="AA133" s="15" t="str">
        <f aca="false">IF(COUNT(X133,Y133,Z133)=0,"",SUM(X133,Y133,Z133))</f>
        <v/>
      </c>
      <c r="AB133" s="16" t="str">
        <f aca="false">IFERROR(IF(OR(W133="",AA133=""),"",(W133-AA133)/W133),"")</f>
        <v/>
      </c>
      <c r="AC133" s="17" t="str">
        <f aca="false">IFERROR(IF(OR(AA133="",AA133=0),"",W133/AA133),"")</f>
        <v/>
      </c>
      <c r="AD133" s="12" t="s">
        <v>87</v>
      </c>
      <c r="AE133" s="12" t="s">
        <v>88</v>
      </c>
      <c r="AF133" s="12"/>
      <c r="AG133" s="12"/>
      <c r="AH133" s="12"/>
      <c r="AI133" s="12"/>
      <c r="AJ133" s="12"/>
      <c r="AK133" s="12"/>
      <c r="AL133" s="12" t="s">
        <v>88</v>
      </c>
      <c r="AM133" s="12"/>
      <c r="AN133" s="12"/>
      <c r="AO133" s="12"/>
      <c r="AP133" s="12"/>
    </row>
    <row r="134" customFormat="false" ht="30" hidden="false" customHeight="true" outlineLevel="0" collapsed="false">
      <c r="A134" s="12" t="s">
        <v>288</v>
      </c>
      <c r="B134" s="12" t="s">
        <v>289</v>
      </c>
      <c r="C134" s="12"/>
      <c r="D134" s="12" t="s">
        <v>287</v>
      </c>
      <c r="E134" s="12" t="s">
        <v>252</v>
      </c>
      <c r="F134" s="12"/>
      <c r="G134" s="12" t="n">
        <v>5</v>
      </c>
      <c r="H134" s="12" t="s">
        <v>253</v>
      </c>
      <c r="I134" s="12" t="s">
        <v>254</v>
      </c>
      <c r="J134" s="12"/>
      <c r="K134" s="12"/>
      <c r="L134" s="13" t="s">
        <v>83</v>
      </c>
      <c r="M134" s="13" t="s">
        <v>84</v>
      </c>
      <c r="N134" s="13" t="s">
        <v>85</v>
      </c>
      <c r="O134" s="12"/>
      <c r="P134" s="13"/>
      <c r="Q134" s="12"/>
      <c r="R134" s="12"/>
      <c r="S134" s="12"/>
      <c r="T134" s="12"/>
      <c r="U134" s="12" t="s">
        <v>86</v>
      </c>
      <c r="V134" s="13"/>
      <c r="W134" s="14" t="n">
        <v>13000</v>
      </c>
      <c r="X134" s="14"/>
      <c r="Y134" s="14"/>
      <c r="Z134" s="14"/>
      <c r="AA134" s="15" t="str">
        <f aca="false">IF(COUNT(X134,Y134,Z134)=0,"",SUM(X134,Y134,Z134))</f>
        <v/>
      </c>
      <c r="AB134" s="16" t="str">
        <f aca="false">IFERROR(IF(OR(W134="",AA134=""),"",(W134-AA134)/W134),"")</f>
        <v/>
      </c>
      <c r="AC134" s="17" t="str">
        <f aca="false">IFERROR(IF(OR(AA134="",AA134=0),"",W134/AA134),"")</f>
        <v/>
      </c>
      <c r="AD134" s="12" t="s">
        <v>87</v>
      </c>
      <c r="AE134" s="12" t="s">
        <v>88</v>
      </c>
      <c r="AF134" s="12"/>
      <c r="AG134" s="12"/>
      <c r="AH134" s="12"/>
      <c r="AI134" s="12"/>
      <c r="AJ134" s="12"/>
      <c r="AK134" s="12"/>
      <c r="AL134" s="12" t="s">
        <v>88</v>
      </c>
      <c r="AM134" s="12"/>
      <c r="AN134" s="12"/>
      <c r="AO134" s="12"/>
      <c r="AP134" s="12"/>
    </row>
    <row r="135" customFormat="false" ht="30" hidden="false" customHeight="true" outlineLevel="0" collapsed="false">
      <c r="A135" s="12" t="s">
        <v>290</v>
      </c>
      <c r="B135" s="12" t="s">
        <v>269</v>
      </c>
      <c r="C135" s="12"/>
      <c r="D135" s="12" t="s">
        <v>287</v>
      </c>
      <c r="E135" s="12" t="s">
        <v>270</v>
      </c>
      <c r="F135" s="12"/>
      <c r="G135" s="12" t="n">
        <v>5</v>
      </c>
      <c r="H135" s="12" t="s">
        <v>271</v>
      </c>
      <c r="I135" s="12" t="s">
        <v>272</v>
      </c>
      <c r="J135" s="12"/>
      <c r="K135" s="12"/>
      <c r="L135" s="13" t="s">
        <v>83</v>
      </c>
      <c r="M135" s="13" t="s">
        <v>84</v>
      </c>
      <c r="N135" s="13" t="s">
        <v>85</v>
      </c>
      <c r="O135" s="12"/>
      <c r="P135" s="13"/>
      <c r="Q135" s="12"/>
      <c r="R135" s="12"/>
      <c r="S135" s="12"/>
      <c r="T135" s="12"/>
      <c r="U135" s="12" t="s">
        <v>86</v>
      </c>
      <c r="V135" s="13"/>
      <c r="W135" s="14" t="n">
        <v>13000</v>
      </c>
      <c r="X135" s="14"/>
      <c r="Y135" s="14"/>
      <c r="Z135" s="14"/>
      <c r="AA135" s="15" t="str">
        <f aca="false">IF(COUNT(X135,Y135,Z135)=0,"",SUM(X135,Y135,Z135))</f>
        <v/>
      </c>
      <c r="AB135" s="16" t="str">
        <f aca="false">IFERROR(IF(OR(W135="",AA135=""),"",(W135-AA135)/W135),"")</f>
        <v/>
      </c>
      <c r="AC135" s="17" t="str">
        <f aca="false">IFERROR(IF(OR(AA135="",AA135=0),"",W135/AA135),"")</f>
        <v/>
      </c>
      <c r="AD135" s="12" t="s">
        <v>87</v>
      </c>
      <c r="AE135" s="12" t="s">
        <v>88</v>
      </c>
      <c r="AF135" s="12"/>
      <c r="AG135" s="12"/>
      <c r="AH135" s="12"/>
      <c r="AI135" s="12"/>
      <c r="AJ135" s="12"/>
      <c r="AK135" s="12"/>
      <c r="AL135" s="12" t="s">
        <v>88</v>
      </c>
      <c r="AM135" s="12"/>
      <c r="AN135" s="12"/>
      <c r="AO135" s="12"/>
      <c r="AP135" s="12"/>
    </row>
    <row r="136" customFormat="false" ht="30" hidden="false" customHeight="true" outlineLevel="0" collapsed="false">
      <c r="A136" s="12" t="s">
        <v>291</v>
      </c>
      <c r="B136" s="12" t="s">
        <v>292</v>
      </c>
      <c r="C136" s="12"/>
      <c r="D136" s="12" t="s">
        <v>287</v>
      </c>
      <c r="E136" s="12" t="s">
        <v>264</v>
      </c>
      <c r="F136" s="12"/>
      <c r="G136" s="12" t="n">
        <v>5</v>
      </c>
      <c r="H136" s="12" t="s">
        <v>265</v>
      </c>
      <c r="I136" s="12" t="s">
        <v>266</v>
      </c>
      <c r="J136" s="12"/>
      <c r="K136" s="12"/>
      <c r="L136" s="13" t="s">
        <v>83</v>
      </c>
      <c r="M136" s="13" t="s">
        <v>84</v>
      </c>
      <c r="N136" s="13" t="s">
        <v>85</v>
      </c>
      <c r="O136" s="12"/>
      <c r="P136" s="13"/>
      <c r="Q136" s="12"/>
      <c r="R136" s="12"/>
      <c r="S136" s="12"/>
      <c r="T136" s="12"/>
      <c r="U136" s="12" t="s">
        <v>86</v>
      </c>
      <c r="V136" s="13"/>
      <c r="W136" s="14" t="n">
        <v>13000</v>
      </c>
      <c r="X136" s="14"/>
      <c r="Y136" s="14"/>
      <c r="Z136" s="14"/>
      <c r="AA136" s="15" t="str">
        <f aca="false">IF(COUNT(X136,Y136,Z136)=0,"",SUM(X136,Y136,Z136))</f>
        <v/>
      </c>
      <c r="AB136" s="16" t="str">
        <f aca="false">IFERROR(IF(OR(W136="",AA136=""),"",(W136-AA136)/W136),"")</f>
        <v/>
      </c>
      <c r="AC136" s="17" t="str">
        <f aca="false">IFERROR(IF(OR(AA136="",AA136=0),"",W136/AA136),"")</f>
        <v/>
      </c>
      <c r="AD136" s="12" t="s">
        <v>87</v>
      </c>
      <c r="AE136" s="12" t="s">
        <v>88</v>
      </c>
      <c r="AF136" s="12"/>
      <c r="AG136" s="12"/>
      <c r="AH136" s="12"/>
      <c r="AI136" s="12"/>
      <c r="AJ136" s="12"/>
      <c r="AK136" s="12"/>
      <c r="AL136" s="12" t="s">
        <v>88</v>
      </c>
      <c r="AM136" s="12"/>
      <c r="AN136" s="12"/>
      <c r="AO136" s="12"/>
      <c r="AP136" s="12"/>
    </row>
    <row r="137" customFormat="false" ht="30" hidden="false" customHeight="true" outlineLevel="0" collapsed="false">
      <c r="A137" s="12" t="s">
        <v>293</v>
      </c>
      <c r="B137" s="12" t="s">
        <v>294</v>
      </c>
      <c r="C137" s="12"/>
      <c r="D137" s="12" t="s">
        <v>287</v>
      </c>
      <c r="E137" s="12" t="s">
        <v>258</v>
      </c>
      <c r="F137" s="12"/>
      <c r="G137" s="12" t="n">
        <v>7</v>
      </c>
      <c r="H137" s="12" t="s">
        <v>259</v>
      </c>
      <c r="I137" s="12" t="s">
        <v>260</v>
      </c>
      <c r="J137" s="12"/>
      <c r="K137" s="12"/>
      <c r="L137" s="13" t="s">
        <v>83</v>
      </c>
      <c r="M137" s="13" t="s">
        <v>84</v>
      </c>
      <c r="N137" s="13" t="s">
        <v>85</v>
      </c>
      <c r="O137" s="12"/>
      <c r="P137" s="13"/>
      <c r="Q137" s="12"/>
      <c r="R137" s="12"/>
      <c r="S137" s="12"/>
      <c r="T137" s="12"/>
      <c r="U137" s="12" t="s">
        <v>86</v>
      </c>
      <c r="V137" s="13"/>
      <c r="W137" s="14" t="n">
        <v>13000</v>
      </c>
      <c r="X137" s="14"/>
      <c r="Y137" s="14"/>
      <c r="Z137" s="14"/>
      <c r="AA137" s="15" t="str">
        <f aca="false">IF(COUNT(X137,Y137,Z137)=0,"",SUM(X137,Y137,Z137))</f>
        <v/>
      </c>
      <c r="AB137" s="16" t="str">
        <f aca="false">IFERROR(IF(OR(W137="",AA137=""),"",(W137-AA137)/W137),"")</f>
        <v/>
      </c>
      <c r="AC137" s="17" t="str">
        <f aca="false">IFERROR(IF(OR(AA137="",AA137=0),"",W137/AA137),"")</f>
        <v/>
      </c>
      <c r="AD137" s="12" t="s">
        <v>87</v>
      </c>
      <c r="AE137" s="12" t="s">
        <v>88</v>
      </c>
      <c r="AF137" s="12"/>
      <c r="AG137" s="12"/>
      <c r="AH137" s="12"/>
      <c r="AI137" s="12"/>
      <c r="AJ137" s="12"/>
      <c r="AK137" s="12"/>
      <c r="AL137" s="12" t="s">
        <v>88</v>
      </c>
      <c r="AM137" s="12"/>
      <c r="AN137" s="12"/>
      <c r="AO137" s="12"/>
      <c r="AP137" s="12"/>
    </row>
    <row r="138" customFormat="false" ht="30" hidden="false" customHeight="true" outlineLevel="0" collapsed="false">
      <c r="A138" s="12" t="s">
        <v>295</v>
      </c>
      <c r="B138" s="12" t="s">
        <v>296</v>
      </c>
      <c r="C138" s="12"/>
      <c r="D138" s="12" t="s">
        <v>297</v>
      </c>
      <c r="E138" s="12" t="s">
        <v>246</v>
      </c>
      <c r="F138" s="12"/>
      <c r="G138" s="12" t="n">
        <v>4</v>
      </c>
      <c r="H138" s="12" t="s">
        <v>247</v>
      </c>
      <c r="I138" s="12" t="s">
        <v>248</v>
      </c>
      <c r="J138" s="12"/>
      <c r="K138" s="12"/>
      <c r="L138" s="13" t="s">
        <v>83</v>
      </c>
      <c r="M138" s="13" t="s">
        <v>84</v>
      </c>
      <c r="N138" s="13" t="s">
        <v>85</v>
      </c>
      <c r="O138" s="12"/>
      <c r="P138" s="13"/>
      <c r="Q138" s="12"/>
      <c r="R138" s="12"/>
      <c r="S138" s="12"/>
      <c r="T138" s="12"/>
      <c r="U138" s="12" t="s">
        <v>86</v>
      </c>
      <c r="V138" s="13"/>
      <c r="W138" s="14" t="n">
        <v>20000</v>
      </c>
      <c r="X138" s="14"/>
      <c r="Y138" s="14"/>
      <c r="Z138" s="14"/>
      <c r="AA138" s="15" t="str">
        <f aca="false">IF(COUNT(X138,Y138,Z138)=0,"",SUM(X138,Y138,Z138))</f>
        <v/>
      </c>
      <c r="AB138" s="16" t="str">
        <f aca="false">IFERROR(IF(OR(W138="",AA138=""),"",(W138-AA138)/W138),"")</f>
        <v/>
      </c>
      <c r="AC138" s="17" t="str">
        <f aca="false">IFERROR(IF(OR(AA138="",AA138=0),"",W138/AA138),"")</f>
        <v/>
      </c>
      <c r="AD138" s="12" t="s">
        <v>87</v>
      </c>
      <c r="AE138" s="12" t="s">
        <v>88</v>
      </c>
      <c r="AF138" s="12"/>
      <c r="AG138" s="12"/>
      <c r="AH138" s="12"/>
      <c r="AI138" s="12"/>
      <c r="AJ138" s="12"/>
      <c r="AK138" s="12"/>
      <c r="AL138" s="12" t="s">
        <v>88</v>
      </c>
      <c r="AM138" s="12"/>
      <c r="AN138" s="12"/>
      <c r="AO138" s="12"/>
      <c r="AP138" s="12"/>
    </row>
    <row r="139" customFormat="false" ht="30" hidden="false" customHeight="true" outlineLevel="0" collapsed="false">
      <c r="A139" s="12" t="s">
        <v>298</v>
      </c>
      <c r="B139" s="12" t="s">
        <v>299</v>
      </c>
      <c r="C139" s="12"/>
      <c r="D139" s="12" t="s">
        <v>297</v>
      </c>
      <c r="E139" s="12" t="s">
        <v>252</v>
      </c>
      <c r="F139" s="12"/>
      <c r="G139" s="12" t="n">
        <v>4</v>
      </c>
      <c r="H139" s="12" t="s">
        <v>253</v>
      </c>
      <c r="I139" s="12" t="s">
        <v>254</v>
      </c>
      <c r="J139" s="12"/>
      <c r="K139" s="12"/>
      <c r="L139" s="13" t="s">
        <v>83</v>
      </c>
      <c r="M139" s="13" t="s">
        <v>84</v>
      </c>
      <c r="N139" s="13" t="s">
        <v>85</v>
      </c>
      <c r="O139" s="12"/>
      <c r="P139" s="13"/>
      <c r="Q139" s="12"/>
      <c r="R139" s="12"/>
      <c r="S139" s="12"/>
      <c r="T139" s="12"/>
      <c r="U139" s="12" t="s">
        <v>86</v>
      </c>
      <c r="V139" s="13"/>
      <c r="W139" s="14" t="n">
        <v>20000</v>
      </c>
      <c r="X139" s="14"/>
      <c r="Y139" s="14"/>
      <c r="Z139" s="14"/>
      <c r="AA139" s="15" t="str">
        <f aca="false">IF(COUNT(X139,Y139,Z139)=0,"",SUM(X139,Y139,Z139))</f>
        <v/>
      </c>
      <c r="AB139" s="16" t="str">
        <f aca="false">IFERROR(IF(OR(W139="",AA139=""),"",(W139-AA139)/W139),"")</f>
        <v/>
      </c>
      <c r="AC139" s="17" t="str">
        <f aca="false">IFERROR(IF(OR(AA139="",AA139=0),"",W139/AA139),"")</f>
        <v/>
      </c>
      <c r="AD139" s="12" t="s">
        <v>87</v>
      </c>
      <c r="AE139" s="12" t="s">
        <v>88</v>
      </c>
      <c r="AF139" s="12"/>
      <c r="AG139" s="12"/>
      <c r="AH139" s="12"/>
      <c r="AI139" s="12"/>
      <c r="AJ139" s="12"/>
      <c r="AK139" s="12"/>
      <c r="AL139" s="12" t="s">
        <v>88</v>
      </c>
      <c r="AM139" s="12"/>
      <c r="AN139" s="12"/>
      <c r="AO139" s="12"/>
      <c r="AP139" s="12"/>
    </row>
    <row r="140" customFormat="false" ht="30" hidden="false" customHeight="true" outlineLevel="0" collapsed="false">
      <c r="A140" s="12" t="s">
        <v>300</v>
      </c>
      <c r="B140" s="12" t="s">
        <v>301</v>
      </c>
      <c r="C140" s="12"/>
      <c r="D140" s="12" t="s">
        <v>297</v>
      </c>
      <c r="E140" s="12" t="s">
        <v>264</v>
      </c>
      <c r="F140" s="12"/>
      <c r="G140" s="12" t="n">
        <v>4</v>
      </c>
      <c r="H140" s="12" t="s">
        <v>265</v>
      </c>
      <c r="I140" s="12" t="s">
        <v>266</v>
      </c>
      <c r="J140" s="12"/>
      <c r="K140" s="12"/>
      <c r="L140" s="13" t="s">
        <v>83</v>
      </c>
      <c r="M140" s="13" t="s">
        <v>84</v>
      </c>
      <c r="N140" s="13" t="s">
        <v>85</v>
      </c>
      <c r="O140" s="12"/>
      <c r="P140" s="13"/>
      <c r="Q140" s="12"/>
      <c r="R140" s="12"/>
      <c r="S140" s="12"/>
      <c r="T140" s="12"/>
      <c r="U140" s="12" t="s">
        <v>86</v>
      </c>
      <c r="V140" s="13"/>
      <c r="W140" s="14" t="n">
        <v>20000</v>
      </c>
      <c r="X140" s="14"/>
      <c r="Y140" s="14"/>
      <c r="Z140" s="14"/>
      <c r="AA140" s="15" t="str">
        <f aca="false">IF(COUNT(X140,Y140,Z140)=0,"",SUM(X140,Y140,Z140))</f>
        <v/>
      </c>
      <c r="AB140" s="16" t="str">
        <f aca="false">IFERROR(IF(OR(W140="",AA140=""),"",(W140-AA140)/W140),"")</f>
        <v/>
      </c>
      <c r="AC140" s="17" t="str">
        <f aca="false">IFERROR(IF(OR(AA140="",AA140=0),"",W140/AA140),"")</f>
        <v/>
      </c>
      <c r="AD140" s="12" t="s">
        <v>87</v>
      </c>
      <c r="AE140" s="12" t="s">
        <v>88</v>
      </c>
      <c r="AF140" s="12"/>
      <c r="AG140" s="12"/>
      <c r="AH140" s="12"/>
      <c r="AI140" s="12"/>
      <c r="AJ140" s="12"/>
      <c r="AK140" s="12"/>
      <c r="AL140" s="12" t="s">
        <v>88</v>
      </c>
      <c r="AM140" s="12"/>
      <c r="AN140" s="12"/>
      <c r="AO140" s="12"/>
      <c r="AP140" s="12"/>
    </row>
    <row r="141" customFormat="false" ht="30" hidden="false" customHeight="true" outlineLevel="0" collapsed="false">
      <c r="A141" s="12" t="s">
        <v>302</v>
      </c>
      <c r="B141" s="12" t="s">
        <v>289</v>
      </c>
      <c r="C141" s="12"/>
      <c r="D141" s="12" t="s">
        <v>287</v>
      </c>
      <c r="E141" s="12" t="s">
        <v>252</v>
      </c>
      <c r="F141" s="12"/>
      <c r="G141" s="12" t="n">
        <v>4</v>
      </c>
      <c r="H141" s="12" t="s">
        <v>253</v>
      </c>
      <c r="I141" s="12" t="s">
        <v>254</v>
      </c>
      <c r="J141" s="12"/>
      <c r="K141" s="12"/>
      <c r="L141" s="13" t="s">
        <v>83</v>
      </c>
      <c r="M141" s="13" t="s">
        <v>84</v>
      </c>
      <c r="N141" s="13" t="s">
        <v>85</v>
      </c>
      <c r="O141" s="12"/>
      <c r="P141" s="13"/>
      <c r="Q141" s="12"/>
      <c r="R141" s="12"/>
      <c r="S141" s="12"/>
      <c r="T141" s="12"/>
      <c r="U141" s="12" t="s">
        <v>86</v>
      </c>
      <c r="V141" s="13"/>
      <c r="W141" s="14" t="n">
        <v>20000</v>
      </c>
      <c r="X141" s="14"/>
      <c r="Y141" s="14"/>
      <c r="Z141" s="14"/>
      <c r="AA141" s="15" t="str">
        <f aca="false">IF(COUNT(X141,Y141,Z141)=0,"",SUM(X141,Y141,Z141))</f>
        <v/>
      </c>
      <c r="AB141" s="16" t="str">
        <f aca="false">IFERROR(IF(OR(W141="",AA141=""),"",(W141-AA141)/W141),"")</f>
        <v/>
      </c>
      <c r="AC141" s="17" t="str">
        <f aca="false">IFERROR(IF(OR(AA141="",AA141=0),"",W141/AA141),"")</f>
        <v/>
      </c>
      <c r="AD141" s="12" t="s">
        <v>87</v>
      </c>
      <c r="AE141" s="12" t="s">
        <v>88</v>
      </c>
      <c r="AF141" s="12"/>
      <c r="AG141" s="12"/>
      <c r="AH141" s="12"/>
      <c r="AI141" s="12"/>
      <c r="AJ141" s="12"/>
      <c r="AK141" s="12"/>
      <c r="AL141" s="12" t="s">
        <v>88</v>
      </c>
      <c r="AM141" s="12"/>
      <c r="AN141" s="12"/>
      <c r="AO141" s="12"/>
      <c r="AP141" s="12"/>
    </row>
    <row r="142" customFormat="false" ht="30" hidden="false" customHeight="true" outlineLevel="0" collapsed="false">
      <c r="A142" s="12" t="s">
        <v>303</v>
      </c>
      <c r="B142" s="12" t="s">
        <v>286</v>
      </c>
      <c r="C142" s="12"/>
      <c r="D142" s="12" t="s">
        <v>287</v>
      </c>
      <c r="E142" s="12" t="s">
        <v>246</v>
      </c>
      <c r="F142" s="12"/>
      <c r="G142" s="12" t="n">
        <v>4</v>
      </c>
      <c r="H142" s="12" t="s">
        <v>247</v>
      </c>
      <c r="I142" s="12" t="s">
        <v>248</v>
      </c>
      <c r="J142" s="12"/>
      <c r="K142" s="12"/>
      <c r="L142" s="13" t="s">
        <v>83</v>
      </c>
      <c r="M142" s="13" t="s">
        <v>84</v>
      </c>
      <c r="N142" s="13" t="s">
        <v>85</v>
      </c>
      <c r="O142" s="12"/>
      <c r="P142" s="13"/>
      <c r="Q142" s="12"/>
      <c r="R142" s="12"/>
      <c r="S142" s="12"/>
      <c r="T142" s="12"/>
      <c r="U142" s="12" t="s">
        <v>86</v>
      </c>
      <c r="V142" s="13"/>
      <c r="W142" s="14" t="n">
        <v>20000</v>
      </c>
      <c r="X142" s="14"/>
      <c r="Y142" s="14"/>
      <c r="Z142" s="14"/>
      <c r="AA142" s="15" t="str">
        <f aca="false">IF(COUNT(X142,Y142,Z142)=0,"",SUM(X142,Y142,Z142))</f>
        <v/>
      </c>
      <c r="AB142" s="16" t="str">
        <f aca="false">IFERROR(IF(OR(W142="",AA142=""),"",(W142-AA142)/W142),"")</f>
        <v/>
      </c>
      <c r="AC142" s="17" t="str">
        <f aca="false">IFERROR(IF(OR(AA142="",AA142=0),"",W142/AA142),"")</f>
        <v/>
      </c>
      <c r="AD142" s="12" t="s">
        <v>87</v>
      </c>
      <c r="AE142" s="12" t="s">
        <v>88</v>
      </c>
      <c r="AF142" s="12"/>
      <c r="AG142" s="12"/>
      <c r="AH142" s="12"/>
      <c r="AI142" s="12"/>
      <c r="AJ142" s="12"/>
      <c r="AK142" s="12"/>
      <c r="AL142" s="12" t="s">
        <v>88</v>
      </c>
      <c r="AM142" s="12"/>
      <c r="AN142" s="12"/>
      <c r="AO142" s="12"/>
      <c r="AP142" s="12"/>
    </row>
    <row r="143" customFormat="false" ht="30" hidden="false" customHeight="true" outlineLevel="0" collapsed="false">
      <c r="A143" s="12" t="s">
        <v>304</v>
      </c>
      <c r="B143" s="12" t="s">
        <v>294</v>
      </c>
      <c r="C143" s="12"/>
      <c r="D143" s="12" t="s">
        <v>287</v>
      </c>
      <c r="E143" s="12" t="s">
        <v>258</v>
      </c>
      <c r="F143" s="12"/>
      <c r="G143" s="12" t="n">
        <v>4</v>
      </c>
      <c r="H143" s="12" t="s">
        <v>259</v>
      </c>
      <c r="I143" s="12" t="s">
        <v>260</v>
      </c>
      <c r="J143" s="12"/>
      <c r="K143" s="12"/>
      <c r="L143" s="13" t="s">
        <v>83</v>
      </c>
      <c r="M143" s="13" t="s">
        <v>84</v>
      </c>
      <c r="N143" s="13" t="s">
        <v>85</v>
      </c>
      <c r="O143" s="12"/>
      <c r="P143" s="13"/>
      <c r="Q143" s="12"/>
      <c r="R143" s="12"/>
      <c r="S143" s="12"/>
      <c r="T143" s="12"/>
      <c r="U143" s="12" t="s">
        <v>86</v>
      </c>
      <c r="V143" s="13"/>
      <c r="W143" s="14" t="n">
        <v>20000</v>
      </c>
      <c r="X143" s="14"/>
      <c r="Y143" s="14"/>
      <c r="Z143" s="14"/>
      <c r="AA143" s="15" t="str">
        <f aca="false">IF(COUNT(X143,Y143,Z143)=0,"",SUM(X143,Y143,Z143))</f>
        <v/>
      </c>
      <c r="AB143" s="16" t="str">
        <f aca="false">IFERROR(IF(OR(W143="",AA143=""),"",(W143-AA143)/W143),"")</f>
        <v/>
      </c>
      <c r="AC143" s="17" t="str">
        <f aca="false">IFERROR(IF(OR(AA143="",AA143=0),"",W143/AA143),"")</f>
        <v/>
      </c>
      <c r="AD143" s="12" t="s">
        <v>87</v>
      </c>
      <c r="AE143" s="12" t="s">
        <v>88</v>
      </c>
      <c r="AF143" s="12"/>
      <c r="AG143" s="12"/>
      <c r="AH143" s="12"/>
      <c r="AI143" s="12"/>
      <c r="AJ143" s="12"/>
      <c r="AK143" s="12"/>
      <c r="AL143" s="12" t="s">
        <v>88</v>
      </c>
      <c r="AM143" s="12"/>
      <c r="AN143" s="12"/>
      <c r="AO143" s="12"/>
      <c r="AP143" s="12"/>
    </row>
    <row r="144" customFormat="false" ht="30" hidden="false" customHeight="true" outlineLevel="0" collapsed="false">
      <c r="A144" s="12" t="s">
        <v>305</v>
      </c>
      <c r="B144" s="12" t="s">
        <v>292</v>
      </c>
      <c r="C144" s="12"/>
      <c r="D144" s="12" t="s">
        <v>287</v>
      </c>
      <c r="E144" s="12" t="s">
        <v>264</v>
      </c>
      <c r="F144" s="12"/>
      <c r="G144" s="12" t="n">
        <v>4</v>
      </c>
      <c r="H144" s="12" t="s">
        <v>265</v>
      </c>
      <c r="I144" s="12" t="s">
        <v>266</v>
      </c>
      <c r="J144" s="12"/>
      <c r="K144" s="12"/>
      <c r="L144" s="13" t="s">
        <v>83</v>
      </c>
      <c r="M144" s="13" t="s">
        <v>84</v>
      </c>
      <c r="N144" s="13" t="s">
        <v>85</v>
      </c>
      <c r="O144" s="12"/>
      <c r="P144" s="13"/>
      <c r="Q144" s="12"/>
      <c r="R144" s="12"/>
      <c r="S144" s="12"/>
      <c r="T144" s="12"/>
      <c r="U144" s="12" t="s">
        <v>86</v>
      </c>
      <c r="V144" s="13"/>
      <c r="W144" s="14" t="n">
        <v>20000</v>
      </c>
      <c r="X144" s="14"/>
      <c r="Y144" s="14"/>
      <c r="Z144" s="14"/>
      <c r="AA144" s="15" t="str">
        <f aca="false">IF(COUNT(X144,Y144,Z144)=0,"",SUM(X144,Y144,Z144))</f>
        <v/>
      </c>
      <c r="AB144" s="16" t="str">
        <f aca="false">IFERROR(IF(OR(W144="",AA144=""),"",(W144-AA144)/W144),"")</f>
        <v/>
      </c>
      <c r="AC144" s="17" t="str">
        <f aca="false">IFERROR(IF(OR(AA144="",AA144=0),"",W144/AA144),"")</f>
        <v/>
      </c>
      <c r="AD144" s="12" t="s">
        <v>87</v>
      </c>
      <c r="AE144" s="12" t="s">
        <v>88</v>
      </c>
      <c r="AF144" s="12"/>
      <c r="AG144" s="12"/>
      <c r="AH144" s="12"/>
      <c r="AI144" s="12"/>
      <c r="AJ144" s="12"/>
      <c r="AK144" s="12"/>
      <c r="AL144" s="12" t="s">
        <v>88</v>
      </c>
      <c r="AM144" s="12"/>
      <c r="AN144" s="12"/>
      <c r="AO144" s="12"/>
      <c r="AP144" s="12"/>
    </row>
    <row r="145" customFormat="false" ht="30" hidden="false" customHeight="true" outlineLevel="0" collapsed="false">
      <c r="A145" s="12" t="s">
        <v>306</v>
      </c>
      <c r="B145" s="12" t="s">
        <v>269</v>
      </c>
      <c r="C145" s="12"/>
      <c r="D145" s="12" t="s">
        <v>287</v>
      </c>
      <c r="E145" s="12" t="s">
        <v>270</v>
      </c>
      <c r="F145" s="12"/>
      <c r="G145" s="12" t="n">
        <v>4</v>
      </c>
      <c r="H145" s="12" t="s">
        <v>271</v>
      </c>
      <c r="I145" s="12" t="s">
        <v>272</v>
      </c>
      <c r="J145" s="12"/>
      <c r="K145" s="12"/>
      <c r="L145" s="13" t="s">
        <v>83</v>
      </c>
      <c r="M145" s="13" t="s">
        <v>84</v>
      </c>
      <c r="N145" s="13" t="s">
        <v>85</v>
      </c>
      <c r="O145" s="12"/>
      <c r="P145" s="13"/>
      <c r="Q145" s="12"/>
      <c r="R145" s="12"/>
      <c r="S145" s="12"/>
      <c r="T145" s="12"/>
      <c r="U145" s="12" t="s">
        <v>86</v>
      </c>
      <c r="V145" s="13"/>
      <c r="W145" s="14" t="n">
        <v>20000</v>
      </c>
      <c r="X145" s="14"/>
      <c r="Y145" s="14"/>
      <c r="Z145" s="14"/>
      <c r="AA145" s="15" t="str">
        <f aca="false">IF(COUNT(X145,Y145,Z145)=0,"",SUM(X145,Y145,Z145))</f>
        <v/>
      </c>
      <c r="AB145" s="16" t="str">
        <f aca="false">IFERROR(IF(OR(W145="",AA145=""),"",(W145-AA145)/W145),"")</f>
        <v/>
      </c>
      <c r="AC145" s="17" t="str">
        <f aca="false">IFERROR(IF(OR(AA145="",AA145=0),"",W145/AA145),"")</f>
        <v/>
      </c>
      <c r="AD145" s="12" t="s">
        <v>87</v>
      </c>
      <c r="AE145" s="12" t="s">
        <v>88</v>
      </c>
      <c r="AF145" s="12"/>
      <c r="AG145" s="12"/>
      <c r="AH145" s="12"/>
      <c r="AI145" s="12"/>
      <c r="AJ145" s="12"/>
      <c r="AK145" s="12"/>
      <c r="AL145" s="12" t="s">
        <v>88</v>
      </c>
      <c r="AM145" s="12"/>
      <c r="AN145" s="12"/>
      <c r="AO145" s="12"/>
      <c r="AP145" s="12"/>
    </row>
    <row r="146" customFormat="false" ht="30" hidden="false" customHeight="true" outlineLevel="0" collapsed="false">
      <c r="A146" s="12" t="s">
        <v>307</v>
      </c>
      <c r="B146" s="12" t="s">
        <v>308</v>
      </c>
      <c r="C146" s="12"/>
      <c r="D146" s="12" t="s">
        <v>78</v>
      </c>
      <c r="E146" s="12" t="s">
        <v>246</v>
      </c>
      <c r="F146" s="12"/>
      <c r="G146" s="12" t="n">
        <v>4</v>
      </c>
      <c r="H146" s="12" t="s">
        <v>247</v>
      </c>
      <c r="I146" s="12" t="s">
        <v>248</v>
      </c>
      <c r="J146" s="12"/>
      <c r="K146" s="12"/>
      <c r="L146" s="13" t="s">
        <v>83</v>
      </c>
      <c r="M146" s="13" t="s">
        <v>84</v>
      </c>
      <c r="N146" s="13" t="s">
        <v>85</v>
      </c>
      <c r="O146" s="12"/>
      <c r="P146" s="13"/>
      <c r="Q146" s="12"/>
      <c r="R146" s="12"/>
      <c r="S146" s="12"/>
      <c r="T146" s="12"/>
      <c r="U146" s="12" t="s">
        <v>86</v>
      </c>
      <c r="V146" s="13"/>
      <c r="W146" s="14" t="n">
        <v>19000</v>
      </c>
      <c r="X146" s="14"/>
      <c r="Y146" s="14"/>
      <c r="Z146" s="14"/>
      <c r="AA146" s="15" t="str">
        <f aca="false">IF(COUNT(X146,Y146,Z146)=0,"",SUM(X146,Y146,Z146))</f>
        <v/>
      </c>
      <c r="AB146" s="16" t="str">
        <f aca="false">IFERROR(IF(OR(W146="",AA146=""),"",(W146-AA146)/W146),"")</f>
        <v/>
      </c>
      <c r="AC146" s="17" t="str">
        <f aca="false">IFERROR(IF(OR(AA146="",AA146=0),"",W146/AA146),"")</f>
        <v/>
      </c>
      <c r="AD146" s="12" t="s">
        <v>87</v>
      </c>
      <c r="AE146" s="12" t="s">
        <v>88</v>
      </c>
      <c r="AF146" s="12"/>
      <c r="AG146" s="12"/>
      <c r="AH146" s="12"/>
      <c r="AI146" s="12"/>
      <c r="AJ146" s="12"/>
      <c r="AK146" s="12"/>
      <c r="AL146" s="12" t="s">
        <v>88</v>
      </c>
      <c r="AM146" s="12"/>
      <c r="AN146" s="12"/>
      <c r="AO146" s="12"/>
      <c r="AP146" s="12"/>
    </row>
    <row r="147" customFormat="false" ht="30" hidden="false" customHeight="true" outlineLevel="0" collapsed="false">
      <c r="A147" s="12" t="s">
        <v>309</v>
      </c>
      <c r="B147" s="12" t="s">
        <v>310</v>
      </c>
      <c r="C147" s="12"/>
      <c r="D147" s="12" t="s">
        <v>78</v>
      </c>
      <c r="E147" s="12" t="s">
        <v>252</v>
      </c>
      <c r="F147" s="12"/>
      <c r="G147" s="12" t="n">
        <v>4</v>
      </c>
      <c r="H147" s="12" t="s">
        <v>253</v>
      </c>
      <c r="I147" s="12" t="s">
        <v>254</v>
      </c>
      <c r="J147" s="12"/>
      <c r="K147" s="12"/>
      <c r="L147" s="13" t="s">
        <v>83</v>
      </c>
      <c r="M147" s="13" t="s">
        <v>84</v>
      </c>
      <c r="N147" s="13" t="s">
        <v>85</v>
      </c>
      <c r="O147" s="12"/>
      <c r="P147" s="13"/>
      <c r="Q147" s="12"/>
      <c r="R147" s="12"/>
      <c r="S147" s="12"/>
      <c r="T147" s="12"/>
      <c r="U147" s="12" t="s">
        <v>86</v>
      </c>
      <c r="V147" s="13"/>
      <c r="W147" s="14" t="n">
        <v>19000</v>
      </c>
      <c r="X147" s="14"/>
      <c r="Y147" s="14"/>
      <c r="Z147" s="14"/>
      <c r="AA147" s="15" t="str">
        <f aca="false">IF(COUNT(X147,Y147,Z147)=0,"",SUM(X147,Y147,Z147))</f>
        <v/>
      </c>
      <c r="AB147" s="16" t="str">
        <f aca="false">IFERROR(IF(OR(W147="",AA147=""),"",(W147-AA147)/W147),"")</f>
        <v/>
      </c>
      <c r="AC147" s="17" t="str">
        <f aca="false">IFERROR(IF(OR(AA147="",AA147=0),"",W147/AA147),"")</f>
        <v/>
      </c>
      <c r="AD147" s="12" t="s">
        <v>87</v>
      </c>
      <c r="AE147" s="12" t="s">
        <v>88</v>
      </c>
      <c r="AF147" s="12"/>
      <c r="AG147" s="12"/>
      <c r="AH147" s="12"/>
      <c r="AI147" s="12"/>
      <c r="AJ147" s="12"/>
      <c r="AK147" s="12"/>
      <c r="AL147" s="12" t="s">
        <v>88</v>
      </c>
      <c r="AM147" s="12"/>
      <c r="AN147" s="12"/>
      <c r="AO147" s="12"/>
      <c r="AP147" s="12"/>
    </row>
    <row r="148" customFormat="false" ht="30" hidden="false" customHeight="true" outlineLevel="0" collapsed="false">
      <c r="A148" s="12" t="s">
        <v>311</v>
      </c>
      <c r="B148" s="12" t="s">
        <v>312</v>
      </c>
      <c r="C148" s="12"/>
      <c r="D148" s="12" t="s">
        <v>78</v>
      </c>
      <c r="E148" s="12" t="s">
        <v>258</v>
      </c>
      <c r="F148" s="12"/>
      <c r="G148" s="12" t="n">
        <v>4</v>
      </c>
      <c r="H148" s="12" t="s">
        <v>259</v>
      </c>
      <c r="I148" s="12" t="s">
        <v>260</v>
      </c>
      <c r="J148" s="12"/>
      <c r="K148" s="12"/>
      <c r="L148" s="13" t="s">
        <v>83</v>
      </c>
      <c r="M148" s="13" t="s">
        <v>84</v>
      </c>
      <c r="N148" s="13" t="s">
        <v>85</v>
      </c>
      <c r="O148" s="12"/>
      <c r="P148" s="13"/>
      <c r="Q148" s="12"/>
      <c r="R148" s="12"/>
      <c r="S148" s="12"/>
      <c r="T148" s="12"/>
      <c r="U148" s="12" t="s">
        <v>86</v>
      </c>
      <c r="V148" s="13"/>
      <c r="W148" s="14" t="n">
        <v>19000</v>
      </c>
      <c r="X148" s="14"/>
      <c r="Y148" s="14"/>
      <c r="Z148" s="14"/>
      <c r="AA148" s="15" t="str">
        <f aca="false">IF(COUNT(X148,Y148,Z148)=0,"",SUM(X148,Y148,Z148))</f>
        <v/>
      </c>
      <c r="AB148" s="16" t="str">
        <f aca="false">IFERROR(IF(OR(W148="",AA148=""),"",(W148-AA148)/W148),"")</f>
        <v/>
      </c>
      <c r="AC148" s="17" t="str">
        <f aca="false">IFERROR(IF(OR(AA148="",AA148=0),"",W148/AA148),"")</f>
        <v/>
      </c>
      <c r="AD148" s="12" t="s">
        <v>87</v>
      </c>
      <c r="AE148" s="12" t="s">
        <v>88</v>
      </c>
      <c r="AF148" s="12"/>
      <c r="AG148" s="12"/>
      <c r="AH148" s="12"/>
      <c r="AI148" s="12"/>
      <c r="AJ148" s="12"/>
      <c r="AK148" s="12"/>
      <c r="AL148" s="12" t="s">
        <v>88</v>
      </c>
      <c r="AM148" s="12"/>
      <c r="AN148" s="12"/>
      <c r="AO148" s="12"/>
      <c r="AP148" s="12"/>
    </row>
    <row r="149" customFormat="false" ht="30" hidden="false" customHeight="true" outlineLevel="0" collapsed="false">
      <c r="A149" s="12" t="s">
        <v>313</v>
      </c>
      <c r="B149" s="12" t="s">
        <v>314</v>
      </c>
      <c r="C149" s="12"/>
      <c r="D149" s="12" t="s">
        <v>78</v>
      </c>
      <c r="E149" s="12" t="s">
        <v>264</v>
      </c>
      <c r="F149" s="12"/>
      <c r="G149" s="12" t="n">
        <v>4</v>
      </c>
      <c r="H149" s="12" t="s">
        <v>265</v>
      </c>
      <c r="I149" s="12" t="s">
        <v>266</v>
      </c>
      <c r="J149" s="12"/>
      <c r="K149" s="12"/>
      <c r="L149" s="13" t="s">
        <v>83</v>
      </c>
      <c r="M149" s="13" t="s">
        <v>84</v>
      </c>
      <c r="N149" s="13" t="s">
        <v>85</v>
      </c>
      <c r="O149" s="12"/>
      <c r="P149" s="13"/>
      <c r="Q149" s="12"/>
      <c r="R149" s="12"/>
      <c r="S149" s="12"/>
      <c r="T149" s="12"/>
      <c r="U149" s="12" t="s">
        <v>86</v>
      </c>
      <c r="V149" s="13"/>
      <c r="W149" s="14" t="n">
        <v>19000</v>
      </c>
      <c r="X149" s="14"/>
      <c r="Y149" s="14"/>
      <c r="Z149" s="14"/>
      <c r="AA149" s="15" t="str">
        <f aca="false">IF(COUNT(X149,Y149,Z149)=0,"",SUM(X149,Y149,Z149))</f>
        <v/>
      </c>
      <c r="AB149" s="16" t="str">
        <f aca="false">IFERROR(IF(OR(W149="",AA149=""),"",(W149-AA149)/W149),"")</f>
        <v/>
      </c>
      <c r="AC149" s="17" t="str">
        <f aca="false">IFERROR(IF(OR(AA149="",AA149=0),"",W149/AA149),"")</f>
        <v/>
      </c>
      <c r="AD149" s="12" t="s">
        <v>87</v>
      </c>
      <c r="AE149" s="12" t="s">
        <v>88</v>
      </c>
      <c r="AF149" s="12"/>
      <c r="AG149" s="12"/>
      <c r="AH149" s="12"/>
      <c r="AI149" s="12"/>
      <c r="AJ149" s="12"/>
      <c r="AK149" s="12"/>
      <c r="AL149" s="12" t="s">
        <v>88</v>
      </c>
      <c r="AM149" s="12"/>
      <c r="AN149" s="12"/>
      <c r="AO149" s="12"/>
      <c r="AP149" s="12"/>
    </row>
    <row r="150" customFormat="false" ht="30" hidden="false" customHeight="true" outlineLevel="0" collapsed="false">
      <c r="A150" s="12" t="s">
        <v>315</v>
      </c>
      <c r="B150" s="12" t="s">
        <v>269</v>
      </c>
      <c r="C150" s="12"/>
      <c r="D150" s="12" t="s">
        <v>78</v>
      </c>
      <c r="E150" s="12" t="s">
        <v>270</v>
      </c>
      <c r="F150" s="12"/>
      <c r="G150" s="12" t="n">
        <v>4</v>
      </c>
      <c r="H150" s="12" t="s">
        <v>271</v>
      </c>
      <c r="I150" s="12" t="s">
        <v>272</v>
      </c>
      <c r="J150" s="12"/>
      <c r="K150" s="12"/>
      <c r="L150" s="13" t="s">
        <v>83</v>
      </c>
      <c r="M150" s="13" t="s">
        <v>84</v>
      </c>
      <c r="N150" s="13" t="s">
        <v>85</v>
      </c>
      <c r="O150" s="12"/>
      <c r="P150" s="13"/>
      <c r="Q150" s="12"/>
      <c r="R150" s="12"/>
      <c r="S150" s="12"/>
      <c r="T150" s="12"/>
      <c r="U150" s="12" t="s">
        <v>86</v>
      </c>
      <c r="V150" s="13"/>
      <c r="W150" s="14" t="n">
        <v>19000</v>
      </c>
      <c r="X150" s="14"/>
      <c r="Y150" s="14"/>
      <c r="Z150" s="14"/>
      <c r="AA150" s="15" t="str">
        <f aca="false">IF(COUNT(X150,Y150,Z150)=0,"",SUM(X150,Y150,Z150))</f>
        <v/>
      </c>
      <c r="AB150" s="16" t="str">
        <f aca="false">IFERROR(IF(OR(W150="",AA150=""),"",(W150-AA150)/W150),"")</f>
        <v/>
      </c>
      <c r="AC150" s="17" t="str">
        <f aca="false">IFERROR(IF(OR(AA150="",AA150=0),"",W150/AA150),"")</f>
        <v/>
      </c>
      <c r="AD150" s="12" t="s">
        <v>87</v>
      </c>
      <c r="AE150" s="12" t="s">
        <v>88</v>
      </c>
      <c r="AF150" s="12"/>
      <c r="AG150" s="12"/>
      <c r="AH150" s="12"/>
      <c r="AI150" s="12"/>
      <c r="AJ150" s="12"/>
      <c r="AK150" s="12"/>
      <c r="AL150" s="12" t="s">
        <v>88</v>
      </c>
      <c r="AM150" s="12"/>
      <c r="AN150" s="12"/>
      <c r="AO150" s="12"/>
      <c r="AP150" s="12"/>
    </row>
    <row r="151" customFormat="false" ht="30" hidden="false" customHeight="true" outlineLevel="0" collapsed="false">
      <c r="A151" s="12" t="s">
        <v>316</v>
      </c>
      <c r="B151" s="12" t="s">
        <v>308</v>
      </c>
      <c r="C151" s="12"/>
      <c r="D151" s="12" t="s">
        <v>78</v>
      </c>
      <c r="E151" s="12" t="s">
        <v>246</v>
      </c>
      <c r="F151" s="12"/>
      <c r="G151" s="12" t="n">
        <v>6</v>
      </c>
      <c r="H151" s="12" t="s">
        <v>247</v>
      </c>
      <c r="I151" s="12" t="s">
        <v>248</v>
      </c>
      <c r="J151" s="12"/>
      <c r="K151" s="12"/>
      <c r="L151" s="13" t="s">
        <v>83</v>
      </c>
      <c r="M151" s="13" t="s">
        <v>84</v>
      </c>
      <c r="N151" s="13" t="s">
        <v>85</v>
      </c>
      <c r="O151" s="12"/>
      <c r="P151" s="13"/>
      <c r="Q151" s="12"/>
      <c r="R151" s="12"/>
      <c r="S151" s="12"/>
      <c r="T151" s="12"/>
      <c r="U151" s="12" t="s">
        <v>86</v>
      </c>
      <c r="V151" s="13"/>
      <c r="W151" s="14" t="n">
        <v>29500</v>
      </c>
      <c r="X151" s="14"/>
      <c r="Y151" s="14"/>
      <c r="Z151" s="14"/>
      <c r="AA151" s="15" t="str">
        <f aca="false">IF(COUNT(X151,Y151,Z151)=0,"",SUM(X151,Y151,Z151))</f>
        <v/>
      </c>
      <c r="AB151" s="16" t="str">
        <f aca="false">IFERROR(IF(OR(W151="",AA151=""),"",(W151-AA151)/W151),"")</f>
        <v/>
      </c>
      <c r="AC151" s="17" t="str">
        <f aca="false">IFERROR(IF(OR(AA151="",AA151=0),"",W151/AA151),"")</f>
        <v/>
      </c>
      <c r="AD151" s="12" t="s">
        <v>87</v>
      </c>
      <c r="AE151" s="12" t="s">
        <v>88</v>
      </c>
      <c r="AF151" s="12"/>
      <c r="AG151" s="12"/>
      <c r="AH151" s="12"/>
      <c r="AI151" s="12"/>
      <c r="AJ151" s="12"/>
      <c r="AK151" s="12"/>
      <c r="AL151" s="12" t="s">
        <v>88</v>
      </c>
      <c r="AM151" s="12"/>
      <c r="AN151" s="12"/>
      <c r="AO151" s="12"/>
      <c r="AP151" s="12"/>
    </row>
    <row r="152" customFormat="false" ht="30" hidden="false" customHeight="true" outlineLevel="0" collapsed="false">
      <c r="A152" s="12" t="s">
        <v>317</v>
      </c>
      <c r="B152" s="12" t="s">
        <v>310</v>
      </c>
      <c r="C152" s="12"/>
      <c r="D152" s="12" t="s">
        <v>78</v>
      </c>
      <c r="E152" s="12" t="s">
        <v>252</v>
      </c>
      <c r="F152" s="12"/>
      <c r="G152" s="12" t="n">
        <v>1</v>
      </c>
      <c r="H152" s="12" t="s">
        <v>253</v>
      </c>
      <c r="I152" s="12" t="s">
        <v>254</v>
      </c>
      <c r="J152" s="12"/>
      <c r="K152" s="12"/>
      <c r="L152" s="13" t="s">
        <v>83</v>
      </c>
      <c r="M152" s="13" t="s">
        <v>84</v>
      </c>
      <c r="N152" s="13" t="s">
        <v>85</v>
      </c>
      <c r="O152" s="12"/>
      <c r="P152" s="13"/>
      <c r="Q152" s="12"/>
      <c r="R152" s="12"/>
      <c r="S152" s="12"/>
      <c r="T152" s="12"/>
      <c r="U152" s="12" t="s">
        <v>86</v>
      </c>
      <c r="V152" s="13"/>
      <c r="W152" s="14" t="n">
        <v>29500</v>
      </c>
      <c r="X152" s="14"/>
      <c r="Y152" s="14"/>
      <c r="Z152" s="14"/>
      <c r="AA152" s="15" t="str">
        <f aca="false">IF(COUNT(X152,Y152,Z152)=0,"",SUM(X152,Y152,Z152))</f>
        <v/>
      </c>
      <c r="AB152" s="16" t="str">
        <f aca="false">IFERROR(IF(OR(W152="",AA152=""),"",(W152-AA152)/W152),"")</f>
        <v/>
      </c>
      <c r="AC152" s="17" t="str">
        <f aca="false">IFERROR(IF(OR(AA152="",AA152=0),"",W152/AA152),"")</f>
        <v/>
      </c>
      <c r="AD152" s="12" t="s">
        <v>87</v>
      </c>
      <c r="AE152" s="12" t="s">
        <v>88</v>
      </c>
      <c r="AF152" s="12"/>
      <c r="AG152" s="12"/>
      <c r="AH152" s="12"/>
      <c r="AI152" s="12"/>
      <c r="AJ152" s="12"/>
      <c r="AK152" s="12"/>
      <c r="AL152" s="12" t="s">
        <v>88</v>
      </c>
      <c r="AM152" s="12"/>
      <c r="AN152" s="12"/>
      <c r="AO152" s="12"/>
      <c r="AP152" s="12"/>
    </row>
    <row r="153" customFormat="false" ht="30" hidden="false" customHeight="true" outlineLevel="0" collapsed="false">
      <c r="A153" s="12" t="s">
        <v>318</v>
      </c>
      <c r="B153" s="12" t="s">
        <v>312</v>
      </c>
      <c r="C153" s="12"/>
      <c r="D153" s="12" t="s">
        <v>78</v>
      </c>
      <c r="E153" s="12" t="s">
        <v>258</v>
      </c>
      <c r="F153" s="12"/>
      <c r="G153" s="12" t="n">
        <v>2</v>
      </c>
      <c r="H153" s="12" t="s">
        <v>259</v>
      </c>
      <c r="I153" s="12" t="s">
        <v>260</v>
      </c>
      <c r="J153" s="12"/>
      <c r="K153" s="12"/>
      <c r="L153" s="13" t="s">
        <v>83</v>
      </c>
      <c r="M153" s="13" t="s">
        <v>84</v>
      </c>
      <c r="N153" s="13" t="s">
        <v>85</v>
      </c>
      <c r="O153" s="12"/>
      <c r="P153" s="13"/>
      <c r="Q153" s="12"/>
      <c r="R153" s="12"/>
      <c r="S153" s="12"/>
      <c r="T153" s="12"/>
      <c r="U153" s="12" t="s">
        <v>86</v>
      </c>
      <c r="V153" s="13"/>
      <c r="W153" s="14" t="n">
        <v>29500</v>
      </c>
      <c r="X153" s="14"/>
      <c r="Y153" s="14"/>
      <c r="Z153" s="14"/>
      <c r="AA153" s="15" t="str">
        <f aca="false">IF(COUNT(X153,Y153,Z153)=0,"",SUM(X153,Y153,Z153))</f>
        <v/>
      </c>
      <c r="AB153" s="16" t="str">
        <f aca="false">IFERROR(IF(OR(W153="",AA153=""),"",(W153-AA153)/W153),"")</f>
        <v/>
      </c>
      <c r="AC153" s="17" t="str">
        <f aca="false">IFERROR(IF(OR(AA153="",AA153=0),"",W153/AA153),"")</f>
        <v/>
      </c>
      <c r="AD153" s="12" t="s">
        <v>87</v>
      </c>
      <c r="AE153" s="12" t="s">
        <v>88</v>
      </c>
      <c r="AF153" s="12"/>
      <c r="AG153" s="12"/>
      <c r="AH153" s="12"/>
      <c r="AI153" s="12"/>
      <c r="AJ153" s="12"/>
      <c r="AK153" s="12"/>
      <c r="AL153" s="12" t="s">
        <v>88</v>
      </c>
      <c r="AM153" s="12"/>
      <c r="AN153" s="12"/>
      <c r="AO153" s="12"/>
      <c r="AP153" s="12"/>
    </row>
    <row r="154" customFormat="false" ht="30" hidden="false" customHeight="true" outlineLevel="0" collapsed="false">
      <c r="A154" s="12" t="s">
        <v>319</v>
      </c>
      <c r="B154" s="12" t="s">
        <v>314</v>
      </c>
      <c r="C154" s="12"/>
      <c r="D154" s="12" t="s">
        <v>78</v>
      </c>
      <c r="E154" s="12" t="s">
        <v>264</v>
      </c>
      <c r="F154" s="12"/>
      <c r="G154" s="12" t="n">
        <v>2</v>
      </c>
      <c r="H154" s="12" t="s">
        <v>265</v>
      </c>
      <c r="I154" s="12" t="s">
        <v>266</v>
      </c>
      <c r="J154" s="12"/>
      <c r="K154" s="12"/>
      <c r="L154" s="13" t="s">
        <v>83</v>
      </c>
      <c r="M154" s="13" t="s">
        <v>84</v>
      </c>
      <c r="N154" s="13" t="s">
        <v>85</v>
      </c>
      <c r="O154" s="12"/>
      <c r="P154" s="13"/>
      <c r="Q154" s="12"/>
      <c r="R154" s="12"/>
      <c r="S154" s="12"/>
      <c r="T154" s="12"/>
      <c r="U154" s="12" t="s">
        <v>86</v>
      </c>
      <c r="V154" s="13"/>
      <c r="W154" s="14" t="n">
        <v>29500</v>
      </c>
      <c r="X154" s="14"/>
      <c r="Y154" s="14"/>
      <c r="Z154" s="14"/>
      <c r="AA154" s="15" t="str">
        <f aca="false">IF(COUNT(X154,Y154,Z154)=0,"",SUM(X154,Y154,Z154))</f>
        <v/>
      </c>
      <c r="AB154" s="16" t="str">
        <f aca="false">IFERROR(IF(OR(W154="",AA154=""),"",(W154-AA154)/W154),"")</f>
        <v/>
      </c>
      <c r="AC154" s="17" t="str">
        <f aca="false">IFERROR(IF(OR(AA154="",AA154=0),"",W154/AA154),"")</f>
        <v/>
      </c>
      <c r="AD154" s="12" t="s">
        <v>87</v>
      </c>
      <c r="AE154" s="12" t="s">
        <v>88</v>
      </c>
      <c r="AF154" s="12"/>
      <c r="AG154" s="12"/>
      <c r="AH154" s="12"/>
      <c r="AI154" s="12"/>
      <c r="AJ154" s="12"/>
      <c r="AK154" s="12"/>
      <c r="AL154" s="12" t="s">
        <v>88</v>
      </c>
      <c r="AM154" s="12"/>
      <c r="AN154" s="12"/>
      <c r="AO154" s="12"/>
      <c r="AP154" s="12"/>
    </row>
    <row r="155" customFormat="false" ht="30" hidden="false" customHeight="true" outlineLevel="0" collapsed="false">
      <c r="A155" s="12" t="s">
        <v>320</v>
      </c>
      <c r="B155" s="12" t="s">
        <v>269</v>
      </c>
      <c r="C155" s="12"/>
      <c r="D155" s="12" t="s">
        <v>78</v>
      </c>
      <c r="E155" s="12" t="s">
        <v>270</v>
      </c>
      <c r="F155" s="12"/>
      <c r="G155" s="12" t="n">
        <v>2</v>
      </c>
      <c r="H155" s="12" t="s">
        <v>271</v>
      </c>
      <c r="I155" s="12" t="s">
        <v>272</v>
      </c>
      <c r="J155" s="12"/>
      <c r="K155" s="12"/>
      <c r="L155" s="13" t="s">
        <v>83</v>
      </c>
      <c r="M155" s="13" t="s">
        <v>84</v>
      </c>
      <c r="N155" s="13" t="s">
        <v>85</v>
      </c>
      <c r="O155" s="12"/>
      <c r="P155" s="13"/>
      <c r="Q155" s="12"/>
      <c r="R155" s="12"/>
      <c r="S155" s="12"/>
      <c r="T155" s="12"/>
      <c r="U155" s="12" t="s">
        <v>86</v>
      </c>
      <c r="V155" s="13"/>
      <c r="W155" s="14" t="n">
        <v>29500</v>
      </c>
      <c r="X155" s="14"/>
      <c r="Y155" s="14"/>
      <c r="Z155" s="14"/>
      <c r="AA155" s="15" t="str">
        <f aca="false">IF(COUNT(X155,Y155,Z155)=0,"",SUM(X155,Y155,Z155))</f>
        <v/>
      </c>
      <c r="AB155" s="16" t="str">
        <f aca="false">IFERROR(IF(OR(W155="",AA155=""),"",(W155-AA155)/W155),"")</f>
        <v/>
      </c>
      <c r="AC155" s="17" t="str">
        <f aca="false">IFERROR(IF(OR(AA155="",AA155=0),"",W155/AA155),"")</f>
        <v/>
      </c>
      <c r="AD155" s="12" t="s">
        <v>87</v>
      </c>
      <c r="AE155" s="12" t="s">
        <v>88</v>
      </c>
      <c r="AF155" s="12"/>
      <c r="AG155" s="12"/>
      <c r="AH155" s="12"/>
      <c r="AI155" s="12"/>
      <c r="AJ155" s="12"/>
      <c r="AK155" s="12"/>
      <c r="AL155" s="12" t="s">
        <v>88</v>
      </c>
      <c r="AM155" s="12"/>
      <c r="AN155" s="12"/>
      <c r="AO155" s="12"/>
      <c r="AP155" s="12"/>
    </row>
    <row r="156" customFormat="false" ht="30" hidden="false" customHeight="true" outlineLevel="0" collapsed="false">
      <c r="A156" s="12" t="s">
        <v>321</v>
      </c>
      <c r="B156" s="12" t="s">
        <v>322</v>
      </c>
      <c r="C156" s="12"/>
      <c r="D156" s="12" t="s">
        <v>323</v>
      </c>
      <c r="E156" s="12" t="s">
        <v>246</v>
      </c>
      <c r="F156" s="12"/>
      <c r="G156" s="12" t="n">
        <v>5</v>
      </c>
      <c r="H156" s="12" t="s">
        <v>247</v>
      </c>
      <c r="I156" s="12" t="s">
        <v>248</v>
      </c>
      <c r="J156" s="12"/>
      <c r="K156" s="12"/>
      <c r="L156" s="13" t="s">
        <v>83</v>
      </c>
      <c r="M156" s="13" t="s">
        <v>84</v>
      </c>
      <c r="N156" s="13" t="s">
        <v>85</v>
      </c>
      <c r="O156" s="12"/>
      <c r="P156" s="13"/>
      <c r="Q156" s="12"/>
      <c r="R156" s="12"/>
      <c r="S156" s="12"/>
      <c r="T156" s="12"/>
      <c r="U156" s="12" t="s">
        <v>86</v>
      </c>
      <c r="V156" s="13"/>
      <c r="W156" s="14" t="n">
        <v>20000</v>
      </c>
      <c r="X156" s="14"/>
      <c r="Y156" s="14"/>
      <c r="Z156" s="14"/>
      <c r="AA156" s="15" t="str">
        <f aca="false">IF(COUNT(X156,Y156,Z156)=0,"",SUM(X156,Y156,Z156))</f>
        <v/>
      </c>
      <c r="AB156" s="16" t="str">
        <f aca="false">IFERROR(IF(OR(W156="",AA156=""),"",(W156-AA156)/W156),"")</f>
        <v/>
      </c>
      <c r="AC156" s="17" t="str">
        <f aca="false">IFERROR(IF(OR(AA156="",AA156=0),"",W156/AA156),"")</f>
        <v/>
      </c>
      <c r="AD156" s="12" t="s">
        <v>87</v>
      </c>
      <c r="AE156" s="12" t="s">
        <v>88</v>
      </c>
      <c r="AF156" s="12"/>
      <c r="AG156" s="12"/>
      <c r="AH156" s="12"/>
      <c r="AI156" s="12"/>
      <c r="AJ156" s="12"/>
      <c r="AK156" s="12"/>
      <c r="AL156" s="12" t="s">
        <v>88</v>
      </c>
      <c r="AM156" s="12"/>
      <c r="AN156" s="12"/>
      <c r="AO156" s="12"/>
      <c r="AP156" s="12"/>
    </row>
    <row r="157" customFormat="false" ht="30" hidden="false" customHeight="true" outlineLevel="0" collapsed="false">
      <c r="A157" s="12" t="s">
        <v>324</v>
      </c>
      <c r="B157" s="12" t="s">
        <v>325</v>
      </c>
      <c r="C157" s="12"/>
      <c r="D157" s="12" t="s">
        <v>323</v>
      </c>
      <c r="E157" s="12" t="s">
        <v>252</v>
      </c>
      <c r="F157" s="12"/>
      <c r="G157" s="12" t="n">
        <v>5</v>
      </c>
      <c r="H157" s="12" t="s">
        <v>253</v>
      </c>
      <c r="I157" s="12" t="s">
        <v>254</v>
      </c>
      <c r="J157" s="12"/>
      <c r="K157" s="12"/>
      <c r="L157" s="13" t="s">
        <v>83</v>
      </c>
      <c r="M157" s="13" t="s">
        <v>84</v>
      </c>
      <c r="N157" s="13" t="s">
        <v>85</v>
      </c>
      <c r="O157" s="12"/>
      <c r="P157" s="13"/>
      <c r="Q157" s="12"/>
      <c r="R157" s="12"/>
      <c r="S157" s="12"/>
      <c r="T157" s="12"/>
      <c r="U157" s="12" t="s">
        <v>86</v>
      </c>
      <c r="V157" s="13"/>
      <c r="W157" s="14" t="n">
        <v>20000</v>
      </c>
      <c r="X157" s="14"/>
      <c r="Y157" s="14"/>
      <c r="Z157" s="14"/>
      <c r="AA157" s="15" t="str">
        <f aca="false">IF(COUNT(X157,Y157,Z157)=0,"",SUM(X157,Y157,Z157))</f>
        <v/>
      </c>
      <c r="AB157" s="16" t="str">
        <f aca="false">IFERROR(IF(OR(W157="",AA157=""),"",(W157-AA157)/W157),"")</f>
        <v/>
      </c>
      <c r="AC157" s="17" t="str">
        <f aca="false">IFERROR(IF(OR(AA157="",AA157=0),"",W157/AA157),"")</f>
        <v/>
      </c>
      <c r="AD157" s="12" t="s">
        <v>87</v>
      </c>
      <c r="AE157" s="12" t="s">
        <v>88</v>
      </c>
      <c r="AF157" s="12"/>
      <c r="AG157" s="12"/>
      <c r="AH157" s="12"/>
      <c r="AI157" s="12"/>
      <c r="AJ157" s="12"/>
      <c r="AK157" s="12"/>
      <c r="AL157" s="12" t="s">
        <v>88</v>
      </c>
      <c r="AM157" s="12"/>
      <c r="AN157" s="12"/>
      <c r="AO157" s="12"/>
      <c r="AP157" s="12"/>
    </row>
    <row r="158" customFormat="false" ht="30" hidden="false" customHeight="true" outlineLevel="0" collapsed="false">
      <c r="A158" s="12" t="s">
        <v>326</v>
      </c>
      <c r="B158" s="12" t="s">
        <v>327</v>
      </c>
      <c r="C158" s="12"/>
      <c r="D158" s="12" t="s">
        <v>323</v>
      </c>
      <c r="E158" s="12" t="s">
        <v>264</v>
      </c>
      <c r="F158" s="12"/>
      <c r="G158" s="12" t="n">
        <v>5</v>
      </c>
      <c r="H158" s="12" t="s">
        <v>265</v>
      </c>
      <c r="I158" s="12" t="s">
        <v>266</v>
      </c>
      <c r="J158" s="12"/>
      <c r="K158" s="12"/>
      <c r="L158" s="13" t="s">
        <v>83</v>
      </c>
      <c r="M158" s="13" t="s">
        <v>84</v>
      </c>
      <c r="N158" s="13" t="s">
        <v>85</v>
      </c>
      <c r="O158" s="12"/>
      <c r="P158" s="13"/>
      <c r="Q158" s="12"/>
      <c r="R158" s="12"/>
      <c r="S158" s="12"/>
      <c r="T158" s="12"/>
      <c r="U158" s="12" t="s">
        <v>86</v>
      </c>
      <c r="V158" s="13"/>
      <c r="W158" s="14" t="n">
        <v>20000</v>
      </c>
      <c r="X158" s="14"/>
      <c r="Y158" s="14"/>
      <c r="Z158" s="14"/>
      <c r="AA158" s="15" t="str">
        <f aca="false">IF(COUNT(X158,Y158,Z158)=0,"",SUM(X158,Y158,Z158))</f>
        <v/>
      </c>
      <c r="AB158" s="16" t="str">
        <f aca="false">IFERROR(IF(OR(W158="",AA158=""),"",(W158-AA158)/W158),"")</f>
        <v/>
      </c>
      <c r="AC158" s="17" t="str">
        <f aca="false">IFERROR(IF(OR(AA158="",AA158=0),"",W158/AA158),"")</f>
        <v/>
      </c>
      <c r="AD158" s="12" t="s">
        <v>87</v>
      </c>
      <c r="AE158" s="12" t="s">
        <v>88</v>
      </c>
      <c r="AF158" s="12"/>
      <c r="AG158" s="12"/>
      <c r="AH158" s="12"/>
      <c r="AI158" s="12"/>
      <c r="AJ158" s="12"/>
      <c r="AK158" s="12"/>
      <c r="AL158" s="12" t="s">
        <v>88</v>
      </c>
      <c r="AM158" s="12"/>
      <c r="AN158" s="12"/>
      <c r="AO158" s="12"/>
      <c r="AP158" s="12"/>
    </row>
    <row r="159" customFormat="false" ht="30" hidden="false" customHeight="true" outlineLevel="0" collapsed="false">
      <c r="A159" s="12" t="s">
        <v>328</v>
      </c>
      <c r="B159" s="12" t="s">
        <v>269</v>
      </c>
      <c r="C159" s="12"/>
      <c r="D159" s="12" t="s">
        <v>323</v>
      </c>
      <c r="E159" s="12" t="s">
        <v>270</v>
      </c>
      <c r="F159" s="12"/>
      <c r="G159" s="12" t="n">
        <v>5</v>
      </c>
      <c r="H159" s="12" t="s">
        <v>271</v>
      </c>
      <c r="I159" s="12" t="s">
        <v>272</v>
      </c>
      <c r="J159" s="12"/>
      <c r="K159" s="12"/>
      <c r="L159" s="13" t="s">
        <v>83</v>
      </c>
      <c r="M159" s="13" t="s">
        <v>84</v>
      </c>
      <c r="N159" s="13" t="s">
        <v>85</v>
      </c>
      <c r="O159" s="12"/>
      <c r="P159" s="13"/>
      <c r="Q159" s="12"/>
      <c r="R159" s="12"/>
      <c r="S159" s="12"/>
      <c r="T159" s="12"/>
      <c r="U159" s="12" t="s">
        <v>86</v>
      </c>
      <c r="V159" s="13"/>
      <c r="W159" s="14" t="n">
        <v>20000</v>
      </c>
      <c r="X159" s="14"/>
      <c r="Y159" s="14"/>
      <c r="Z159" s="14"/>
      <c r="AA159" s="15" t="str">
        <f aca="false">IF(COUNT(X159,Y159,Z159)=0,"",SUM(X159,Y159,Z159))</f>
        <v/>
      </c>
      <c r="AB159" s="16" t="str">
        <f aca="false">IFERROR(IF(OR(W159="",AA159=""),"",(W159-AA159)/W159),"")</f>
        <v/>
      </c>
      <c r="AC159" s="17" t="str">
        <f aca="false">IFERROR(IF(OR(AA159="",AA159=0),"",W159/AA159),"")</f>
        <v/>
      </c>
      <c r="AD159" s="12" t="s">
        <v>87</v>
      </c>
      <c r="AE159" s="12" t="s">
        <v>88</v>
      </c>
      <c r="AF159" s="12"/>
      <c r="AG159" s="12"/>
      <c r="AH159" s="12"/>
      <c r="AI159" s="12"/>
      <c r="AJ159" s="12"/>
      <c r="AK159" s="12"/>
      <c r="AL159" s="12" t="s">
        <v>88</v>
      </c>
      <c r="AM159" s="12"/>
      <c r="AN159" s="12"/>
      <c r="AO159" s="12"/>
      <c r="AP159" s="12"/>
    </row>
    <row r="160" customFormat="false" ht="30" hidden="false" customHeight="true" outlineLevel="0" collapsed="false">
      <c r="A160" s="12" t="s">
        <v>329</v>
      </c>
      <c r="B160" s="12" t="s">
        <v>330</v>
      </c>
      <c r="C160" s="12"/>
      <c r="D160" s="12" t="s">
        <v>323</v>
      </c>
      <c r="E160" s="12" t="s">
        <v>258</v>
      </c>
      <c r="F160" s="12"/>
      <c r="G160" s="12" t="n">
        <v>5</v>
      </c>
      <c r="H160" s="12" t="s">
        <v>259</v>
      </c>
      <c r="I160" s="12" t="s">
        <v>260</v>
      </c>
      <c r="J160" s="12"/>
      <c r="K160" s="12"/>
      <c r="L160" s="13" t="s">
        <v>83</v>
      </c>
      <c r="M160" s="13" t="s">
        <v>84</v>
      </c>
      <c r="N160" s="13" t="s">
        <v>85</v>
      </c>
      <c r="O160" s="12"/>
      <c r="P160" s="13"/>
      <c r="Q160" s="12"/>
      <c r="R160" s="12"/>
      <c r="S160" s="12"/>
      <c r="T160" s="12"/>
      <c r="U160" s="12" t="s">
        <v>86</v>
      </c>
      <c r="V160" s="13"/>
      <c r="W160" s="14" t="n">
        <v>20000</v>
      </c>
      <c r="X160" s="14"/>
      <c r="Y160" s="14"/>
      <c r="Z160" s="14"/>
      <c r="AA160" s="15" t="str">
        <f aca="false">IF(COUNT(X160,Y160,Z160)=0,"",SUM(X160,Y160,Z160))</f>
        <v/>
      </c>
      <c r="AB160" s="16" t="str">
        <f aca="false">IFERROR(IF(OR(W160="",AA160=""),"",(W160-AA160)/W160),"")</f>
        <v/>
      </c>
      <c r="AC160" s="17" t="str">
        <f aca="false">IFERROR(IF(OR(AA160="",AA160=0),"",W160/AA160),"")</f>
        <v/>
      </c>
      <c r="AD160" s="12" t="s">
        <v>87</v>
      </c>
      <c r="AE160" s="12" t="s">
        <v>88</v>
      </c>
      <c r="AF160" s="12"/>
      <c r="AG160" s="12"/>
      <c r="AH160" s="12"/>
      <c r="AI160" s="12"/>
      <c r="AJ160" s="12"/>
      <c r="AK160" s="12"/>
      <c r="AL160" s="12" t="s">
        <v>88</v>
      </c>
      <c r="AM160" s="12"/>
      <c r="AN160" s="12"/>
      <c r="AO160" s="12"/>
      <c r="AP160" s="12"/>
    </row>
    <row r="161" customFormat="false" ht="30" hidden="false" customHeight="true" outlineLevel="0" collapsed="false">
      <c r="A161" s="12" t="s">
        <v>331</v>
      </c>
      <c r="B161" s="12" t="s">
        <v>332</v>
      </c>
      <c r="C161" s="12"/>
      <c r="D161" s="12" t="s">
        <v>333</v>
      </c>
      <c r="E161" s="12" t="s">
        <v>258</v>
      </c>
      <c r="F161" s="12"/>
      <c r="G161" s="12" t="n">
        <v>5</v>
      </c>
      <c r="H161" s="12" t="s">
        <v>259</v>
      </c>
      <c r="I161" s="12" t="s">
        <v>260</v>
      </c>
      <c r="J161" s="12"/>
      <c r="K161" s="12"/>
      <c r="L161" s="13" t="s">
        <v>83</v>
      </c>
      <c r="M161" s="13" t="s">
        <v>84</v>
      </c>
      <c r="N161" s="13" t="s">
        <v>85</v>
      </c>
      <c r="O161" s="12"/>
      <c r="P161" s="13"/>
      <c r="Q161" s="12"/>
      <c r="R161" s="12"/>
      <c r="S161" s="12"/>
      <c r="T161" s="12"/>
      <c r="U161" s="12" t="s">
        <v>86</v>
      </c>
      <c r="V161" s="13"/>
      <c r="W161" s="14" t="n">
        <v>17000</v>
      </c>
      <c r="X161" s="14"/>
      <c r="Y161" s="14"/>
      <c r="Z161" s="14"/>
      <c r="AA161" s="15" t="str">
        <f aca="false">IF(COUNT(X161,Y161,Z161)=0,"",SUM(X161,Y161,Z161))</f>
        <v/>
      </c>
      <c r="AB161" s="16" t="str">
        <f aca="false">IFERROR(IF(OR(W161="",AA161=""),"",(W161-AA161)/W161),"")</f>
        <v/>
      </c>
      <c r="AC161" s="17" t="str">
        <f aca="false">IFERROR(IF(OR(AA161="",AA161=0),"",W161/AA161),"")</f>
        <v/>
      </c>
      <c r="AD161" s="12" t="s">
        <v>87</v>
      </c>
      <c r="AE161" s="12" t="s">
        <v>88</v>
      </c>
      <c r="AF161" s="12"/>
      <c r="AG161" s="12"/>
      <c r="AH161" s="12"/>
      <c r="AI161" s="12"/>
      <c r="AJ161" s="12"/>
      <c r="AK161" s="12"/>
      <c r="AL161" s="12" t="s">
        <v>88</v>
      </c>
      <c r="AM161" s="12"/>
      <c r="AN161" s="12"/>
      <c r="AO161" s="12"/>
      <c r="AP161" s="12"/>
    </row>
    <row r="162" customFormat="false" ht="30" hidden="false" customHeight="true" outlineLevel="0" collapsed="false">
      <c r="A162" s="12" t="s">
        <v>334</v>
      </c>
      <c r="B162" s="12" t="s">
        <v>335</v>
      </c>
      <c r="C162" s="12"/>
      <c r="D162" s="12" t="s">
        <v>333</v>
      </c>
      <c r="E162" s="12" t="s">
        <v>246</v>
      </c>
      <c r="F162" s="12"/>
      <c r="G162" s="12" t="n">
        <v>5</v>
      </c>
      <c r="H162" s="12" t="s">
        <v>247</v>
      </c>
      <c r="I162" s="12" t="s">
        <v>248</v>
      </c>
      <c r="J162" s="12"/>
      <c r="K162" s="12"/>
      <c r="L162" s="13" t="s">
        <v>83</v>
      </c>
      <c r="M162" s="13" t="s">
        <v>84</v>
      </c>
      <c r="N162" s="13" t="s">
        <v>85</v>
      </c>
      <c r="O162" s="12"/>
      <c r="P162" s="13"/>
      <c r="Q162" s="12"/>
      <c r="R162" s="12"/>
      <c r="S162" s="12"/>
      <c r="T162" s="12"/>
      <c r="U162" s="12" t="s">
        <v>86</v>
      </c>
      <c r="V162" s="13"/>
      <c r="W162" s="14" t="n">
        <v>17000</v>
      </c>
      <c r="X162" s="14"/>
      <c r="Y162" s="14"/>
      <c r="Z162" s="14"/>
      <c r="AA162" s="15" t="str">
        <f aca="false">IF(COUNT(X162,Y162,Z162)=0,"",SUM(X162,Y162,Z162))</f>
        <v/>
      </c>
      <c r="AB162" s="16" t="str">
        <f aca="false">IFERROR(IF(OR(W162="",AA162=""),"",(W162-AA162)/W162),"")</f>
        <v/>
      </c>
      <c r="AC162" s="17" t="str">
        <f aca="false">IFERROR(IF(OR(AA162="",AA162=0),"",W162/AA162),"")</f>
        <v/>
      </c>
      <c r="AD162" s="12" t="s">
        <v>87</v>
      </c>
      <c r="AE162" s="12" t="s">
        <v>88</v>
      </c>
      <c r="AF162" s="12"/>
      <c r="AG162" s="12"/>
      <c r="AH162" s="12"/>
      <c r="AI162" s="12"/>
      <c r="AJ162" s="12"/>
      <c r="AK162" s="12"/>
      <c r="AL162" s="12" t="s">
        <v>88</v>
      </c>
      <c r="AM162" s="12"/>
      <c r="AN162" s="12"/>
      <c r="AO162" s="12"/>
      <c r="AP162" s="12"/>
    </row>
    <row r="163" customFormat="false" ht="30" hidden="false" customHeight="true" outlineLevel="0" collapsed="false">
      <c r="A163" s="12" t="s">
        <v>336</v>
      </c>
      <c r="B163" s="12" t="s">
        <v>337</v>
      </c>
      <c r="C163" s="12"/>
      <c r="D163" s="12" t="s">
        <v>333</v>
      </c>
      <c r="E163" s="12" t="s">
        <v>252</v>
      </c>
      <c r="F163" s="12"/>
      <c r="G163" s="12" t="n">
        <v>5</v>
      </c>
      <c r="H163" s="12" t="s">
        <v>253</v>
      </c>
      <c r="I163" s="12" t="s">
        <v>254</v>
      </c>
      <c r="J163" s="12"/>
      <c r="K163" s="12"/>
      <c r="L163" s="13" t="s">
        <v>83</v>
      </c>
      <c r="M163" s="13" t="s">
        <v>84</v>
      </c>
      <c r="N163" s="13" t="s">
        <v>85</v>
      </c>
      <c r="O163" s="12"/>
      <c r="P163" s="13"/>
      <c r="Q163" s="12"/>
      <c r="R163" s="12"/>
      <c r="S163" s="12"/>
      <c r="T163" s="12"/>
      <c r="U163" s="12" t="s">
        <v>86</v>
      </c>
      <c r="V163" s="13"/>
      <c r="W163" s="14" t="n">
        <v>17000</v>
      </c>
      <c r="X163" s="14"/>
      <c r="Y163" s="14"/>
      <c r="Z163" s="14"/>
      <c r="AA163" s="15" t="str">
        <f aca="false">IF(COUNT(X163,Y163,Z163)=0,"",SUM(X163,Y163,Z163))</f>
        <v/>
      </c>
      <c r="AB163" s="16" t="str">
        <f aca="false">IFERROR(IF(OR(W163="",AA163=""),"",(W163-AA163)/W163),"")</f>
        <v/>
      </c>
      <c r="AC163" s="17" t="str">
        <f aca="false">IFERROR(IF(OR(AA163="",AA163=0),"",W163/AA163),"")</f>
        <v/>
      </c>
      <c r="AD163" s="12" t="s">
        <v>87</v>
      </c>
      <c r="AE163" s="12" t="s">
        <v>88</v>
      </c>
      <c r="AF163" s="12"/>
      <c r="AG163" s="12"/>
      <c r="AH163" s="12"/>
      <c r="AI163" s="12"/>
      <c r="AJ163" s="12"/>
      <c r="AK163" s="12"/>
      <c r="AL163" s="12" t="s">
        <v>88</v>
      </c>
      <c r="AM163" s="12"/>
      <c r="AN163" s="12"/>
      <c r="AO163" s="12"/>
      <c r="AP163" s="12"/>
    </row>
    <row r="164" customFormat="false" ht="30" hidden="false" customHeight="true" outlineLevel="0" collapsed="false">
      <c r="A164" s="12" t="s">
        <v>338</v>
      </c>
      <c r="B164" s="12" t="s">
        <v>339</v>
      </c>
      <c r="C164" s="12"/>
      <c r="D164" s="12" t="s">
        <v>333</v>
      </c>
      <c r="E164" s="12" t="s">
        <v>264</v>
      </c>
      <c r="F164" s="12"/>
      <c r="G164" s="12" t="n">
        <v>5</v>
      </c>
      <c r="H164" s="12" t="s">
        <v>265</v>
      </c>
      <c r="I164" s="12" t="s">
        <v>266</v>
      </c>
      <c r="J164" s="12"/>
      <c r="K164" s="12"/>
      <c r="L164" s="13" t="s">
        <v>83</v>
      </c>
      <c r="M164" s="13" t="s">
        <v>84</v>
      </c>
      <c r="N164" s="13" t="s">
        <v>85</v>
      </c>
      <c r="O164" s="12"/>
      <c r="P164" s="13"/>
      <c r="Q164" s="12"/>
      <c r="R164" s="12"/>
      <c r="S164" s="12"/>
      <c r="T164" s="12"/>
      <c r="U164" s="12" t="s">
        <v>86</v>
      </c>
      <c r="V164" s="13"/>
      <c r="W164" s="14" t="n">
        <v>17000</v>
      </c>
      <c r="X164" s="14"/>
      <c r="Y164" s="14"/>
      <c r="Z164" s="14"/>
      <c r="AA164" s="15" t="str">
        <f aca="false">IF(COUNT(X164,Y164,Z164)=0,"",SUM(X164,Y164,Z164))</f>
        <v/>
      </c>
      <c r="AB164" s="16" t="str">
        <f aca="false">IFERROR(IF(OR(W164="",AA164=""),"",(W164-AA164)/W164),"")</f>
        <v/>
      </c>
      <c r="AC164" s="17" t="str">
        <f aca="false">IFERROR(IF(OR(AA164="",AA164=0),"",W164/AA164),"")</f>
        <v/>
      </c>
      <c r="AD164" s="12" t="s">
        <v>87</v>
      </c>
      <c r="AE164" s="12" t="s">
        <v>88</v>
      </c>
      <c r="AF164" s="12"/>
      <c r="AG164" s="12"/>
      <c r="AH164" s="12"/>
      <c r="AI164" s="12"/>
      <c r="AJ164" s="12"/>
      <c r="AK164" s="12"/>
      <c r="AL164" s="12" t="s">
        <v>88</v>
      </c>
      <c r="AM164" s="12"/>
      <c r="AN164" s="12"/>
      <c r="AO164" s="12"/>
      <c r="AP164" s="12"/>
    </row>
    <row r="165" customFormat="false" ht="30" hidden="false" customHeight="true" outlineLevel="0" collapsed="false">
      <c r="A165" s="12" t="s">
        <v>340</v>
      </c>
      <c r="B165" s="12" t="s">
        <v>269</v>
      </c>
      <c r="C165" s="12"/>
      <c r="D165" s="12" t="s">
        <v>333</v>
      </c>
      <c r="E165" s="12" t="s">
        <v>270</v>
      </c>
      <c r="F165" s="12"/>
      <c r="G165" s="12" t="n">
        <v>5</v>
      </c>
      <c r="H165" s="12" t="s">
        <v>271</v>
      </c>
      <c r="I165" s="12" t="s">
        <v>272</v>
      </c>
      <c r="J165" s="12"/>
      <c r="K165" s="12"/>
      <c r="L165" s="13" t="s">
        <v>83</v>
      </c>
      <c r="M165" s="13" t="s">
        <v>84</v>
      </c>
      <c r="N165" s="13" t="s">
        <v>85</v>
      </c>
      <c r="O165" s="12"/>
      <c r="P165" s="13"/>
      <c r="Q165" s="12"/>
      <c r="R165" s="12"/>
      <c r="S165" s="12"/>
      <c r="T165" s="12"/>
      <c r="U165" s="12" t="s">
        <v>86</v>
      </c>
      <c r="V165" s="13"/>
      <c r="W165" s="14" t="n">
        <v>17000</v>
      </c>
      <c r="X165" s="14"/>
      <c r="Y165" s="14"/>
      <c r="Z165" s="14"/>
      <c r="AA165" s="15" t="str">
        <f aca="false">IF(COUNT(X165,Y165,Z165)=0,"",SUM(X165,Y165,Z165))</f>
        <v/>
      </c>
      <c r="AB165" s="16" t="str">
        <f aca="false">IFERROR(IF(OR(W165="",AA165=""),"",(W165-AA165)/W165),"")</f>
        <v/>
      </c>
      <c r="AC165" s="17" t="str">
        <f aca="false">IFERROR(IF(OR(AA165="",AA165=0),"",W165/AA165),"")</f>
        <v/>
      </c>
      <c r="AD165" s="12" t="s">
        <v>87</v>
      </c>
      <c r="AE165" s="12" t="s">
        <v>88</v>
      </c>
      <c r="AF165" s="12"/>
      <c r="AG165" s="12"/>
      <c r="AH165" s="12"/>
      <c r="AI165" s="12"/>
      <c r="AJ165" s="12"/>
      <c r="AK165" s="12"/>
      <c r="AL165" s="12" t="s">
        <v>88</v>
      </c>
      <c r="AM165" s="12"/>
      <c r="AN165" s="12"/>
      <c r="AO165" s="12"/>
      <c r="AP165" s="12"/>
    </row>
  </sheetData>
  <mergeCells count="6">
    <mergeCell ref="A1:G1"/>
    <mergeCell ref="H1:K1"/>
    <mergeCell ref="L1:V1"/>
    <mergeCell ref="W1:AE1"/>
    <mergeCell ref="AF1:AM1"/>
    <mergeCell ref="AN1:AP1"/>
  </mergeCells>
  <dataValidations count="7">
    <dataValidation allowBlank="true" errorStyle="stop" operator="between" showDropDown="false" showErrorMessage="true" showInputMessage="false" sqref="AD3:AD165" type="list">
      <formula1>Dropdowns!$A$5:$A$10</formula1>
      <formula2>0</formula2>
    </dataValidation>
    <dataValidation allowBlank="true" errorStyle="stop" operator="between" showDropDown="false" showErrorMessage="true" showInputMessage="false" sqref="L3:L165" type="list">
      <formula1>Dropdowns!$B$5:$B$11</formula1>
      <formula2>0</formula2>
    </dataValidation>
    <dataValidation allowBlank="true" errorStyle="stop" operator="between" showDropDown="false" showErrorMessage="true" showInputMessage="false" sqref="M3:M165" type="list">
      <formula1>Dropdowns!$C$5:$C$12</formula1>
      <formula2>0</formula2>
    </dataValidation>
    <dataValidation allowBlank="true" errorStyle="stop" operator="between" showDropDown="false" showErrorMessage="true" showInputMessage="false" sqref="N3:N165" type="list">
      <formula1>Dropdowns!$D$5:$D$9</formula1>
      <formula2>0</formula2>
    </dataValidation>
    <dataValidation allowBlank="true" errorStyle="stop" operator="between" showDropDown="false" showErrorMessage="true" showInputMessage="false" sqref="U3:U165" type="list">
      <formula1>Dropdowns!$E$5:$E$7</formula1>
      <formula2>0</formula2>
    </dataValidation>
    <dataValidation allowBlank="true" errorStyle="stop" operator="between" showDropDown="false" showErrorMessage="true" showInputMessage="false" sqref="AE3:AE165" type="list">
      <formula1>Dropdowns!$F$5:$F$6</formula1>
      <formula2>0</formula2>
    </dataValidation>
    <dataValidation allowBlank="true" errorStyle="stop" operator="between" showDropDown="false" showErrorMessage="false" showInputMessage="false" sqref="AM3:AM16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13"/>
    <col collapsed="false" customWidth="true" hidden="false" outlineLevel="0" max="13" min="10" style="0" width="12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7" min="16" style="0" width="10"/>
    <col collapsed="false" customWidth="true" hidden="false" outlineLevel="0" max="19" min="18" style="0" width="12"/>
    <col collapsed="false" customWidth="true" hidden="false" outlineLevel="0" max="20" min="20" style="0" width="16"/>
    <col collapsed="false" customWidth="true" hidden="false" outlineLevel="0" max="21" min="21" style="0" width="18"/>
    <col collapsed="false" customWidth="true" hidden="false" outlineLevel="0" max="22" min="22" style="0" width="12"/>
    <col collapsed="false" customWidth="true" hidden="false" outlineLevel="0" max="23" min="23" style="0" width="16"/>
    <col collapsed="false" customWidth="true" hidden="false" outlineLevel="0" max="24" min="24" style="0" width="10"/>
    <col collapsed="false" customWidth="true" hidden="false" outlineLevel="0" max="25" min="25" style="0" width="28"/>
    <col collapsed="false" customWidth="true" hidden="false" outlineLevel="0" max="26" min="26" style="0" width="11"/>
    <col collapsed="false" customWidth="true" hidden="false" outlineLevel="0" max="27" min="27" style="0" width="10"/>
    <col collapsed="false" customWidth="true" hidden="false" outlineLevel="0" max="28" min="28" style="0" width="9"/>
    <col collapsed="false" customWidth="true" hidden="false" outlineLevel="0" max="29" min="29" style="0" width="12"/>
    <col collapsed="false" customWidth="true" hidden="false" outlineLevel="0" max="30" min="30" style="0" width="14"/>
    <col collapsed="false" customWidth="true" hidden="false" outlineLevel="0" max="31" min="31" style="0" width="11"/>
    <col collapsed="false" customWidth="true" hidden="false" outlineLevel="0" max="32" min="32" style="0" width="14"/>
    <col collapsed="false" customWidth="true" hidden="false" outlineLevel="0" max="33" min="33" style="0" width="12"/>
    <col collapsed="false" customWidth="true" hidden="false" outlineLevel="0" max="34" min="34" style="0" width="26"/>
  </cols>
  <sheetData>
    <row r="1" customFormat="false" ht="19.5" hidden="false" customHeight="true" outlineLevel="0" collapsed="false">
      <c r="A1" s="5" t="s">
        <v>341</v>
      </c>
      <c r="B1" s="5"/>
      <c r="C1" s="5"/>
      <c r="D1" s="5"/>
      <c r="E1" s="5"/>
      <c r="F1" s="5"/>
      <c r="G1" s="5"/>
      <c r="H1" s="5"/>
      <c r="I1" s="8" t="s">
        <v>342</v>
      </c>
      <c r="J1" s="8"/>
      <c r="K1" s="8"/>
      <c r="L1" s="8"/>
      <c r="M1" s="8"/>
      <c r="N1" s="8"/>
      <c r="O1" s="7" t="s">
        <v>343</v>
      </c>
      <c r="P1" s="7"/>
      <c r="Q1" s="7"/>
      <c r="R1" s="7"/>
      <c r="S1" s="7"/>
      <c r="T1" s="10" t="s">
        <v>344</v>
      </c>
      <c r="U1" s="10"/>
      <c r="V1" s="10"/>
      <c r="W1" s="10"/>
      <c r="X1" s="10"/>
      <c r="Y1" s="10"/>
      <c r="Z1" s="9" t="s">
        <v>345</v>
      </c>
      <c r="AA1" s="9"/>
      <c r="AB1" s="9"/>
      <c r="AC1" s="9"/>
      <c r="AD1" s="6" t="s">
        <v>346</v>
      </c>
      <c r="AE1" s="6"/>
      <c r="AF1" s="6"/>
      <c r="AG1" s="6"/>
      <c r="AH1" s="6"/>
    </row>
    <row r="2" customFormat="false" ht="37.5" hidden="false" customHeight="true" outlineLevel="0" collapsed="false">
      <c r="A2" s="11" t="s">
        <v>347</v>
      </c>
      <c r="B2" s="11" t="s">
        <v>34</v>
      </c>
      <c r="C2" s="11" t="s">
        <v>348</v>
      </c>
      <c r="D2" s="11" t="s">
        <v>37</v>
      </c>
      <c r="E2" s="11" t="s">
        <v>38</v>
      </c>
      <c r="F2" s="11" t="s">
        <v>349</v>
      </c>
      <c r="G2" s="11" t="s">
        <v>350</v>
      </c>
      <c r="H2" s="11" t="s">
        <v>351</v>
      </c>
      <c r="I2" s="11" t="s">
        <v>352</v>
      </c>
      <c r="J2" s="11" t="s">
        <v>353</v>
      </c>
      <c r="K2" s="11" t="s">
        <v>354</v>
      </c>
      <c r="L2" s="11" t="s">
        <v>355</v>
      </c>
      <c r="M2" s="11" t="s">
        <v>356</v>
      </c>
      <c r="N2" s="11" t="s">
        <v>357</v>
      </c>
      <c r="O2" s="11" t="s">
        <v>358</v>
      </c>
      <c r="P2" s="11" t="s">
        <v>359</v>
      </c>
      <c r="Q2" s="11" t="s">
        <v>360</v>
      </c>
      <c r="R2" s="11" t="s">
        <v>361</v>
      </c>
      <c r="S2" s="11" t="s">
        <v>362</v>
      </c>
      <c r="T2" s="11" t="s">
        <v>363</v>
      </c>
      <c r="U2" s="11" t="s">
        <v>364</v>
      </c>
      <c r="V2" s="11" t="s">
        <v>365</v>
      </c>
      <c r="W2" s="11" t="s">
        <v>366</v>
      </c>
      <c r="X2" s="11" t="s">
        <v>367</v>
      </c>
      <c r="Y2" s="11" t="s">
        <v>368</v>
      </c>
      <c r="Z2" s="11" t="s">
        <v>369</v>
      </c>
      <c r="AA2" s="11" t="s">
        <v>370</v>
      </c>
      <c r="AB2" s="11" t="s">
        <v>371</v>
      </c>
      <c r="AC2" s="11" t="s">
        <v>372</v>
      </c>
      <c r="AD2" s="11" t="s">
        <v>63</v>
      </c>
      <c r="AE2" s="11" t="s">
        <v>373</v>
      </c>
      <c r="AF2" s="11" t="s">
        <v>374</v>
      </c>
      <c r="AG2" s="11" t="s">
        <v>375</v>
      </c>
      <c r="AH2" s="11" t="s">
        <v>75</v>
      </c>
    </row>
    <row r="3" customFormat="false" ht="18" hidden="false" customHeight="true" outlineLevel="0" collapsed="false">
      <c r="A3" s="12" t="s">
        <v>376</v>
      </c>
      <c r="B3" s="12" t="s">
        <v>76</v>
      </c>
      <c r="C3" s="12" t="s">
        <v>77</v>
      </c>
      <c r="D3" s="12" t="s">
        <v>78</v>
      </c>
      <c r="E3" s="12" t="s">
        <v>79</v>
      </c>
      <c r="F3" s="12" t="s">
        <v>80</v>
      </c>
      <c r="G3" s="12"/>
      <c r="H3" s="12" t="s">
        <v>377</v>
      </c>
      <c r="I3" s="14" t="n">
        <v>19000</v>
      </c>
      <c r="J3" s="18" t="n">
        <f aca="false">IF($I3="","",ROUND($I3*Dropdowns!$K$5,2))</f>
        <v>49.4</v>
      </c>
      <c r="K3" s="19" t="n">
        <f aca="false">IF($I3="","",ROUND($I3*Dropdowns!$K$6,2))</f>
        <v>45.6</v>
      </c>
      <c r="L3" s="20" t="n">
        <f aca="false">IF($I3="","",ROUND($I3*Dropdowns!$K$7,2))</f>
        <v>3895</v>
      </c>
      <c r="M3" s="15" t="str">
        <f aca="false">IFERROR(IF($B3="","",VLOOKUP($B3,Designs!$A$3:$AP$165,27,FALSE())),"")</f>
        <v/>
      </c>
      <c r="N3" s="16" t="str">
        <f aca="false">IFERROR(IF(OR($I3="",$M3="",$M3=0),"",($I3-$M3)/$I3),"")</f>
        <v/>
      </c>
      <c r="O3" s="13" t="n">
        <v>0</v>
      </c>
      <c r="P3" s="13" t="n">
        <v>0</v>
      </c>
      <c r="Q3" s="21" t="n">
        <f aca="false">IF($O3="","",$O3-IF($P3="",0,$P3))</f>
        <v>0</v>
      </c>
      <c r="R3" s="13" t="n">
        <v>2</v>
      </c>
      <c r="S3" s="21" t="str">
        <f aca="false">IF($O3="","",IF($Q3&lt;=$R3,"⚠ REORDER","OK"))</f>
        <v>⚠ REORDER</v>
      </c>
      <c r="T3" s="13"/>
      <c r="U3" s="13"/>
      <c r="V3" s="13" t="s">
        <v>378</v>
      </c>
      <c r="W3" s="12" t="s">
        <v>379</v>
      </c>
      <c r="X3" s="13"/>
      <c r="Y3" s="13"/>
      <c r="Z3" s="12" t="s">
        <v>88</v>
      </c>
      <c r="AA3" s="12" t="s">
        <v>88</v>
      </c>
      <c r="AB3" s="12" t="s">
        <v>88</v>
      </c>
      <c r="AC3" s="12" t="s">
        <v>88</v>
      </c>
      <c r="AD3" s="12" t="s">
        <v>87</v>
      </c>
      <c r="AE3" s="21" t="n">
        <f aca="false">IFERROR(SUMIFS(Transactions!$F:$F,Transactions!$C:$C,$A3,Transactions!$D:$D,"Sale"),0)</f>
        <v>1</v>
      </c>
      <c r="AF3" s="15" t="n">
        <f aca="false">IFERROR(SUMIFS(Transactions!$H:$H,Transactions!$C:$C,$A3,Transactions!$D:$D,"Sale"),0)</f>
        <v>19000</v>
      </c>
      <c r="AG3" s="22" t="str">
        <f aca="false">IFERROR(IF(maxifs(Transactions!$B:$B,Transactions!$C:$C,$A3,Transactions!$D:$D,"Sale")=0,"",maxifs(Transactions!$B:$B,Transactions!$C:$C,$A3,Transactions!$D:$D,"Sale")),"")</f>
        <v/>
      </c>
      <c r="AH3" s="12"/>
    </row>
    <row r="4" customFormat="false" ht="18" hidden="false" customHeight="true" outlineLevel="0" collapsed="false">
      <c r="A4" s="12" t="s">
        <v>380</v>
      </c>
      <c r="B4" s="12" t="s">
        <v>76</v>
      </c>
      <c r="C4" s="12" t="s">
        <v>77</v>
      </c>
      <c r="D4" s="12" t="s">
        <v>78</v>
      </c>
      <c r="E4" s="12" t="s">
        <v>79</v>
      </c>
      <c r="F4" s="12" t="s">
        <v>80</v>
      </c>
      <c r="G4" s="12"/>
      <c r="H4" s="12" t="s">
        <v>381</v>
      </c>
      <c r="I4" s="14" t="n">
        <v>19000</v>
      </c>
      <c r="J4" s="18" t="n">
        <f aca="false">IF($I4="","",ROUND($I4*Dropdowns!$K$5,2))</f>
        <v>49.4</v>
      </c>
      <c r="K4" s="19" t="n">
        <f aca="false">IF($I4="","",ROUND($I4*Dropdowns!$K$6,2))</f>
        <v>45.6</v>
      </c>
      <c r="L4" s="20" t="n">
        <f aca="false">IF($I4="","",ROUND($I4*Dropdowns!$K$7,2))</f>
        <v>3895</v>
      </c>
      <c r="M4" s="15" t="str">
        <f aca="false">IFERROR(IF($B4="","",VLOOKUP($B4,Designs!$A$3:$AP$165,27,FALSE())),"")</f>
        <v/>
      </c>
      <c r="N4" s="16" t="str">
        <f aca="false">IFERROR(IF(OR($I4="",$M4="",$M4=0),"",($I4-$M4)/$I4),"")</f>
        <v/>
      </c>
      <c r="O4" s="13" t="n">
        <v>0</v>
      </c>
      <c r="P4" s="13" t="n">
        <v>0</v>
      </c>
      <c r="Q4" s="21" t="n">
        <f aca="false">IF($O4="","",$O4-IF($P4="",0,$P4))</f>
        <v>0</v>
      </c>
      <c r="R4" s="13" t="n">
        <v>2</v>
      </c>
      <c r="S4" s="21" t="str">
        <f aca="false">IF($O4="","",IF($Q4&lt;=$R4,"⚠ REORDER","OK"))</f>
        <v>⚠ REORDER</v>
      </c>
      <c r="T4" s="13"/>
      <c r="U4" s="13"/>
      <c r="V4" s="13" t="s">
        <v>378</v>
      </c>
      <c r="W4" s="12" t="s">
        <v>379</v>
      </c>
      <c r="X4" s="13"/>
      <c r="Y4" s="13"/>
      <c r="Z4" s="12" t="s">
        <v>88</v>
      </c>
      <c r="AA4" s="12" t="s">
        <v>88</v>
      </c>
      <c r="AB4" s="12" t="s">
        <v>88</v>
      </c>
      <c r="AC4" s="12" t="s">
        <v>88</v>
      </c>
      <c r="AD4" s="12" t="s">
        <v>87</v>
      </c>
      <c r="AE4" s="21" t="n">
        <f aca="false">IFERROR(SUMIFS(Transactions!$F:$F,Transactions!$C:$C,$A4,Transactions!$D:$D,"Sale"),0)</f>
        <v>0</v>
      </c>
      <c r="AF4" s="15" t="n">
        <f aca="false">IFERROR(SUMIFS(Transactions!$H:$H,Transactions!$C:$C,$A4,Transactions!$D:$D,"Sale"),0)</f>
        <v>0</v>
      </c>
      <c r="AG4" s="22" t="str">
        <f aca="false">IFERROR(IF(maxifs(Transactions!$B:$B,Transactions!$C:$C,$A4,Transactions!$D:$D,"Sale")=0,"",maxifs(Transactions!$B:$B,Transactions!$C:$C,$A4,Transactions!$D:$D,"Sale")),"")</f>
        <v/>
      </c>
      <c r="AH4" s="12"/>
    </row>
    <row r="5" customFormat="false" ht="18" hidden="false" customHeight="true" outlineLevel="0" collapsed="false">
      <c r="A5" s="12" t="s">
        <v>382</v>
      </c>
      <c r="B5" s="12" t="s">
        <v>76</v>
      </c>
      <c r="C5" s="12" t="s">
        <v>77</v>
      </c>
      <c r="D5" s="12" t="s">
        <v>78</v>
      </c>
      <c r="E5" s="12" t="s">
        <v>79</v>
      </c>
      <c r="F5" s="12" t="s">
        <v>80</v>
      </c>
      <c r="G5" s="12"/>
      <c r="H5" s="12" t="s">
        <v>383</v>
      </c>
      <c r="I5" s="14" t="n">
        <v>19000</v>
      </c>
      <c r="J5" s="18" t="n">
        <f aca="false">IF($I5="","",ROUND($I5*Dropdowns!$K$5,2))</f>
        <v>49.4</v>
      </c>
      <c r="K5" s="19" t="n">
        <f aca="false">IF($I5="","",ROUND($I5*Dropdowns!$K$6,2))</f>
        <v>45.6</v>
      </c>
      <c r="L5" s="20" t="n">
        <f aca="false">IF($I5="","",ROUND($I5*Dropdowns!$K$7,2))</f>
        <v>3895</v>
      </c>
      <c r="M5" s="15" t="str">
        <f aca="false">IFERROR(IF($B5="","",VLOOKUP($B5,Designs!$A$3:$AP$165,27,FALSE())),"")</f>
        <v/>
      </c>
      <c r="N5" s="16" t="str">
        <f aca="false">IFERROR(IF(OR($I5="",$M5="",$M5=0),"",($I5-$M5)/$I5),"")</f>
        <v/>
      </c>
      <c r="O5" s="13" t="n">
        <v>0</v>
      </c>
      <c r="P5" s="13" t="n">
        <v>0</v>
      </c>
      <c r="Q5" s="21" t="n">
        <f aca="false">IF($O5="","",$O5-IF($P5="",0,$P5))</f>
        <v>0</v>
      </c>
      <c r="R5" s="13" t="n">
        <v>2</v>
      </c>
      <c r="S5" s="21" t="str">
        <f aca="false">IF($O5="","",IF($Q5&lt;=$R5,"⚠ REORDER","OK"))</f>
        <v>⚠ REORDER</v>
      </c>
      <c r="T5" s="13"/>
      <c r="U5" s="13"/>
      <c r="V5" s="13" t="s">
        <v>378</v>
      </c>
      <c r="W5" s="12" t="s">
        <v>379</v>
      </c>
      <c r="X5" s="13"/>
      <c r="Y5" s="13"/>
      <c r="Z5" s="12" t="s">
        <v>88</v>
      </c>
      <c r="AA5" s="12" t="s">
        <v>88</v>
      </c>
      <c r="AB5" s="12" t="s">
        <v>88</v>
      </c>
      <c r="AC5" s="12" t="s">
        <v>88</v>
      </c>
      <c r="AD5" s="12" t="s">
        <v>87</v>
      </c>
      <c r="AE5" s="21" t="n">
        <f aca="false">IFERROR(SUMIFS(Transactions!$F:$F,Transactions!$C:$C,$A5,Transactions!$D:$D,"Sale"),0)</f>
        <v>0</v>
      </c>
      <c r="AF5" s="15" t="n">
        <f aca="false">IFERROR(SUMIFS(Transactions!$H:$H,Transactions!$C:$C,$A5,Transactions!$D:$D,"Sale"),0)</f>
        <v>0</v>
      </c>
      <c r="AG5" s="22" t="str">
        <f aca="false">IFERROR(IF(maxifs(Transactions!$B:$B,Transactions!$C:$C,$A5,Transactions!$D:$D,"Sale")=0,"",maxifs(Transactions!$B:$B,Transactions!$C:$C,$A5,Transactions!$D:$D,"Sale")),"")</f>
        <v/>
      </c>
      <c r="AH5" s="12"/>
    </row>
    <row r="6" customFormat="false" ht="18" hidden="false" customHeight="true" outlineLevel="0" collapsed="false">
      <c r="A6" s="12" t="s">
        <v>384</v>
      </c>
      <c r="B6" s="12" t="s">
        <v>89</v>
      </c>
      <c r="C6" s="12" t="s">
        <v>77</v>
      </c>
      <c r="D6" s="12" t="s">
        <v>78</v>
      </c>
      <c r="E6" s="12" t="s">
        <v>79</v>
      </c>
      <c r="F6" s="12" t="s">
        <v>90</v>
      </c>
      <c r="G6" s="12"/>
      <c r="H6" s="12" t="s">
        <v>377</v>
      </c>
      <c r="I6" s="14" t="n">
        <v>19000</v>
      </c>
      <c r="J6" s="18" t="n">
        <f aca="false">IF($I6="","",ROUND($I6*Dropdowns!$K$5,2))</f>
        <v>49.4</v>
      </c>
      <c r="K6" s="19" t="n">
        <f aca="false">IF($I6="","",ROUND($I6*Dropdowns!$K$6,2))</f>
        <v>45.6</v>
      </c>
      <c r="L6" s="20" t="n">
        <f aca="false">IF($I6="","",ROUND($I6*Dropdowns!$K$7,2))</f>
        <v>3895</v>
      </c>
      <c r="M6" s="15" t="str">
        <f aca="false">IFERROR(IF($B6="","",VLOOKUP($B6,Designs!$A$3:$AP$165,27,FALSE())),"")</f>
        <v/>
      </c>
      <c r="N6" s="16" t="str">
        <f aca="false">IFERROR(IF(OR($I6="",$M6="",$M6=0),"",($I6-$M6)/$I6),"")</f>
        <v/>
      </c>
      <c r="O6" s="13" t="n">
        <v>0</v>
      </c>
      <c r="P6" s="13" t="n">
        <v>0</v>
      </c>
      <c r="Q6" s="21" t="n">
        <f aca="false">IF($O6="","",$O6-IF($P6="",0,$P6))</f>
        <v>0</v>
      </c>
      <c r="R6" s="13" t="n">
        <v>2</v>
      </c>
      <c r="S6" s="21" t="str">
        <f aca="false">IF($O6="","",IF($Q6&lt;=$R6,"⚠ REORDER","OK"))</f>
        <v>⚠ REORDER</v>
      </c>
      <c r="T6" s="13"/>
      <c r="U6" s="13"/>
      <c r="V6" s="13" t="s">
        <v>378</v>
      </c>
      <c r="W6" s="12" t="s">
        <v>379</v>
      </c>
      <c r="X6" s="13"/>
      <c r="Y6" s="13"/>
      <c r="Z6" s="12" t="s">
        <v>88</v>
      </c>
      <c r="AA6" s="12" t="s">
        <v>88</v>
      </c>
      <c r="AB6" s="12" t="s">
        <v>88</v>
      </c>
      <c r="AC6" s="12" t="s">
        <v>88</v>
      </c>
      <c r="AD6" s="12" t="s">
        <v>87</v>
      </c>
      <c r="AE6" s="21" t="n">
        <f aca="false">IFERROR(SUMIFS(Transactions!$F:$F,Transactions!$C:$C,$A6,Transactions!$D:$D,"Sale"),0)</f>
        <v>0</v>
      </c>
      <c r="AF6" s="15" t="n">
        <f aca="false">IFERROR(SUMIFS(Transactions!$H:$H,Transactions!$C:$C,$A6,Transactions!$D:$D,"Sale"),0)</f>
        <v>0</v>
      </c>
      <c r="AG6" s="22" t="str">
        <f aca="false">IFERROR(IF(maxifs(Transactions!$B:$B,Transactions!$C:$C,$A6,Transactions!$D:$D,"Sale")=0,"",maxifs(Transactions!$B:$B,Transactions!$C:$C,$A6,Transactions!$D:$D,"Sale")),"")</f>
        <v/>
      </c>
      <c r="AH6" s="12"/>
    </row>
    <row r="7" customFormat="false" ht="18" hidden="false" customHeight="true" outlineLevel="0" collapsed="false">
      <c r="A7" s="12" t="s">
        <v>385</v>
      </c>
      <c r="B7" s="12" t="s">
        <v>89</v>
      </c>
      <c r="C7" s="12" t="s">
        <v>77</v>
      </c>
      <c r="D7" s="12" t="s">
        <v>78</v>
      </c>
      <c r="E7" s="12" t="s">
        <v>79</v>
      </c>
      <c r="F7" s="12" t="s">
        <v>90</v>
      </c>
      <c r="G7" s="12"/>
      <c r="H7" s="12" t="s">
        <v>381</v>
      </c>
      <c r="I7" s="14" t="n">
        <v>19000</v>
      </c>
      <c r="J7" s="18" t="n">
        <f aca="false">IF($I7="","",ROUND($I7*Dropdowns!$K$5,2))</f>
        <v>49.4</v>
      </c>
      <c r="K7" s="19" t="n">
        <f aca="false">IF($I7="","",ROUND($I7*Dropdowns!$K$6,2))</f>
        <v>45.6</v>
      </c>
      <c r="L7" s="20" t="n">
        <f aca="false">IF($I7="","",ROUND($I7*Dropdowns!$K$7,2))</f>
        <v>3895</v>
      </c>
      <c r="M7" s="15" t="str">
        <f aca="false">IFERROR(IF($B7="","",VLOOKUP($B7,Designs!$A$3:$AP$165,27,FALSE())),"")</f>
        <v/>
      </c>
      <c r="N7" s="16" t="str">
        <f aca="false">IFERROR(IF(OR($I7="",$M7="",$M7=0),"",($I7-$M7)/$I7),"")</f>
        <v/>
      </c>
      <c r="O7" s="13" t="n">
        <v>0</v>
      </c>
      <c r="P7" s="13" t="n">
        <v>0</v>
      </c>
      <c r="Q7" s="21" t="n">
        <f aca="false">IF($O7="","",$O7-IF($P7="",0,$P7))</f>
        <v>0</v>
      </c>
      <c r="R7" s="13" t="n">
        <v>2</v>
      </c>
      <c r="S7" s="21" t="str">
        <f aca="false">IF($O7="","",IF($Q7&lt;=$R7,"⚠ REORDER","OK"))</f>
        <v>⚠ REORDER</v>
      </c>
      <c r="T7" s="13"/>
      <c r="U7" s="13"/>
      <c r="V7" s="13" t="s">
        <v>378</v>
      </c>
      <c r="W7" s="12" t="s">
        <v>379</v>
      </c>
      <c r="X7" s="13"/>
      <c r="Y7" s="13"/>
      <c r="Z7" s="12" t="s">
        <v>88</v>
      </c>
      <c r="AA7" s="12" t="s">
        <v>88</v>
      </c>
      <c r="AB7" s="12" t="s">
        <v>88</v>
      </c>
      <c r="AC7" s="12" t="s">
        <v>88</v>
      </c>
      <c r="AD7" s="12" t="s">
        <v>87</v>
      </c>
      <c r="AE7" s="21" t="n">
        <f aca="false">IFERROR(SUMIFS(Transactions!$F:$F,Transactions!$C:$C,$A7,Transactions!$D:$D,"Sale"),0)</f>
        <v>0</v>
      </c>
      <c r="AF7" s="15" t="n">
        <f aca="false">IFERROR(SUMIFS(Transactions!$H:$H,Transactions!$C:$C,$A7,Transactions!$D:$D,"Sale"),0)</f>
        <v>0</v>
      </c>
      <c r="AG7" s="22" t="str">
        <f aca="false">IFERROR(IF(maxifs(Transactions!$B:$B,Transactions!$C:$C,$A7,Transactions!$D:$D,"Sale")=0,"",maxifs(Transactions!$B:$B,Transactions!$C:$C,$A7,Transactions!$D:$D,"Sale")),"")</f>
        <v/>
      </c>
      <c r="AH7" s="12"/>
    </row>
    <row r="8" customFormat="false" ht="18" hidden="false" customHeight="true" outlineLevel="0" collapsed="false">
      <c r="A8" s="12" t="s">
        <v>386</v>
      </c>
      <c r="B8" s="12" t="s">
        <v>89</v>
      </c>
      <c r="C8" s="12" t="s">
        <v>77</v>
      </c>
      <c r="D8" s="12" t="s">
        <v>78</v>
      </c>
      <c r="E8" s="12" t="s">
        <v>79</v>
      </c>
      <c r="F8" s="12" t="s">
        <v>90</v>
      </c>
      <c r="G8" s="12"/>
      <c r="H8" s="12" t="s">
        <v>383</v>
      </c>
      <c r="I8" s="14" t="n">
        <v>19000</v>
      </c>
      <c r="J8" s="18" t="n">
        <f aca="false">IF($I8="","",ROUND($I8*Dropdowns!$K$5,2))</f>
        <v>49.4</v>
      </c>
      <c r="K8" s="19" t="n">
        <f aca="false">IF($I8="","",ROUND($I8*Dropdowns!$K$6,2))</f>
        <v>45.6</v>
      </c>
      <c r="L8" s="20" t="n">
        <f aca="false">IF($I8="","",ROUND($I8*Dropdowns!$K$7,2))</f>
        <v>3895</v>
      </c>
      <c r="M8" s="15" t="str">
        <f aca="false">IFERROR(IF($B8="","",VLOOKUP($B8,Designs!$A$3:$AP$165,27,FALSE())),"")</f>
        <v/>
      </c>
      <c r="N8" s="16" t="str">
        <f aca="false">IFERROR(IF(OR($I8="",$M8="",$M8=0),"",($I8-$M8)/$I8),"")</f>
        <v/>
      </c>
      <c r="O8" s="13" t="n">
        <v>0</v>
      </c>
      <c r="P8" s="13" t="n">
        <v>0</v>
      </c>
      <c r="Q8" s="21" t="n">
        <f aca="false">IF($O8="","",$O8-IF($P8="",0,$P8))</f>
        <v>0</v>
      </c>
      <c r="R8" s="13" t="n">
        <v>2</v>
      </c>
      <c r="S8" s="21" t="str">
        <f aca="false">IF($O8="","",IF($Q8&lt;=$R8,"⚠ REORDER","OK"))</f>
        <v>⚠ REORDER</v>
      </c>
      <c r="T8" s="13"/>
      <c r="U8" s="13"/>
      <c r="V8" s="13" t="s">
        <v>378</v>
      </c>
      <c r="W8" s="12" t="s">
        <v>379</v>
      </c>
      <c r="X8" s="13"/>
      <c r="Y8" s="13"/>
      <c r="Z8" s="12" t="s">
        <v>88</v>
      </c>
      <c r="AA8" s="12" t="s">
        <v>88</v>
      </c>
      <c r="AB8" s="12" t="s">
        <v>88</v>
      </c>
      <c r="AC8" s="12" t="s">
        <v>88</v>
      </c>
      <c r="AD8" s="12" t="s">
        <v>87</v>
      </c>
      <c r="AE8" s="21" t="n">
        <f aca="false">IFERROR(SUMIFS(Transactions!$F:$F,Transactions!$C:$C,$A8,Transactions!$D:$D,"Sale"),0)</f>
        <v>0</v>
      </c>
      <c r="AF8" s="15" t="n">
        <f aca="false">IFERROR(SUMIFS(Transactions!$H:$H,Transactions!$C:$C,$A8,Transactions!$D:$D,"Sale"),0)</f>
        <v>0</v>
      </c>
      <c r="AG8" s="22" t="str">
        <f aca="false">IFERROR(IF(maxifs(Transactions!$B:$B,Transactions!$C:$C,$A8,Transactions!$D:$D,"Sale")=0,"",maxifs(Transactions!$B:$B,Transactions!$C:$C,$A8,Transactions!$D:$D,"Sale")),"")</f>
        <v/>
      </c>
      <c r="AH8" s="12"/>
    </row>
    <row r="9" customFormat="false" ht="18" hidden="false" customHeight="true" outlineLevel="0" collapsed="false">
      <c r="A9" s="12" t="s">
        <v>387</v>
      </c>
      <c r="B9" s="12" t="s">
        <v>91</v>
      </c>
      <c r="C9" s="12" t="s">
        <v>77</v>
      </c>
      <c r="D9" s="12" t="s">
        <v>78</v>
      </c>
      <c r="E9" s="12" t="s">
        <v>79</v>
      </c>
      <c r="F9" s="12" t="s">
        <v>92</v>
      </c>
      <c r="G9" s="12"/>
      <c r="H9" s="12" t="s">
        <v>377</v>
      </c>
      <c r="I9" s="14" t="n">
        <v>19000</v>
      </c>
      <c r="J9" s="18" t="n">
        <f aca="false">IF($I9="","",ROUND($I9*Dropdowns!$K$5,2))</f>
        <v>49.4</v>
      </c>
      <c r="K9" s="19" t="n">
        <f aca="false">IF($I9="","",ROUND($I9*Dropdowns!$K$6,2))</f>
        <v>45.6</v>
      </c>
      <c r="L9" s="20" t="n">
        <f aca="false">IF($I9="","",ROUND($I9*Dropdowns!$K$7,2))</f>
        <v>3895</v>
      </c>
      <c r="M9" s="15" t="str">
        <f aca="false">IFERROR(IF($B9="","",VLOOKUP($B9,Designs!$A$3:$AP$165,27,FALSE())),"")</f>
        <v/>
      </c>
      <c r="N9" s="16" t="str">
        <f aca="false">IFERROR(IF(OR($I9="",$M9="",$M9=0),"",($I9-$M9)/$I9),"")</f>
        <v/>
      </c>
      <c r="O9" s="13" t="n">
        <v>0</v>
      </c>
      <c r="P9" s="13" t="n">
        <v>0</v>
      </c>
      <c r="Q9" s="21" t="n">
        <f aca="false">IF($O9="","",$O9-IF($P9="",0,$P9))</f>
        <v>0</v>
      </c>
      <c r="R9" s="13" t="n">
        <v>2</v>
      </c>
      <c r="S9" s="21" t="str">
        <f aca="false">IF($O9="","",IF($Q9&lt;=$R9,"⚠ REORDER","OK"))</f>
        <v>⚠ REORDER</v>
      </c>
      <c r="T9" s="13"/>
      <c r="U9" s="13"/>
      <c r="V9" s="13" t="s">
        <v>378</v>
      </c>
      <c r="W9" s="12" t="s">
        <v>379</v>
      </c>
      <c r="X9" s="13"/>
      <c r="Y9" s="13"/>
      <c r="Z9" s="12" t="s">
        <v>88</v>
      </c>
      <c r="AA9" s="12" t="s">
        <v>88</v>
      </c>
      <c r="AB9" s="12" t="s">
        <v>88</v>
      </c>
      <c r="AC9" s="12" t="s">
        <v>88</v>
      </c>
      <c r="AD9" s="12" t="s">
        <v>87</v>
      </c>
      <c r="AE9" s="21" t="n">
        <f aca="false">IFERROR(SUMIFS(Transactions!$F:$F,Transactions!$C:$C,$A9,Transactions!$D:$D,"Sale"),0)</f>
        <v>0</v>
      </c>
      <c r="AF9" s="15" t="n">
        <f aca="false">IFERROR(SUMIFS(Transactions!$H:$H,Transactions!$C:$C,$A9,Transactions!$D:$D,"Sale"),0)</f>
        <v>0</v>
      </c>
      <c r="AG9" s="22" t="str">
        <f aca="false">IFERROR(IF(maxifs(Transactions!$B:$B,Transactions!$C:$C,$A9,Transactions!$D:$D,"Sale")=0,"",maxifs(Transactions!$B:$B,Transactions!$C:$C,$A9,Transactions!$D:$D,"Sale")),"")</f>
        <v/>
      </c>
      <c r="AH9" s="12"/>
    </row>
    <row r="10" customFormat="false" ht="18" hidden="false" customHeight="true" outlineLevel="0" collapsed="false">
      <c r="A10" s="12" t="s">
        <v>388</v>
      </c>
      <c r="B10" s="12" t="s">
        <v>91</v>
      </c>
      <c r="C10" s="12" t="s">
        <v>77</v>
      </c>
      <c r="D10" s="12" t="s">
        <v>78</v>
      </c>
      <c r="E10" s="12" t="s">
        <v>79</v>
      </c>
      <c r="F10" s="12" t="s">
        <v>92</v>
      </c>
      <c r="G10" s="12"/>
      <c r="H10" s="12" t="s">
        <v>381</v>
      </c>
      <c r="I10" s="14" t="n">
        <v>19000</v>
      </c>
      <c r="J10" s="18" t="n">
        <f aca="false">IF($I10="","",ROUND($I10*Dropdowns!$K$5,2))</f>
        <v>49.4</v>
      </c>
      <c r="K10" s="19" t="n">
        <f aca="false">IF($I10="","",ROUND($I10*Dropdowns!$K$6,2))</f>
        <v>45.6</v>
      </c>
      <c r="L10" s="20" t="n">
        <f aca="false">IF($I10="","",ROUND($I10*Dropdowns!$K$7,2))</f>
        <v>3895</v>
      </c>
      <c r="M10" s="15" t="str">
        <f aca="false">IFERROR(IF($B10="","",VLOOKUP($B10,Designs!$A$3:$AP$165,27,FALSE())),"")</f>
        <v/>
      </c>
      <c r="N10" s="16" t="str">
        <f aca="false">IFERROR(IF(OR($I10="",$M10="",$M10=0),"",($I10-$M10)/$I10),"")</f>
        <v/>
      </c>
      <c r="O10" s="13" t="n">
        <v>0</v>
      </c>
      <c r="P10" s="13" t="n">
        <v>0</v>
      </c>
      <c r="Q10" s="21" t="n">
        <f aca="false">IF($O10="","",$O10-IF($P10="",0,$P10))</f>
        <v>0</v>
      </c>
      <c r="R10" s="13" t="n">
        <v>2</v>
      </c>
      <c r="S10" s="21" t="str">
        <f aca="false">IF($O10="","",IF($Q10&lt;=$R10,"⚠ REORDER","OK"))</f>
        <v>⚠ REORDER</v>
      </c>
      <c r="T10" s="13"/>
      <c r="U10" s="13"/>
      <c r="V10" s="13" t="s">
        <v>378</v>
      </c>
      <c r="W10" s="12" t="s">
        <v>379</v>
      </c>
      <c r="X10" s="13"/>
      <c r="Y10" s="13"/>
      <c r="Z10" s="12" t="s">
        <v>88</v>
      </c>
      <c r="AA10" s="12" t="s">
        <v>88</v>
      </c>
      <c r="AB10" s="12" t="s">
        <v>88</v>
      </c>
      <c r="AC10" s="12" t="s">
        <v>88</v>
      </c>
      <c r="AD10" s="12" t="s">
        <v>87</v>
      </c>
      <c r="AE10" s="21" t="n">
        <f aca="false">IFERROR(SUMIFS(Transactions!$F:$F,Transactions!$C:$C,$A10,Transactions!$D:$D,"Sale"),0)</f>
        <v>0</v>
      </c>
      <c r="AF10" s="15" t="n">
        <f aca="false">IFERROR(SUMIFS(Transactions!$H:$H,Transactions!$C:$C,$A10,Transactions!$D:$D,"Sale"),0)</f>
        <v>0</v>
      </c>
      <c r="AG10" s="22" t="str">
        <f aca="false">IFERROR(IF(maxifs(Transactions!$B:$B,Transactions!$C:$C,$A10,Transactions!$D:$D,"Sale")=0,"",maxifs(Transactions!$B:$B,Transactions!$C:$C,$A10,Transactions!$D:$D,"Sale")),"")</f>
        <v/>
      </c>
      <c r="AH10" s="12"/>
    </row>
    <row r="11" customFormat="false" ht="18" hidden="false" customHeight="true" outlineLevel="0" collapsed="false">
      <c r="A11" s="12" t="s">
        <v>389</v>
      </c>
      <c r="B11" s="12" t="s">
        <v>91</v>
      </c>
      <c r="C11" s="12" t="s">
        <v>77</v>
      </c>
      <c r="D11" s="12" t="s">
        <v>78</v>
      </c>
      <c r="E11" s="12" t="s">
        <v>79</v>
      </c>
      <c r="F11" s="12" t="s">
        <v>92</v>
      </c>
      <c r="G11" s="12"/>
      <c r="H11" s="12" t="s">
        <v>383</v>
      </c>
      <c r="I11" s="14" t="n">
        <v>19000</v>
      </c>
      <c r="J11" s="18" t="n">
        <f aca="false">IF($I11="","",ROUND($I11*Dropdowns!$K$5,2))</f>
        <v>49.4</v>
      </c>
      <c r="K11" s="19" t="n">
        <f aca="false">IF($I11="","",ROUND($I11*Dropdowns!$K$6,2))</f>
        <v>45.6</v>
      </c>
      <c r="L11" s="20" t="n">
        <f aca="false">IF($I11="","",ROUND($I11*Dropdowns!$K$7,2))</f>
        <v>3895</v>
      </c>
      <c r="M11" s="15" t="str">
        <f aca="false">IFERROR(IF($B11="","",VLOOKUP($B11,Designs!$A$3:$AP$165,27,FALSE())),"")</f>
        <v/>
      </c>
      <c r="N11" s="16" t="str">
        <f aca="false">IFERROR(IF(OR($I11="",$M11="",$M11=0),"",($I11-$M11)/$I11),"")</f>
        <v/>
      </c>
      <c r="O11" s="13" t="n">
        <v>0</v>
      </c>
      <c r="P11" s="13" t="n">
        <v>0</v>
      </c>
      <c r="Q11" s="21" t="n">
        <f aca="false">IF($O11="","",$O11-IF($P11="",0,$P11))</f>
        <v>0</v>
      </c>
      <c r="R11" s="13" t="n">
        <v>2</v>
      </c>
      <c r="S11" s="21" t="str">
        <f aca="false">IF($O11="","",IF($Q11&lt;=$R11,"⚠ REORDER","OK"))</f>
        <v>⚠ REORDER</v>
      </c>
      <c r="T11" s="13"/>
      <c r="U11" s="13"/>
      <c r="V11" s="13" t="s">
        <v>378</v>
      </c>
      <c r="W11" s="12" t="s">
        <v>379</v>
      </c>
      <c r="X11" s="13"/>
      <c r="Y11" s="13"/>
      <c r="Z11" s="12" t="s">
        <v>88</v>
      </c>
      <c r="AA11" s="12" t="s">
        <v>88</v>
      </c>
      <c r="AB11" s="12" t="s">
        <v>88</v>
      </c>
      <c r="AC11" s="12" t="s">
        <v>88</v>
      </c>
      <c r="AD11" s="12" t="s">
        <v>87</v>
      </c>
      <c r="AE11" s="21" t="n">
        <f aca="false">IFERROR(SUMIFS(Transactions!$F:$F,Transactions!$C:$C,$A11,Transactions!$D:$D,"Sale"),0)</f>
        <v>0</v>
      </c>
      <c r="AF11" s="15" t="n">
        <f aca="false">IFERROR(SUMIFS(Transactions!$H:$H,Transactions!$C:$C,$A11,Transactions!$D:$D,"Sale"),0)</f>
        <v>0</v>
      </c>
      <c r="AG11" s="22" t="str">
        <f aca="false">IFERROR(IF(maxifs(Transactions!$B:$B,Transactions!$C:$C,$A11,Transactions!$D:$D,"Sale")=0,"",maxifs(Transactions!$B:$B,Transactions!$C:$C,$A11,Transactions!$D:$D,"Sale")),"")</f>
        <v/>
      </c>
      <c r="AH11" s="12"/>
    </row>
    <row r="12" customFormat="false" ht="18" hidden="false" customHeight="true" outlineLevel="0" collapsed="false">
      <c r="A12" s="12" t="s">
        <v>390</v>
      </c>
      <c r="B12" s="12" t="s">
        <v>93</v>
      </c>
      <c r="C12" s="12" t="s">
        <v>77</v>
      </c>
      <c r="D12" s="12" t="s">
        <v>78</v>
      </c>
      <c r="E12" s="12" t="s">
        <v>79</v>
      </c>
      <c r="F12" s="12" t="s">
        <v>94</v>
      </c>
      <c r="G12" s="12"/>
      <c r="H12" s="12" t="s">
        <v>377</v>
      </c>
      <c r="I12" s="14" t="n">
        <v>19000</v>
      </c>
      <c r="J12" s="18" t="n">
        <f aca="false">IF($I12="","",ROUND($I12*Dropdowns!$K$5,2))</f>
        <v>49.4</v>
      </c>
      <c r="K12" s="19" t="n">
        <f aca="false">IF($I12="","",ROUND($I12*Dropdowns!$K$6,2))</f>
        <v>45.6</v>
      </c>
      <c r="L12" s="20" t="n">
        <f aca="false">IF($I12="","",ROUND($I12*Dropdowns!$K$7,2))</f>
        <v>3895</v>
      </c>
      <c r="M12" s="15" t="str">
        <f aca="false">IFERROR(IF($B12="","",VLOOKUP($B12,Designs!$A$3:$AP$165,27,FALSE())),"")</f>
        <v/>
      </c>
      <c r="N12" s="16" t="str">
        <f aca="false">IFERROR(IF(OR($I12="",$M12="",$M12=0),"",($I12-$M12)/$I12),"")</f>
        <v/>
      </c>
      <c r="O12" s="13" t="n">
        <v>0</v>
      </c>
      <c r="P12" s="13" t="n">
        <v>0</v>
      </c>
      <c r="Q12" s="21" t="n">
        <f aca="false">IF($O12="","",$O12-IF($P12="",0,$P12))</f>
        <v>0</v>
      </c>
      <c r="R12" s="13" t="n">
        <v>2</v>
      </c>
      <c r="S12" s="21" t="str">
        <f aca="false">IF($O12="","",IF($Q12&lt;=$R12,"⚠ REORDER","OK"))</f>
        <v>⚠ REORDER</v>
      </c>
      <c r="T12" s="13"/>
      <c r="U12" s="13"/>
      <c r="V12" s="13" t="s">
        <v>378</v>
      </c>
      <c r="W12" s="12" t="s">
        <v>379</v>
      </c>
      <c r="X12" s="13"/>
      <c r="Y12" s="13"/>
      <c r="Z12" s="12" t="s">
        <v>88</v>
      </c>
      <c r="AA12" s="12" t="s">
        <v>88</v>
      </c>
      <c r="AB12" s="12" t="s">
        <v>88</v>
      </c>
      <c r="AC12" s="12" t="s">
        <v>88</v>
      </c>
      <c r="AD12" s="12" t="s">
        <v>87</v>
      </c>
      <c r="AE12" s="21" t="n">
        <f aca="false">IFERROR(SUMIFS(Transactions!$F:$F,Transactions!$C:$C,$A12,Transactions!$D:$D,"Sale"),0)</f>
        <v>0</v>
      </c>
      <c r="AF12" s="15" t="n">
        <f aca="false">IFERROR(SUMIFS(Transactions!$H:$H,Transactions!$C:$C,$A12,Transactions!$D:$D,"Sale"),0)</f>
        <v>0</v>
      </c>
      <c r="AG12" s="22" t="str">
        <f aca="false">IFERROR(IF(maxifs(Transactions!$B:$B,Transactions!$C:$C,$A12,Transactions!$D:$D,"Sale")=0,"",maxifs(Transactions!$B:$B,Transactions!$C:$C,$A12,Transactions!$D:$D,"Sale")),"")</f>
        <v/>
      </c>
      <c r="AH12" s="12"/>
    </row>
    <row r="13" customFormat="false" ht="18" hidden="false" customHeight="true" outlineLevel="0" collapsed="false">
      <c r="A13" s="12" t="s">
        <v>391</v>
      </c>
      <c r="B13" s="12" t="s">
        <v>93</v>
      </c>
      <c r="C13" s="12" t="s">
        <v>77</v>
      </c>
      <c r="D13" s="12" t="s">
        <v>78</v>
      </c>
      <c r="E13" s="12" t="s">
        <v>79</v>
      </c>
      <c r="F13" s="12" t="s">
        <v>94</v>
      </c>
      <c r="G13" s="12"/>
      <c r="H13" s="12" t="s">
        <v>381</v>
      </c>
      <c r="I13" s="14" t="n">
        <v>19000</v>
      </c>
      <c r="J13" s="18" t="n">
        <f aca="false">IF($I13="","",ROUND($I13*Dropdowns!$K$5,2))</f>
        <v>49.4</v>
      </c>
      <c r="K13" s="19" t="n">
        <f aca="false">IF($I13="","",ROUND($I13*Dropdowns!$K$6,2))</f>
        <v>45.6</v>
      </c>
      <c r="L13" s="20" t="n">
        <f aca="false">IF($I13="","",ROUND($I13*Dropdowns!$K$7,2))</f>
        <v>3895</v>
      </c>
      <c r="M13" s="15" t="str">
        <f aca="false">IFERROR(IF($B13="","",VLOOKUP($B13,Designs!$A$3:$AP$165,27,FALSE())),"")</f>
        <v/>
      </c>
      <c r="N13" s="16" t="str">
        <f aca="false">IFERROR(IF(OR($I13="",$M13="",$M13=0),"",($I13-$M13)/$I13),"")</f>
        <v/>
      </c>
      <c r="O13" s="13" t="n">
        <v>0</v>
      </c>
      <c r="P13" s="13" t="n">
        <v>0</v>
      </c>
      <c r="Q13" s="21" t="n">
        <f aca="false">IF($O13="","",$O13-IF($P13="",0,$P13))</f>
        <v>0</v>
      </c>
      <c r="R13" s="13" t="n">
        <v>2</v>
      </c>
      <c r="S13" s="21" t="str">
        <f aca="false">IF($O13="","",IF($Q13&lt;=$R13,"⚠ REORDER","OK"))</f>
        <v>⚠ REORDER</v>
      </c>
      <c r="T13" s="13"/>
      <c r="U13" s="13"/>
      <c r="V13" s="13" t="s">
        <v>378</v>
      </c>
      <c r="W13" s="12" t="s">
        <v>379</v>
      </c>
      <c r="X13" s="13"/>
      <c r="Y13" s="13"/>
      <c r="Z13" s="12" t="s">
        <v>88</v>
      </c>
      <c r="AA13" s="12" t="s">
        <v>88</v>
      </c>
      <c r="AB13" s="12" t="s">
        <v>88</v>
      </c>
      <c r="AC13" s="12" t="s">
        <v>88</v>
      </c>
      <c r="AD13" s="12" t="s">
        <v>87</v>
      </c>
      <c r="AE13" s="21" t="n">
        <f aca="false">IFERROR(SUMIFS(Transactions!$F:$F,Transactions!$C:$C,$A13,Transactions!$D:$D,"Sale"),0)</f>
        <v>0</v>
      </c>
      <c r="AF13" s="15" t="n">
        <f aca="false">IFERROR(SUMIFS(Transactions!$H:$H,Transactions!$C:$C,$A13,Transactions!$D:$D,"Sale"),0)</f>
        <v>0</v>
      </c>
      <c r="AG13" s="22" t="str">
        <f aca="false">IFERROR(IF(maxifs(Transactions!$B:$B,Transactions!$C:$C,$A13,Transactions!$D:$D,"Sale")=0,"",maxifs(Transactions!$B:$B,Transactions!$C:$C,$A13,Transactions!$D:$D,"Sale")),"")</f>
        <v/>
      </c>
      <c r="AH13" s="12"/>
    </row>
    <row r="14" customFormat="false" ht="18" hidden="false" customHeight="true" outlineLevel="0" collapsed="false">
      <c r="A14" s="12" t="s">
        <v>392</v>
      </c>
      <c r="B14" s="12" t="s">
        <v>93</v>
      </c>
      <c r="C14" s="12" t="s">
        <v>77</v>
      </c>
      <c r="D14" s="12" t="s">
        <v>78</v>
      </c>
      <c r="E14" s="12" t="s">
        <v>79</v>
      </c>
      <c r="F14" s="12" t="s">
        <v>94</v>
      </c>
      <c r="G14" s="12"/>
      <c r="H14" s="12" t="s">
        <v>383</v>
      </c>
      <c r="I14" s="14" t="n">
        <v>19000</v>
      </c>
      <c r="J14" s="18" t="n">
        <f aca="false">IF($I14="","",ROUND($I14*Dropdowns!$K$5,2))</f>
        <v>49.4</v>
      </c>
      <c r="K14" s="19" t="n">
        <f aca="false">IF($I14="","",ROUND($I14*Dropdowns!$K$6,2))</f>
        <v>45.6</v>
      </c>
      <c r="L14" s="20" t="n">
        <f aca="false">IF($I14="","",ROUND($I14*Dropdowns!$K$7,2))</f>
        <v>3895</v>
      </c>
      <c r="M14" s="15" t="str">
        <f aca="false">IFERROR(IF($B14="","",VLOOKUP($B14,Designs!$A$3:$AP$165,27,FALSE())),"")</f>
        <v/>
      </c>
      <c r="N14" s="16" t="str">
        <f aca="false">IFERROR(IF(OR($I14="",$M14="",$M14=0),"",($I14-$M14)/$I14),"")</f>
        <v/>
      </c>
      <c r="O14" s="13" t="n">
        <v>0</v>
      </c>
      <c r="P14" s="13" t="n">
        <v>0</v>
      </c>
      <c r="Q14" s="21" t="n">
        <f aca="false">IF($O14="","",$O14-IF($P14="",0,$P14))</f>
        <v>0</v>
      </c>
      <c r="R14" s="13" t="n">
        <v>2</v>
      </c>
      <c r="S14" s="21" t="str">
        <f aca="false">IF($O14="","",IF($Q14&lt;=$R14,"⚠ REORDER","OK"))</f>
        <v>⚠ REORDER</v>
      </c>
      <c r="T14" s="13"/>
      <c r="U14" s="13"/>
      <c r="V14" s="13" t="s">
        <v>378</v>
      </c>
      <c r="W14" s="12" t="s">
        <v>379</v>
      </c>
      <c r="X14" s="13"/>
      <c r="Y14" s="13"/>
      <c r="Z14" s="12" t="s">
        <v>88</v>
      </c>
      <c r="AA14" s="12" t="s">
        <v>88</v>
      </c>
      <c r="AB14" s="12" t="s">
        <v>88</v>
      </c>
      <c r="AC14" s="12" t="s">
        <v>88</v>
      </c>
      <c r="AD14" s="12" t="s">
        <v>87</v>
      </c>
      <c r="AE14" s="21" t="n">
        <f aca="false">IFERROR(SUMIFS(Transactions!$F:$F,Transactions!$C:$C,$A14,Transactions!$D:$D,"Sale"),0)</f>
        <v>0</v>
      </c>
      <c r="AF14" s="15" t="n">
        <f aca="false">IFERROR(SUMIFS(Transactions!$H:$H,Transactions!$C:$C,$A14,Transactions!$D:$D,"Sale"),0)</f>
        <v>0</v>
      </c>
      <c r="AG14" s="22" t="str">
        <f aca="false">IFERROR(IF(maxifs(Transactions!$B:$B,Transactions!$C:$C,$A14,Transactions!$D:$D,"Sale")=0,"",maxifs(Transactions!$B:$B,Transactions!$C:$C,$A14,Transactions!$D:$D,"Sale")),"")</f>
        <v/>
      </c>
      <c r="AH14" s="12"/>
    </row>
    <row r="15" customFormat="false" ht="18" hidden="false" customHeight="true" outlineLevel="0" collapsed="false">
      <c r="A15" s="12" t="s">
        <v>393</v>
      </c>
      <c r="B15" s="12" t="s">
        <v>95</v>
      </c>
      <c r="C15" s="12" t="s">
        <v>77</v>
      </c>
      <c r="D15" s="12" t="s">
        <v>78</v>
      </c>
      <c r="E15" s="12" t="s">
        <v>79</v>
      </c>
      <c r="F15" s="12" t="s">
        <v>96</v>
      </c>
      <c r="G15" s="12"/>
      <c r="H15" s="12" t="s">
        <v>377</v>
      </c>
      <c r="I15" s="14" t="n">
        <v>19000</v>
      </c>
      <c r="J15" s="18" t="n">
        <f aca="false">IF($I15="","",ROUND($I15*Dropdowns!$K$5,2))</f>
        <v>49.4</v>
      </c>
      <c r="K15" s="19" t="n">
        <f aca="false">IF($I15="","",ROUND($I15*Dropdowns!$K$6,2))</f>
        <v>45.6</v>
      </c>
      <c r="L15" s="20" t="n">
        <f aca="false">IF($I15="","",ROUND($I15*Dropdowns!$K$7,2))</f>
        <v>3895</v>
      </c>
      <c r="M15" s="15" t="str">
        <f aca="false">IFERROR(IF($B15="","",VLOOKUP($B15,Designs!$A$3:$AP$165,27,FALSE())),"")</f>
        <v/>
      </c>
      <c r="N15" s="16" t="str">
        <f aca="false">IFERROR(IF(OR($I15="",$M15="",$M15=0),"",($I15-$M15)/$I15),"")</f>
        <v/>
      </c>
      <c r="O15" s="13" t="n">
        <v>0</v>
      </c>
      <c r="P15" s="13" t="n">
        <v>0</v>
      </c>
      <c r="Q15" s="21" t="n">
        <f aca="false">IF($O15="","",$O15-IF($P15="",0,$P15))</f>
        <v>0</v>
      </c>
      <c r="R15" s="13" t="n">
        <v>2</v>
      </c>
      <c r="S15" s="21" t="str">
        <f aca="false">IF($O15="","",IF($Q15&lt;=$R15,"⚠ REORDER","OK"))</f>
        <v>⚠ REORDER</v>
      </c>
      <c r="T15" s="13"/>
      <c r="U15" s="13"/>
      <c r="V15" s="13" t="s">
        <v>378</v>
      </c>
      <c r="W15" s="12" t="s">
        <v>379</v>
      </c>
      <c r="X15" s="13"/>
      <c r="Y15" s="13"/>
      <c r="Z15" s="12" t="s">
        <v>88</v>
      </c>
      <c r="AA15" s="12" t="s">
        <v>88</v>
      </c>
      <c r="AB15" s="12" t="s">
        <v>88</v>
      </c>
      <c r="AC15" s="12" t="s">
        <v>88</v>
      </c>
      <c r="AD15" s="12" t="s">
        <v>87</v>
      </c>
      <c r="AE15" s="21" t="n">
        <f aca="false">IFERROR(SUMIFS(Transactions!$F:$F,Transactions!$C:$C,$A15,Transactions!$D:$D,"Sale"),0)</f>
        <v>0</v>
      </c>
      <c r="AF15" s="15" t="n">
        <f aca="false">IFERROR(SUMIFS(Transactions!$H:$H,Transactions!$C:$C,$A15,Transactions!$D:$D,"Sale"),0)</f>
        <v>0</v>
      </c>
      <c r="AG15" s="22" t="str">
        <f aca="false">IFERROR(IF(maxifs(Transactions!$B:$B,Transactions!$C:$C,$A15,Transactions!$D:$D,"Sale")=0,"",maxifs(Transactions!$B:$B,Transactions!$C:$C,$A15,Transactions!$D:$D,"Sale")),"")</f>
        <v/>
      </c>
      <c r="AH15" s="12"/>
    </row>
    <row r="16" customFormat="false" ht="18" hidden="false" customHeight="true" outlineLevel="0" collapsed="false">
      <c r="A16" s="12" t="s">
        <v>394</v>
      </c>
      <c r="B16" s="12" t="s">
        <v>95</v>
      </c>
      <c r="C16" s="12" t="s">
        <v>77</v>
      </c>
      <c r="D16" s="12" t="s">
        <v>78</v>
      </c>
      <c r="E16" s="12" t="s">
        <v>79</v>
      </c>
      <c r="F16" s="12" t="s">
        <v>96</v>
      </c>
      <c r="G16" s="12"/>
      <c r="H16" s="12" t="s">
        <v>381</v>
      </c>
      <c r="I16" s="14" t="n">
        <v>19000</v>
      </c>
      <c r="J16" s="18" t="n">
        <f aca="false">IF($I16="","",ROUND($I16*Dropdowns!$K$5,2))</f>
        <v>49.4</v>
      </c>
      <c r="K16" s="19" t="n">
        <f aca="false">IF($I16="","",ROUND($I16*Dropdowns!$K$6,2))</f>
        <v>45.6</v>
      </c>
      <c r="L16" s="20" t="n">
        <f aca="false">IF($I16="","",ROUND($I16*Dropdowns!$K$7,2))</f>
        <v>3895</v>
      </c>
      <c r="M16" s="15" t="str">
        <f aca="false">IFERROR(IF($B16="","",VLOOKUP($B16,Designs!$A$3:$AP$165,27,FALSE())),"")</f>
        <v/>
      </c>
      <c r="N16" s="16" t="str">
        <f aca="false">IFERROR(IF(OR($I16="",$M16="",$M16=0),"",($I16-$M16)/$I16),"")</f>
        <v/>
      </c>
      <c r="O16" s="13" t="n">
        <v>0</v>
      </c>
      <c r="P16" s="13" t="n">
        <v>0</v>
      </c>
      <c r="Q16" s="21" t="n">
        <f aca="false">IF($O16="","",$O16-IF($P16="",0,$P16))</f>
        <v>0</v>
      </c>
      <c r="R16" s="13" t="n">
        <v>2</v>
      </c>
      <c r="S16" s="21" t="str">
        <f aca="false">IF($O16="","",IF($Q16&lt;=$R16,"⚠ REORDER","OK"))</f>
        <v>⚠ REORDER</v>
      </c>
      <c r="T16" s="13"/>
      <c r="U16" s="13"/>
      <c r="V16" s="13" t="s">
        <v>378</v>
      </c>
      <c r="W16" s="12" t="s">
        <v>379</v>
      </c>
      <c r="X16" s="13"/>
      <c r="Y16" s="13"/>
      <c r="Z16" s="12" t="s">
        <v>88</v>
      </c>
      <c r="AA16" s="12" t="s">
        <v>88</v>
      </c>
      <c r="AB16" s="12" t="s">
        <v>88</v>
      </c>
      <c r="AC16" s="12" t="s">
        <v>88</v>
      </c>
      <c r="AD16" s="12" t="s">
        <v>87</v>
      </c>
      <c r="AE16" s="21" t="n">
        <f aca="false">IFERROR(SUMIFS(Transactions!$F:$F,Transactions!$C:$C,$A16,Transactions!$D:$D,"Sale"),0)</f>
        <v>0</v>
      </c>
      <c r="AF16" s="15" t="n">
        <f aca="false">IFERROR(SUMIFS(Transactions!$H:$H,Transactions!$C:$C,$A16,Transactions!$D:$D,"Sale"),0)</f>
        <v>0</v>
      </c>
      <c r="AG16" s="22" t="str">
        <f aca="false">IFERROR(IF(maxifs(Transactions!$B:$B,Transactions!$C:$C,$A16,Transactions!$D:$D,"Sale")=0,"",maxifs(Transactions!$B:$B,Transactions!$C:$C,$A16,Transactions!$D:$D,"Sale")),"")</f>
        <v/>
      </c>
      <c r="AH16" s="12"/>
    </row>
    <row r="17" customFormat="false" ht="18" hidden="false" customHeight="true" outlineLevel="0" collapsed="false">
      <c r="A17" s="12" t="s">
        <v>395</v>
      </c>
      <c r="B17" s="12" t="s">
        <v>95</v>
      </c>
      <c r="C17" s="12" t="s">
        <v>77</v>
      </c>
      <c r="D17" s="12" t="s">
        <v>78</v>
      </c>
      <c r="E17" s="12" t="s">
        <v>79</v>
      </c>
      <c r="F17" s="12" t="s">
        <v>96</v>
      </c>
      <c r="G17" s="12"/>
      <c r="H17" s="12" t="s">
        <v>383</v>
      </c>
      <c r="I17" s="14" t="n">
        <v>19000</v>
      </c>
      <c r="J17" s="18" t="n">
        <f aca="false">IF($I17="","",ROUND($I17*Dropdowns!$K$5,2))</f>
        <v>49.4</v>
      </c>
      <c r="K17" s="19" t="n">
        <f aca="false">IF($I17="","",ROUND($I17*Dropdowns!$K$6,2))</f>
        <v>45.6</v>
      </c>
      <c r="L17" s="20" t="n">
        <f aca="false">IF($I17="","",ROUND($I17*Dropdowns!$K$7,2))</f>
        <v>3895</v>
      </c>
      <c r="M17" s="15" t="str">
        <f aca="false">IFERROR(IF($B17="","",VLOOKUP($B17,Designs!$A$3:$AP$165,27,FALSE())),"")</f>
        <v/>
      </c>
      <c r="N17" s="16" t="str">
        <f aca="false">IFERROR(IF(OR($I17="",$M17="",$M17=0),"",($I17-$M17)/$I17),"")</f>
        <v/>
      </c>
      <c r="O17" s="13" t="n">
        <v>0</v>
      </c>
      <c r="P17" s="13" t="n">
        <v>0</v>
      </c>
      <c r="Q17" s="21" t="n">
        <f aca="false">IF($O17="","",$O17-IF($P17="",0,$P17))</f>
        <v>0</v>
      </c>
      <c r="R17" s="13" t="n">
        <v>2</v>
      </c>
      <c r="S17" s="21" t="str">
        <f aca="false">IF($O17="","",IF($Q17&lt;=$R17,"⚠ REORDER","OK"))</f>
        <v>⚠ REORDER</v>
      </c>
      <c r="T17" s="13"/>
      <c r="U17" s="13"/>
      <c r="V17" s="13" t="s">
        <v>378</v>
      </c>
      <c r="W17" s="12" t="s">
        <v>379</v>
      </c>
      <c r="X17" s="13"/>
      <c r="Y17" s="13"/>
      <c r="Z17" s="12" t="s">
        <v>88</v>
      </c>
      <c r="AA17" s="12" t="s">
        <v>88</v>
      </c>
      <c r="AB17" s="12" t="s">
        <v>88</v>
      </c>
      <c r="AC17" s="12" t="s">
        <v>88</v>
      </c>
      <c r="AD17" s="12" t="s">
        <v>87</v>
      </c>
      <c r="AE17" s="21" t="n">
        <f aca="false">IFERROR(SUMIFS(Transactions!$F:$F,Transactions!$C:$C,$A17,Transactions!$D:$D,"Sale"),0)</f>
        <v>0</v>
      </c>
      <c r="AF17" s="15" t="n">
        <f aca="false">IFERROR(SUMIFS(Transactions!$H:$H,Transactions!$C:$C,$A17,Transactions!$D:$D,"Sale"),0)</f>
        <v>0</v>
      </c>
      <c r="AG17" s="22" t="str">
        <f aca="false">IFERROR(IF(maxifs(Transactions!$B:$B,Transactions!$C:$C,$A17,Transactions!$D:$D,"Sale")=0,"",maxifs(Transactions!$B:$B,Transactions!$C:$C,$A17,Transactions!$D:$D,"Sale")),"")</f>
        <v/>
      </c>
      <c r="AH17" s="12"/>
    </row>
    <row r="18" customFormat="false" ht="18" hidden="false" customHeight="true" outlineLevel="0" collapsed="false">
      <c r="A18" s="12" t="s">
        <v>396</v>
      </c>
      <c r="B18" s="12" t="s">
        <v>97</v>
      </c>
      <c r="C18" s="12" t="s">
        <v>77</v>
      </c>
      <c r="D18" s="12" t="s">
        <v>78</v>
      </c>
      <c r="E18" s="12" t="s">
        <v>79</v>
      </c>
      <c r="F18" s="12" t="s">
        <v>98</v>
      </c>
      <c r="G18" s="12"/>
      <c r="H18" s="12" t="s">
        <v>377</v>
      </c>
      <c r="I18" s="14" t="n">
        <v>19000</v>
      </c>
      <c r="J18" s="18" t="n">
        <f aca="false">IF($I18="","",ROUND($I18*Dropdowns!$K$5,2))</f>
        <v>49.4</v>
      </c>
      <c r="K18" s="19" t="n">
        <f aca="false">IF($I18="","",ROUND($I18*Dropdowns!$K$6,2))</f>
        <v>45.6</v>
      </c>
      <c r="L18" s="20" t="n">
        <f aca="false">IF($I18="","",ROUND($I18*Dropdowns!$K$7,2))</f>
        <v>3895</v>
      </c>
      <c r="M18" s="15" t="str">
        <f aca="false">IFERROR(IF($B18="","",VLOOKUP($B18,Designs!$A$3:$AP$165,27,FALSE())),"")</f>
        <v/>
      </c>
      <c r="N18" s="16" t="str">
        <f aca="false">IFERROR(IF(OR($I18="",$M18="",$M18=0),"",($I18-$M18)/$I18),"")</f>
        <v/>
      </c>
      <c r="O18" s="13" t="n">
        <v>0</v>
      </c>
      <c r="P18" s="13" t="n">
        <v>0</v>
      </c>
      <c r="Q18" s="21" t="n">
        <f aca="false">IF($O18="","",$O18-IF($P18="",0,$P18))</f>
        <v>0</v>
      </c>
      <c r="R18" s="13" t="n">
        <v>2</v>
      </c>
      <c r="S18" s="21" t="str">
        <f aca="false">IF($O18="","",IF($Q18&lt;=$R18,"⚠ REORDER","OK"))</f>
        <v>⚠ REORDER</v>
      </c>
      <c r="T18" s="13"/>
      <c r="U18" s="13"/>
      <c r="V18" s="13" t="s">
        <v>378</v>
      </c>
      <c r="W18" s="12" t="s">
        <v>379</v>
      </c>
      <c r="X18" s="13"/>
      <c r="Y18" s="13"/>
      <c r="Z18" s="12" t="s">
        <v>88</v>
      </c>
      <c r="AA18" s="12" t="s">
        <v>88</v>
      </c>
      <c r="AB18" s="12" t="s">
        <v>88</v>
      </c>
      <c r="AC18" s="12" t="s">
        <v>88</v>
      </c>
      <c r="AD18" s="12" t="s">
        <v>87</v>
      </c>
      <c r="AE18" s="21" t="n">
        <f aca="false">IFERROR(SUMIFS(Transactions!$F:$F,Transactions!$C:$C,$A18,Transactions!$D:$D,"Sale"),0)</f>
        <v>0</v>
      </c>
      <c r="AF18" s="15" t="n">
        <f aca="false">IFERROR(SUMIFS(Transactions!$H:$H,Transactions!$C:$C,$A18,Transactions!$D:$D,"Sale"),0)</f>
        <v>0</v>
      </c>
      <c r="AG18" s="22" t="str">
        <f aca="false">IFERROR(IF(maxifs(Transactions!$B:$B,Transactions!$C:$C,$A18,Transactions!$D:$D,"Sale")=0,"",maxifs(Transactions!$B:$B,Transactions!$C:$C,$A18,Transactions!$D:$D,"Sale")),"")</f>
        <v/>
      </c>
      <c r="AH18" s="12"/>
    </row>
    <row r="19" customFormat="false" ht="18" hidden="false" customHeight="true" outlineLevel="0" collapsed="false">
      <c r="A19" s="12" t="s">
        <v>397</v>
      </c>
      <c r="B19" s="12" t="s">
        <v>97</v>
      </c>
      <c r="C19" s="12" t="s">
        <v>77</v>
      </c>
      <c r="D19" s="12" t="s">
        <v>78</v>
      </c>
      <c r="E19" s="12" t="s">
        <v>79</v>
      </c>
      <c r="F19" s="12" t="s">
        <v>98</v>
      </c>
      <c r="G19" s="12"/>
      <c r="H19" s="12" t="s">
        <v>381</v>
      </c>
      <c r="I19" s="14" t="n">
        <v>19000</v>
      </c>
      <c r="J19" s="18" t="n">
        <f aca="false">IF($I19="","",ROUND($I19*Dropdowns!$K$5,2))</f>
        <v>49.4</v>
      </c>
      <c r="K19" s="19" t="n">
        <f aca="false">IF($I19="","",ROUND($I19*Dropdowns!$K$6,2))</f>
        <v>45.6</v>
      </c>
      <c r="L19" s="20" t="n">
        <f aca="false">IF($I19="","",ROUND($I19*Dropdowns!$K$7,2))</f>
        <v>3895</v>
      </c>
      <c r="M19" s="15" t="str">
        <f aca="false">IFERROR(IF($B19="","",VLOOKUP($B19,Designs!$A$3:$AP$165,27,FALSE())),"")</f>
        <v/>
      </c>
      <c r="N19" s="16" t="str">
        <f aca="false">IFERROR(IF(OR($I19="",$M19="",$M19=0),"",($I19-$M19)/$I19),"")</f>
        <v/>
      </c>
      <c r="O19" s="13" t="n">
        <v>0</v>
      </c>
      <c r="P19" s="13" t="n">
        <v>0</v>
      </c>
      <c r="Q19" s="21" t="n">
        <f aca="false">IF($O19="","",$O19-IF($P19="",0,$P19))</f>
        <v>0</v>
      </c>
      <c r="R19" s="13" t="n">
        <v>2</v>
      </c>
      <c r="S19" s="21" t="str">
        <f aca="false">IF($O19="","",IF($Q19&lt;=$R19,"⚠ REORDER","OK"))</f>
        <v>⚠ REORDER</v>
      </c>
      <c r="T19" s="13"/>
      <c r="U19" s="13"/>
      <c r="V19" s="13" t="s">
        <v>378</v>
      </c>
      <c r="W19" s="12" t="s">
        <v>379</v>
      </c>
      <c r="X19" s="13"/>
      <c r="Y19" s="13"/>
      <c r="Z19" s="12" t="s">
        <v>88</v>
      </c>
      <c r="AA19" s="12" t="s">
        <v>88</v>
      </c>
      <c r="AB19" s="12" t="s">
        <v>88</v>
      </c>
      <c r="AC19" s="12" t="s">
        <v>88</v>
      </c>
      <c r="AD19" s="12" t="s">
        <v>87</v>
      </c>
      <c r="AE19" s="21" t="n">
        <f aca="false">IFERROR(SUMIFS(Transactions!$F:$F,Transactions!$C:$C,$A19,Transactions!$D:$D,"Sale"),0)</f>
        <v>0</v>
      </c>
      <c r="AF19" s="15" t="n">
        <f aca="false">IFERROR(SUMIFS(Transactions!$H:$H,Transactions!$C:$C,$A19,Transactions!$D:$D,"Sale"),0)</f>
        <v>0</v>
      </c>
      <c r="AG19" s="22" t="str">
        <f aca="false">IFERROR(IF(maxifs(Transactions!$B:$B,Transactions!$C:$C,$A19,Transactions!$D:$D,"Sale")=0,"",maxifs(Transactions!$B:$B,Transactions!$C:$C,$A19,Transactions!$D:$D,"Sale")),"")</f>
        <v/>
      </c>
      <c r="AH19" s="12"/>
    </row>
    <row r="20" customFormat="false" ht="18" hidden="false" customHeight="true" outlineLevel="0" collapsed="false">
      <c r="A20" s="12" t="s">
        <v>398</v>
      </c>
      <c r="B20" s="12" t="s">
        <v>97</v>
      </c>
      <c r="C20" s="12" t="s">
        <v>77</v>
      </c>
      <c r="D20" s="12" t="s">
        <v>78</v>
      </c>
      <c r="E20" s="12" t="s">
        <v>79</v>
      </c>
      <c r="F20" s="12" t="s">
        <v>98</v>
      </c>
      <c r="G20" s="12"/>
      <c r="H20" s="12" t="s">
        <v>383</v>
      </c>
      <c r="I20" s="14" t="n">
        <v>19000</v>
      </c>
      <c r="J20" s="18" t="n">
        <f aca="false">IF($I20="","",ROUND($I20*Dropdowns!$K$5,2))</f>
        <v>49.4</v>
      </c>
      <c r="K20" s="19" t="n">
        <f aca="false">IF($I20="","",ROUND($I20*Dropdowns!$K$6,2))</f>
        <v>45.6</v>
      </c>
      <c r="L20" s="20" t="n">
        <f aca="false">IF($I20="","",ROUND($I20*Dropdowns!$K$7,2))</f>
        <v>3895</v>
      </c>
      <c r="M20" s="15" t="str">
        <f aca="false">IFERROR(IF($B20="","",VLOOKUP($B20,Designs!$A$3:$AP$165,27,FALSE())),"")</f>
        <v/>
      </c>
      <c r="N20" s="16" t="str">
        <f aca="false">IFERROR(IF(OR($I20="",$M20="",$M20=0),"",($I20-$M20)/$I20),"")</f>
        <v/>
      </c>
      <c r="O20" s="13" t="n">
        <v>0</v>
      </c>
      <c r="P20" s="13" t="n">
        <v>0</v>
      </c>
      <c r="Q20" s="21" t="n">
        <f aca="false">IF($O20="","",$O20-IF($P20="",0,$P20))</f>
        <v>0</v>
      </c>
      <c r="R20" s="13" t="n">
        <v>2</v>
      </c>
      <c r="S20" s="21" t="str">
        <f aca="false">IF($O20="","",IF($Q20&lt;=$R20,"⚠ REORDER","OK"))</f>
        <v>⚠ REORDER</v>
      </c>
      <c r="T20" s="13"/>
      <c r="U20" s="13"/>
      <c r="V20" s="13" t="s">
        <v>378</v>
      </c>
      <c r="W20" s="12" t="s">
        <v>379</v>
      </c>
      <c r="X20" s="13"/>
      <c r="Y20" s="13"/>
      <c r="Z20" s="12" t="s">
        <v>88</v>
      </c>
      <c r="AA20" s="12" t="s">
        <v>88</v>
      </c>
      <c r="AB20" s="12" t="s">
        <v>88</v>
      </c>
      <c r="AC20" s="12" t="s">
        <v>88</v>
      </c>
      <c r="AD20" s="12" t="s">
        <v>87</v>
      </c>
      <c r="AE20" s="21" t="n">
        <f aca="false">IFERROR(SUMIFS(Transactions!$F:$F,Transactions!$C:$C,$A20,Transactions!$D:$D,"Sale"),0)</f>
        <v>0</v>
      </c>
      <c r="AF20" s="15" t="n">
        <f aca="false">IFERROR(SUMIFS(Transactions!$H:$H,Transactions!$C:$C,$A20,Transactions!$D:$D,"Sale"),0)</f>
        <v>0</v>
      </c>
      <c r="AG20" s="22" t="str">
        <f aca="false">IFERROR(IF(maxifs(Transactions!$B:$B,Transactions!$C:$C,$A20,Transactions!$D:$D,"Sale")=0,"",maxifs(Transactions!$B:$B,Transactions!$C:$C,$A20,Transactions!$D:$D,"Sale")),"")</f>
        <v/>
      </c>
      <c r="AH20" s="12"/>
    </row>
    <row r="21" customFormat="false" ht="18" hidden="false" customHeight="true" outlineLevel="0" collapsed="false">
      <c r="A21" s="12" t="s">
        <v>399</v>
      </c>
      <c r="B21" s="12" t="s">
        <v>99</v>
      </c>
      <c r="C21" s="12" t="s">
        <v>77</v>
      </c>
      <c r="D21" s="12" t="s">
        <v>78</v>
      </c>
      <c r="E21" s="12" t="s">
        <v>79</v>
      </c>
      <c r="F21" s="12" t="s">
        <v>100</v>
      </c>
      <c r="G21" s="12"/>
      <c r="H21" s="12" t="s">
        <v>377</v>
      </c>
      <c r="I21" s="14" t="n">
        <v>19000</v>
      </c>
      <c r="J21" s="18" t="n">
        <f aca="false">IF($I21="","",ROUND($I21*Dropdowns!$K$5,2))</f>
        <v>49.4</v>
      </c>
      <c r="K21" s="19" t="n">
        <f aca="false">IF($I21="","",ROUND($I21*Dropdowns!$K$6,2))</f>
        <v>45.6</v>
      </c>
      <c r="L21" s="20" t="n">
        <f aca="false">IF($I21="","",ROUND($I21*Dropdowns!$K$7,2))</f>
        <v>3895</v>
      </c>
      <c r="M21" s="15" t="str">
        <f aca="false">IFERROR(IF($B21="","",VLOOKUP($B21,Designs!$A$3:$AP$165,27,FALSE())),"")</f>
        <v/>
      </c>
      <c r="N21" s="16" t="str">
        <f aca="false">IFERROR(IF(OR($I21="",$M21="",$M21=0),"",($I21-$M21)/$I21),"")</f>
        <v/>
      </c>
      <c r="O21" s="13" t="n">
        <v>0</v>
      </c>
      <c r="P21" s="13" t="n">
        <v>0</v>
      </c>
      <c r="Q21" s="21" t="n">
        <f aca="false">IF($O21="","",$O21-IF($P21="",0,$P21))</f>
        <v>0</v>
      </c>
      <c r="R21" s="13" t="n">
        <v>2</v>
      </c>
      <c r="S21" s="21" t="str">
        <f aca="false">IF($O21="","",IF($Q21&lt;=$R21,"⚠ REORDER","OK"))</f>
        <v>⚠ REORDER</v>
      </c>
      <c r="T21" s="13"/>
      <c r="U21" s="13"/>
      <c r="V21" s="13" t="s">
        <v>378</v>
      </c>
      <c r="W21" s="12" t="s">
        <v>379</v>
      </c>
      <c r="X21" s="13"/>
      <c r="Y21" s="13"/>
      <c r="Z21" s="12" t="s">
        <v>88</v>
      </c>
      <c r="AA21" s="12" t="s">
        <v>88</v>
      </c>
      <c r="AB21" s="12" t="s">
        <v>88</v>
      </c>
      <c r="AC21" s="12" t="s">
        <v>88</v>
      </c>
      <c r="AD21" s="12" t="s">
        <v>87</v>
      </c>
      <c r="AE21" s="21" t="n">
        <f aca="false">IFERROR(SUMIFS(Transactions!$F:$F,Transactions!$C:$C,$A21,Transactions!$D:$D,"Sale"),0)</f>
        <v>0</v>
      </c>
      <c r="AF21" s="15" t="n">
        <f aca="false">IFERROR(SUMIFS(Transactions!$H:$H,Transactions!$C:$C,$A21,Transactions!$D:$D,"Sale"),0)</f>
        <v>0</v>
      </c>
      <c r="AG21" s="22" t="str">
        <f aca="false">IFERROR(IF(maxifs(Transactions!$B:$B,Transactions!$C:$C,$A21,Transactions!$D:$D,"Sale")=0,"",maxifs(Transactions!$B:$B,Transactions!$C:$C,$A21,Transactions!$D:$D,"Sale")),"")</f>
        <v/>
      </c>
      <c r="AH21" s="12"/>
    </row>
    <row r="22" customFormat="false" ht="18" hidden="false" customHeight="true" outlineLevel="0" collapsed="false">
      <c r="A22" s="12" t="s">
        <v>400</v>
      </c>
      <c r="B22" s="12" t="s">
        <v>99</v>
      </c>
      <c r="C22" s="12" t="s">
        <v>77</v>
      </c>
      <c r="D22" s="12" t="s">
        <v>78</v>
      </c>
      <c r="E22" s="12" t="s">
        <v>79</v>
      </c>
      <c r="F22" s="12" t="s">
        <v>100</v>
      </c>
      <c r="G22" s="12"/>
      <c r="H22" s="12" t="s">
        <v>381</v>
      </c>
      <c r="I22" s="14" t="n">
        <v>19000</v>
      </c>
      <c r="J22" s="18" t="n">
        <f aca="false">IF($I22="","",ROUND($I22*Dropdowns!$K$5,2))</f>
        <v>49.4</v>
      </c>
      <c r="K22" s="19" t="n">
        <f aca="false">IF($I22="","",ROUND($I22*Dropdowns!$K$6,2))</f>
        <v>45.6</v>
      </c>
      <c r="L22" s="20" t="n">
        <f aca="false">IF($I22="","",ROUND($I22*Dropdowns!$K$7,2))</f>
        <v>3895</v>
      </c>
      <c r="M22" s="15" t="str">
        <f aca="false">IFERROR(IF($B22="","",VLOOKUP($B22,Designs!$A$3:$AP$165,27,FALSE())),"")</f>
        <v/>
      </c>
      <c r="N22" s="16" t="str">
        <f aca="false">IFERROR(IF(OR($I22="",$M22="",$M22=0),"",($I22-$M22)/$I22),"")</f>
        <v/>
      </c>
      <c r="O22" s="13" t="n">
        <v>0</v>
      </c>
      <c r="P22" s="13" t="n">
        <v>0</v>
      </c>
      <c r="Q22" s="21" t="n">
        <f aca="false">IF($O22="","",$O22-IF($P22="",0,$P22))</f>
        <v>0</v>
      </c>
      <c r="R22" s="13" t="n">
        <v>2</v>
      </c>
      <c r="S22" s="21" t="str">
        <f aca="false">IF($O22="","",IF($Q22&lt;=$R22,"⚠ REORDER","OK"))</f>
        <v>⚠ REORDER</v>
      </c>
      <c r="T22" s="13"/>
      <c r="U22" s="13"/>
      <c r="V22" s="13" t="s">
        <v>378</v>
      </c>
      <c r="W22" s="12" t="s">
        <v>379</v>
      </c>
      <c r="X22" s="13"/>
      <c r="Y22" s="13"/>
      <c r="Z22" s="12" t="s">
        <v>88</v>
      </c>
      <c r="AA22" s="12" t="s">
        <v>88</v>
      </c>
      <c r="AB22" s="12" t="s">
        <v>88</v>
      </c>
      <c r="AC22" s="12" t="s">
        <v>88</v>
      </c>
      <c r="AD22" s="12" t="s">
        <v>87</v>
      </c>
      <c r="AE22" s="21" t="n">
        <f aca="false">IFERROR(SUMIFS(Transactions!$F:$F,Transactions!$C:$C,$A22,Transactions!$D:$D,"Sale"),0)</f>
        <v>0</v>
      </c>
      <c r="AF22" s="15" t="n">
        <f aca="false">IFERROR(SUMIFS(Transactions!$H:$H,Transactions!$C:$C,$A22,Transactions!$D:$D,"Sale"),0)</f>
        <v>0</v>
      </c>
      <c r="AG22" s="22" t="str">
        <f aca="false">IFERROR(IF(maxifs(Transactions!$B:$B,Transactions!$C:$C,$A22,Transactions!$D:$D,"Sale")=0,"",maxifs(Transactions!$B:$B,Transactions!$C:$C,$A22,Transactions!$D:$D,"Sale")),"")</f>
        <v/>
      </c>
      <c r="AH22" s="12"/>
    </row>
    <row r="23" customFormat="false" ht="18" hidden="false" customHeight="true" outlineLevel="0" collapsed="false">
      <c r="A23" s="12" t="s">
        <v>401</v>
      </c>
      <c r="B23" s="12" t="s">
        <v>99</v>
      </c>
      <c r="C23" s="12" t="s">
        <v>77</v>
      </c>
      <c r="D23" s="12" t="s">
        <v>78</v>
      </c>
      <c r="E23" s="12" t="s">
        <v>79</v>
      </c>
      <c r="F23" s="12" t="s">
        <v>100</v>
      </c>
      <c r="G23" s="12"/>
      <c r="H23" s="12" t="s">
        <v>383</v>
      </c>
      <c r="I23" s="14" t="n">
        <v>19000</v>
      </c>
      <c r="J23" s="18" t="n">
        <f aca="false">IF($I23="","",ROUND($I23*Dropdowns!$K$5,2))</f>
        <v>49.4</v>
      </c>
      <c r="K23" s="19" t="n">
        <f aca="false">IF($I23="","",ROUND($I23*Dropdowns!$K$6,2))</f>
        <v>45.6</v>
      </c>
      <c r="L23" s="20" t="n">
        <f aca="false">IF($I23="","",ROUND($I23*Dropdowns!$K$7,2))</f>
        <v>3895</v>
      </c>
      <c r="M23" s="15" t="str">
        <f aca="false">IFERROR(IF($B23="","",VLOOKUP($B23,Designs!$A$3:$AP$165,27,FALSE())),"")</f>
        <v/>
      </c>
      <c r="N23" s="16" t="str">
        <f aca="false">IFERROR(IF(OR($I23="",$M23="",$M23=0),"",($I23-$M23)/$I23),"")</f>
        <v/>
      </c>
      <c r="O23" s="13" t="n">
        <v>0</v>
      </c>
      <c r="P23" s="13" t="n">
        <v>0</v>
      </c>
      <c r="Q23" s="21" t="n">
        <f aca="false">IF($O23="","",$O23-IF($P23="",0,$P23))</f>
        <v>0</v>
      </c>
      <c r="R23" s="13" t="n">
        <v>2</v>
      </c>
      <c r="S23" s="21" t="str">
        <f aca="false">IF($O23="","",IF($Q23&lt;=$R23,"⚠ REORDER","OK"))</f>
        <v>⚠ REORDER</v>
      </c>
      <c r="T23" s="13"/>
      <c r="U23" s="13"/>
      <c r="V23" s="13" t="s">
        <v>378</v>
      </c>
      <c r="W23" s="12" t="s">
        <v>379</v>
      </c>
      <c r="X23" s="13"/>
      <c r="Y23" s="13"/>
      <c r="Z23" s="12" t="s">
        <v>88</v>
      </c>
      <c r="AA23" s="12" t="s">
        <v>88</v>
      </c>
      <c r="AB23" s="12" t="s">
        <v>88</v>
      </c>
      <c r="AC23" s="12" t="s">
        <v>88</v>
      </c>
      <c r="AD23" s="12" t="s">
        <v>87</v>
      </c>
      <c r="AE23" s="21" t="n">
        <f aca="false">IFERROR(SUMIFS(Transactions!$F:$F,Transactions!$C:$C,$A23,Transactions!$D:$D,"Sale"),0)</f>
        <v>0</v>
      </c>
      <c r="AF23" s="15" t="n">
        <f aca="false">IFERROR(SUMIFS(Transactions!$H:$H,Transactions!$C:$C,$A23,Transactions!$D:$D,"Sale"),0)</f>
        <v>0</v>
      </c>
      <c r="AG23" s="22" t="str">
        <f aca="false">IFERROR(IF(maxifs(Transactions!$B:$B,Transactions!$C:$C,$A23,Transactions!$D:$D,"Sale")=0,"",maxifs(Transactions!$B:$B,Transactions!$C:$C,$A23,Transactions!$D:$D,"Sale")),"")</f>
        <v/>
      </c>
      <c r="AH23" s="12"/>
    </row>
    <row r="24" customFormat="false" ht="18" hidden="false" customHeight="true" outlineLevel="0" collapsed="false">
      <c r="A24" s="12" t="s">
        <v>402</v>
      </c>
      <c r="B24" s="12" t="s">
        <v>101</v>
      </c>
      <c r="C24" s="12" t="s">
        <v>77</v>
      </c>
      <c r="D24" s="12" t="s">
        <v>78</v>
      </c>
      <c r="E24" s="12" t="s">
        <v>79</v>
      </c>
      <c r="F24" s="12" t="s">
        <v>102</v>
      </c>
      <c r="G24" s="12"/>
      <c r="H24" s="12" t="s">
        <v>377</v>
      </c>
      <c r="I24" s="14" t="n">
        <v>19000</v>
      </c>
      <c r="J24" s="18" t="n">
        <f aca="false">IF($I24="","",ROUND($I24*Dropdowns!$K$5,2))</f>
        <v>49.4</v>
      </c>
      <c r="K24" s="19" t="n">
        <f aca="false">IF($I24="","",ROUND($I24*Dropdowns!$K$6,2))</f>
        <v>45.6</v>
      </c>
      <c r="L24" s="20" t="n">
        <f aca="false">IF($I24="","",ROUND($I24*Dropdowns!$K$7,2))</f>
        <v>3895</v>
      </c>
      <c r="M24" s="15" t="str">
        <f aca="false">IFERROR(IF($B24="","",VLOOKUP($B24,Designs!$A$3:$AP$165,27,FALSE())),"")</f>
        <v/>
      </c>
      <c r="N24" s="16" t="str">
        <f aca="false">IFERROR(IF(OR($I24="",$M24="",$M24=0),"",($I24-$M24)/$I24),"")</f>
        <v/>
      </c>
      <c r="O24" s="13" t="n">
        <v>0</v>
      </c>
      <c r="P24" s="13" t="n">
        <v>0</v>
      </c>
      <c r="Q24" s="21" t="n">
        <f aca="false">IF($O24="","",$O24-IF($P24="",0,$P24))</f>
        <v>0</v>
      </c>
      <c r="R24" s="13" t="n">
        <v>2</v>
      </c>
      <c r="S24" s="21" t="str">
        <f aca="false">IF($O24="","",IF($Q24&lt;=$R24,"⚠ REORDER","OK"))</f>
        <v>⚠ REORDER</v>
      </c>
      <c r="T24" s="13"/>
      <c r="U24" s="13"/>
      <c r="V24" s="13" t="s">
        <v>378</v>
      </c>
      <c r="W24" s="12" t="s">
        <v>379</v>
      </c>
      <c r="X24" s="13"/>
      <c r="Y24" s="13"/>
      <c r="Z24" s="12" t="s">
        <v>88</v>
      </c>
      <c r="AA24" s="12" t="s">
        <v>88</v>
      </c>
      <c r="AB24" s="12" t="s">
        <v>88</v>
      </c>
      <c r="AC24" s="12" t="s">
        <v>88</v>
      </c>
      <c r="AD24" s="12" t="s">
        <v>87</v>
      </c>
      <c r="AE24" s="21" t="n">
        <f aca="false">IFERROR(SUMIFS(Transactions!$F:$F,Transactions!$C:$C,$A24,Transactions!$D:$D,"Sale"),0)</f>
        <v>0</v>
      </c>
      <c r="AF24" s="15" t="n">
        <f aca="false">IFERROR(SUMIFS(Transactions!$H:$H,Transactions!$C:$C,$A24,Transactions!$D:$D,"Sale"),0)</f>
        <v>0</v>
      </c>
      <c r="AG24" s="22" t="str">
        <f aca="false">IFERROR(IF(maxifs(Transactions!$B:$B,Transactions!$C:$C,$A24,Transactions!$D:$D,"Sale")=0,"",maxifs(Transactions!$B:$B,Transactions!$C:$C,$A24,Transactions!$D:$D,"Sale")),"")</f>
        <v/>
      </c>
      <c r="AH24" s="12"/>
    </row>
    <row r="25" customFormat="false" ht="18" hidden="false" customHeight="true" outlineLevel="0" collapsed="false">
      <c r="A25" s="12" t="s">
        <v>403</v>
      </c>
      <c r="B25" s="12" t="s">
        <v>101</v>
      </c>
      <c r="C25" s="12" t="s">
        <v>77</v>
      </c>
      <c r="D25" s="12" t="s">
        <v>78</v>
      </c>
      <c r="E25" s="12" t="s">
        <v>79</v>
      </c>
      <c r="F25" s="12" t="s">
        <v>102</v>
      </c>
      <c r="G25" s="12"/>
      <c r="H25" s="12" t="s">
        <v>381</v>
      </c>
      <c r="I25" s="14" t="n">
        <v>19000</v>
      </c>
      <c r="J25" s="18" t="n">
        <f aca="false">IF($I25="","",ROUND($I25*Dropdowns!$K$5,2))</f>
        <v>49.4</v>
      </c>
      <c r="K25" s="19" t="n">
        <f aca="false">IF($I25="","",ROUND($I25*Dropdowns!$K$6,2))</f>
        <v>45.6</v>
      </c>
      <c r="L25" s="20" t="n">
        <f aca="false">IF($I25="","",ROUND($I25*Dropdowns!$K$7,2))</f>
        <v>3895</v>
      </c>
      <c r="M25" s="15" t="str">
        <f aca="false">IFERROR(IF($B25="","",VLOOKUP($B25,Designs!$A$3:$AP$165,27,FALSE())),"")</f>
        <v/>
      </c>
      <c r="N25" s="16" t="str">
        <f aca="false">IFERROR(IF(OR($I25="",$M25="",$M25=0),"",($I25-$M25)/$I25),"")</f>
        <v/>
      </c>
      <c r="O25" s="13" t="n">
        <v>0</v>
      </c>
      <c r="P25" s="13" t="n">
        <v>0</v>
      </c>
      <c r="Q25" s="21" t="n">
        <f aca="false">IF($O25="","",$O25-IF($P25="",0,$P25))</f>
        <v>0</v>
      </c>
      <c r="R25" s="13" t="n">
        <v>2</v>
      </c>
      <c r="S25" s="21" t="str">
        <f aca="false">IF($O25="","",IF($Q25&lt;=$R25,"⚠ REORDER","OK"))</f>
        <v>⚠ REORDER</v>
      </c>
      <c r="T25" s="13"/>
      <c r="U25" s="13"/>
      <c r="V25" s="13" t="s">
        <v>378</v>
      </c>
      <c r="W25" s="12" t="s">
        <v>379</v>
      </c>
      <c r="X25" s="13"/>
      <c r="Y25" s="13"/>
      <c r="Z25" s="12" t="s">
        <v>88</v>
      </c>
      <c r="AA25" s="12" t="s">
        <v>88</v>
      </c>
      <c r="AB25" s="12" t="s">
        <v>88</v>
      </c>
      <c r="AC25" s="12" t="s">
        <v>88</v>
      </c>
      <c r="AD25" s="12" t="s">
        <v>87</v>
      </c>
      <c r="AE25" s="21" t="n">
        <f aca="false">IFERROR(SUMIFS(Transactions!$F:$F,Transactions!$C:$C,$A25,Transactions!$D:$D,"Sale"),0)</f>
        <v>0</v>
      </c>
      <c r="AF25" s="15" t="n">
        <f aca="false">IFERROR(SUMIFS(Transactions!$H:$H,Transactions!$C:$C,$A25,Transactions!$D:$D,"Sale"),0)</f>
        <v>0</v>
      </c>
      <c r="AG25" s="22" t="str">
        <f aca="false">IFERROR(IF(maxifs(Transactions!$B:$B,Transactions!$C:$C,$A25,Transactions!$D:$D,"Sale")=0,"",maxifs(Transactions!$B:$B,Transactions!$C:$C,$A25,Transactions!$D:$D,"Sale")),"")</f>
        <v/>
      </c>
      <c r="AH25" s="12"/>
    </row>
    <row r="26" customFormat="false" ht="18" hidden="false" customHeight="true" outlineLevel="0" collapsed="false">
      <c r="A26" s="12" t="s">
        <v>404</v>
      </c>
      <c r="B26" s="12" t="s">
        <v>101</v>
      </c>
      <c r="C26" s="12" t="s">
        <v>77</v>
      </c>
      <c r="D26" s="12" t="s">
        <v>78</v>
      </c>
      <c r="E26" s="12" t="s">
        <v>79</v>
      </c>
      <c r="F26" s="12" t="s">
        <v>102</v>
      </c>
      <c r="G26" s="12"/>
      <c r="H26" s="12" t="s">
        <v>383</v>
      </c>
      <c r="I26" s="14" t="n">
        <v>19000</v>
      </c>
      <c r="J26" s="18" t="n">
        <f aca="false">IF($I26="","",ROUND($I26*Dropdowns!$K$5,2))</f>
        <v>49.4</v>
      </c>
      <c r="K26" s="19" t="n">
        <f aca="false">IF($I26="","",ROUND($I26*Dropdowns!$K$6,2))</f>
        <v>45.6</v>
      </c>
      <c r="L26" s="20" t="n">
        <f aca="false">IF($I26="","",ROUND($I26*Dropdowns!$K$7,2))</f>
        <v>3895</v>
      </c>
      <c r="M26" s="15" t="str">
        <f aca="false">IFERROR(IF($B26="","",VLOOKUP($B26,Designs!$A$3:$AP$165,27,FALSE())),"")</f>
        <v/>
      </c>
      <c r="N26" s="16" t="str">
        <f aca="false">IFERROR(IF(OR($I26="",$M26="",$M26=0),"",($I26-$M26)/$I26),"")</f>
        <v/>
      </c>
      <c r="O26" s="13" t="n">
        <v>0</v>
      </c>
      <c r="P26" s="13" t="n">
        <v>0</v>
      </c>
      <c r="Q26" s="21" t="n">
        <f aca="false">IF($O26="","",$O26-IF($P26="",0,$P26))</f>
        <v>0</v>
      </c>
      <c r="R26" s="13" t="n">
        <v>2</v>
      </c>
      <c r="S26" s="21" t="str">
        <f aca="false">IF($O26="","",IF($Q26&lt;=$R26,"⚠ REORDER","OK"))</f>
        <v>⚠ REORDER</v>
      </c>
      <c r="T26" s="13"/>
      <c r="U26" s="13"/>
      <c r="V26" s="13" t="s">
        <v>378</v>
      </c>
      <c r="W26" s="12" t="s">
        <v>379</v>
      </c>
      <c r="X26" s="13"/>
      <c r="Y26" s="13"/>
      <c r="Z26" s="12" t="s">
        <v>88</v>
      </c>
      <c r="AA26" s="12" t="s">
        <v>88</v>
      </c>
      <c r="AB26" s="12" t="s">
        <v>88</v>
      </c>
      <c r="AC26" s="12" t="s">
        <v>88</v>
      </c>
      <c r="AD26" s="12" t="s">
        <v>87</v>
      </c>
      <c r="AE26" s="21" t="n">
        <f aca="false">IFERROR(SUMIFS(Transactions!$F:$F,Transactions!$C:$C,$A26,Transactions!$D:$D,"Sale"),0)</f>
        <v>0</v>
      </c>
      <c r="AF26" s="15" t="n">
        <f aca="false">IFERROR(SUMIFS(Transactions!$H:$H,Transactions!$C:$C,$A26,Transactions!$D:$D,"Sale"),0)</f>
        <v>0</v>
      </c>
      <c r="AG26" s="22" t="str">
        <f aca="false">IFERROR(IF(maxifs(Transactions!$B:$B,Transactions!$C:$C,$A26,Transactions!$D:$D,"Sale")=0,"",maxifs(Transactions!$B:$B,Transactions!$C:$C,$A26,Transactions!$D:$D,"Sale")),"")</f>
        <v/>
      </c>
      <c r="AH26" s="12"/>
    </row>
    <row r="27" customFormat="false" ht="18" hidden="false" customHeight="true" outlineLevel="0" collapsed="false">
      <c r="A27" s="12" t="s">
        <v>405</v>
      </c>
      <c r="B27" s="12" t="s">
        <v>103</v>
      </c>
      <c r="C27" s="12" t="s">
        <v>77</v>
      </c>
      <c r="D27" s="12" t="s">
        <v>78</v>
      </c>
      <c r="E27" s="12" t="s">
        <v>79</v>
      </c>
      <c r="F27" s="12" t="s">
        <v>104</v>
      </c>
      <c r="G27" s="12"/>
      <c r="H27" s="12" t="s">
        <v>377</v>
      </c>
      <c r="I27" s="14" t="n">
        <v>19000</v>
      </c>
      <c r="J27" s="18" t="n">
        <f aca="false">IF($I27="","",ROUND($I27*Dropdowns!$K$5,2))</f>
        <v>49.4</v>
      </c>
      <c r="K27" s="19" t="n">
        <f aca="false">IF($I27="","",ROUND($I27*Dropdowns!$K$6,2))</f>
        <v>45.6</v>
      </c>
      <c r="L27" s="20" t="n">
        <f aca="false">IF($I27="","",ROUND($I27*Dropdowns!$K$7,2))</f>
        <v>3895</v>
      </c>
      <c r="M27" s="15" t="str">
        <f aca="false">IFERROR(IF($B27="","",VLOOKUP($B27,Designs!$A$3:$AP$165,27,FALSE())),"")</f>
        <v/>
      </c>
      <c r="N27" s="16" t="str">
        <f aca="false">IFERROR(IF(OR($I27="",$M27="",$M27=0),"",($I27-$M27)/$I27),"")</f>
        <v/>
      </c>
      <c r="O27" s="13" t="n">
        <v>0</v>
      </c>
      <c r="P27" s="13" t="n">
        <v>0</v>
      </c>
      <c r="Q27" s="21" t="n">
        <f aca="false">IF($O27="","",$O27-IF($P27="",0,$P27))</f>
        <v>0</v>
      </c>
      <c r="R27" s="13" t="n">
        <v>2</v>
      </c>
      <c r="S27" s="21" t="str">
        <f aca="false">IF($O27="","",IF($Q27&lt;=$R27,"⚠ REORDER","OK"))</f>
        <v>⚠ REORDER</v>
      </c>
      <c r="T27" s="13"/>
      <c r="U27" s="13"/>
      <c r="V27" s="13" t="s">
        <v>378</v>
      </c>
      <c r="W27" s="12" t="s">
        <v>379</v>
      </c>
      <c r="X27" s="13"/>
      <c r="Y27" s="13"/>
      <c r="Z27" s="12" t="s">
        <v>88</v>
      </c>
      <c r="AA27" s="12" t="s">
        <v>88</v>
      </c>
      <c r="AB27" s="12" t="s">
        <v>88</v>
      </c>
      <c r="AC27" s="12" t="s">
        <v>88</v>
      </c>
      <c r="AD27" s="12" t="s">
        <v>87</v>
      </c>
      <c r="AE27" s="21" t="n">
        <f aca="false">IFERROR(SUMIFS(Transactions!$F:$F,Transactions!$C:$C,$A27,Transactions!$D:$D,"Sale"),0)</f>
        <v>0</v>
      </c>
      <c r="AF27" s="15" t="n">
        <f aca="false">IFERROR(SUMIFS(Transactions!$H:$H,Transactions!$C:$C,$A27,Transactions!$D:$D,"Sale"),0)</f>
        <v>0</v>
      </c>
      <c r="AG27" s="22" t="str">
        <f aca="false">IFERROR(IF(maxifs(Transactions!$B:$B,Transactions!$C:$C,$A27,Transactions!$D:$D,"Sale")=0,"",maxifs(Transactions!$B:$B,Transactions!$C:$C,$A27,Transactions!$D:$D,"Sale")),"")</f>
        <v/>
      </c>
      <c r="AH27" s="12"/>
    </row>
    <row r="28" customFormat="false" ht="18" hidden="false" customHeight="true" outlineLevel="0" collapsed="false">
      <c r="A28" s="12" t="s">
        <v>406</v>
      </c>
      <c r="B28" s="12" t="s">
        <v>103</v>
      </c>
      <c r="C28" s="12" t="s">
        <v>77</v>
      </c>
      <c r="D28" s="12" t="s">
        <v>78</v>
      </c>
      <c r="E28" s="12" t="s">
        <v>79</v>
      </c>
      <c r="F28" s="12" t="s">
        <v>104</v>
      </c>
      <c r="G28" s="12"/>
      <c r="H28" s="12" t="s">
        <v>381</v>
      </c>
      <c r="I28" s="14" t="n">
        <v>19000</v>
      </c>
      <c r="J28" s="18" t="n">
        <f aca="false">IF($I28="","",ROUND($I28*Dropdowns!$K$5,2))</f>
        <v>49.4</v>
      </c>
      <c r="K28" s="19" t="n">
        <f aca="false">IF($I28="","",ROUND($I28*Dropdowns!$K$6,2))</f>
        <v>45.6</v>
      </c>
      <c r="L28" s="20" t="n">
        <f aca="false">IF($I28="","",ROUND($I28*Dropdowns!$K$7,2))</f>
        <v>3895</v>
      </c>
      <c r="M28" s="15" t="str">
        <f aca="false">IFERROR(IF($B28="","",VLOOKUP($B28,Designs!$A$3:$AP$165,27,FALSE())),"")</f>
        <v/>
      </c>
      <c r="N28" s="16" t="str">
        <f aca="false">IFERROR(IF(OR($I28="",$M28="",$M28=0),"",($I28-$M28)/$I28),"")</f>
        <v/>
      </c>
      <c r="O28" s="13" t="n">
        <v>0</v>
      </c>
      <c r="P28" s="13" t="n">
        <v>0</v>
      </c>
      <c r="Q28" s="21" t="n">
        <f aca="false">IF($O28="","",$O28-IF($P28="",0,$P28))</f>
        <v>0</v>
      </c>
      <c r="R28" s="13" t="n">
        <v>2</v>
      </c>
      <c r="S28" s="21" t="str">
        <f aca="false">IF($O28="","",IF($Q28&lt;=$R28,"⚠ REORDER","OK"))</f>
        <v>⚠ REORDER</v>
      </c>
      <c r="T28" s="13"/>
      <c r="U28" s="13"/>
      <c r="V28" s="13" t="s">
        <v>378</v>
      </c>
      <c r="W28" s="12" t="s">
        <v>379</v>
      </c>
      <c r="X28" s="13"/>
      <c r="Y28" s="13"/>
      <c r="Z28" s="12" t="s">
        <v>88</v>
      </c>
      <c r="AA28" s="12" t="s">
        <v>88</v>
      </c>
      <c r="AB28" s="12" t="s">
        <v>88</v>
      </c>
      <c r="AC28" s="12" t="s">
        <v>88</v>
      </c>
      <c r="AD28" s="12" t="s">
        <v>87</v>
      </c>
      <c r="AE28" s="21" t="n">
        <f aca="false">IFERROR(SUMIFS(Transactions!$F:$F,Transactions!$C:$C,$A28,Transactions!$D:$D,"Sale"),0)</f>
        <v>0</v>
      </c>
      <c r="AF28" s="15" t="n">
        <f aca="false">IFERROR(SUMIFS(Transactions!$H:$H,Transactions!$C:$C,$A28,Transactions!$D:$D,"Sale"),0)</f>
        <v>0</v>
      </c>
      <c r="AG28" s="22" t="str">
        <f aca="false">IFERROR(IF(maxifs(Transactions!$B:$B,Transactions!$C:$C,$A28,Transactions!$D:$D,"Sale")=0,"",maxifs(Transactions!$B:$B,Transactions!$C:$C,$A28,Transactions!$D:$D,"Sale")),"")</f>
        <v/>
      </c>
      <c r="AH28" s="12"/>
    </row>
    <row r="29" customFormat="false" ht="18" hidden="false" customHeight="true" outlineLevel="0" collapsed="false">
      <c r="A29" s="12" t="s">
        <v>407</v>
      </c>
      <c r="B29" s="12" t="s">
        <v>103</v>
      </c>
      <c r="C29" s="12" t="s">
        <v>77</v>
      </c>
      <c r="D29" s="12" t="s">
        <v>78</v>
      </c>
      <c r="E29" s="12" t="s">
        <v>79</v>
      </c>
      <c r="F29" s="12" t="s">
        <v>104</v>
      </c>
      <c r="G29" s="12"/>
      <c r="H29" s="12" t="s">
        <v>383</v>
      </c>
      <c r="I29" s="14" t="n">
        <v>19000</v>
      </c>
      <c r="J29" s="18" t="n">
        <f aca="false">IF($I29="","",ROUND($I29*Dropdowns!$K$5,2))</f>
        <v>49.4</v>
      </c>
      <c r="K29" s="19" t="n">
        <f aca="false">IF($I29="","",ROUND($I29*Dropdowns!$K$6,2))</f>
        <v>45.6</v>
      </c>
      <c r="L29" s="20" t="n">
        <f aca="false">IF($I29="","",ROUND($I29*Dropdowns!$K$7,2))</f>
        <v>3895</v>
      </c>
      <c r="M29" s="15" t="str">
        <f aca="false">IFERROR(IF($B29="","",VLOOKUP($B29,Designs!$A$3:$AP$165,27,FALSE())),"")</f>
        <v/>
      </c>
      <c r="N29" s="16" t="str">
        <f aca="false">IFERROR(IF(OR($I29="",$M29="",$M29=0),"",($I29-$M29)/$I29),"")</f>
        <v/>
      </c>
      <c r="O29" s="13" t="n">
        <v>0</v>
      </c>
      <c r="P29" s="13" t="n">
        <v>0</v>
      </c>
      <c r="Q29" s="21" t="n">
        <f aca="false">IF($O29="","",$O29-IF($P29="",0,$P29))</f>
        <v>0</v>
      </c>
      <c r="R29" s="13" t="n">
        <v>2</v>
      </c>
      <c r="S29" s="21" t="str">
        <f aca="false">IF($O29="","",IF($Q29&lt;=$R29,"⚠ REORDER","OK"))</f>
        <v>⚠ REORDER</v>
      </c>
      <c r="T29" s="13"/>
      <c r="U29" s="13"/>
      <c r="V29" s="13" t="s">
        <v>378</v>
      </c>
      <c r="W29" s="12" t="s">
        <v>379</v>
      </c>
      <c r="X29" s="13"/>
      <c r="Y29" s="13"/>
      <c r="Z29" s="12" t="s">
        <v>88</v>
      </c>
      <c r="AA29" s="12" t="s">
        <v>88</v>
      </c>
      <c r="AB29" s="12" t="s">
        <v>88</v>
      </c>
      <c r="AC29" s="12" t="s">
        <v>88</v>
      </c>
      <c r="AD29" s="12" t="s">
        <v>87</v>
      </c>
      <c r="AE29" s="21" t="n">
        <f aca="false">IFERROR(SUMIFS(Transactions!$F:$F,Transactions!$C:$C,$A29,Transactions!$D:$D,"Sale"),0)</f>
        <v>0</v>
      </c>
      <c r="AF29" s="15" t="n">
        <f aca="false">IFERROR(SUMIFS(Transactions!$H:$H,Transactions!$C:$C,$A29,Transactions!$D:$D,"Sale"),0)</f>
        <v>0</v>
      </c>
      <c r="AG29" s="22" t="str">
        <f aca="false">IFERROR(IF(maxifs(Transactions!$B:$B,Transactions!$C:$C,$A29,Transactions!$D:$D,"Sale")=0,"",maxifs(Transactions!$B:$B,Transactions!$C:$C,$A29,Transactions!$D:$D,"Sale")),"")</f>
        <v/>
      </c>
      <c r="AH29" s="12"/>
    </row>
    <row r="30" customFormat="false" ht="18" hidden="false" customHeight="true" outlineLevel="0" collapsed="false">
      <c r="A30" s="12" t="s">
        <v>408</v>
      </c>
      <c r="B30" s="12" t="s">
        <v>105</v>
      </c>
      <c r="C30" s="12" t="s">
        <v>77</v>
      </c>
      <c r="D30" s="12" t="s">
        <v>78</v>
      </c>
      <c r="E30" s="12" t="s">
        <v>79</v>
      </c>
      <c r="F30" s="12" t="s">
        <v>106</v>
      </c>
      <c r="G30" s="12"/>
      <c r="H30" s="12" t="s">
        <v>377</v>
      </c>
      <c r="I30" s="14" t="n">
        <v>19000</v>
      </c>
      <c r="J30" s="18" t="n">
        <f aca="false">IF($I30="","",ROUND($I30*Dropdowns!$K$5,2))</f>
        <v>49.4</v>
      </c>
      <c r="K30" s="19" t="n">
        <f aca="false">IF($I30="","",ROUND($I30*Dropdowns!$K$6,2))</f>
        <v>45.6</v>
      </c>
      <c r="L30" s="20" t="n">
        <f aca="false">IF($I30="","",ROUND($I30*Dropdowns!$K$7,2))</f>
        <v>3895</v>
      </c>
      <c r="M30" s="15" t="str">
        <f aca="false">IFERROR(IF($B30="","",VLOOKUP($B30,Designs!$A$3:$AP$165,27,FALSE())),"")</f>
        <v/>
      </c>
      <c r="N30" s="16" t="str">
        <f aca="false">IFERROR(IF(OR($I30="",$M30="",$M30=0),"",($I30-$M30)/$I30),"")</f>
        <v/>
      </c>
      <c r="O30" s="13" t="n">
        <v>0</v>
      </c>
      <c r="P30" s="13" t="n">
        <v>0</v>
      </c>
      <c r="Q30" s="21" t="n">
        <f aca="false">IF($O30="","",$O30-IF($P30="",0,$P30))</f>
        <v>0</v>
      </c>
      <c r="R30" s="13" t="n">
        <v>2</v>
      </c>
      <c r="S30" s="21" t="str">
        <f aca="false">IF($O30="","",IF($Q30&lt;=$R30,"⚠ REORDER","OK"))</f>
        <v>⚠ REORDER</v>
      </c>
      <c r="T30" s="13"/>
      <c r="U30" s="13"/>
      <c r="V30" s="13" t="s">
        <v>378</v>
      </c>
      <c r="W30" s="12" t="s">
        <v>379</v>
      </c>
      <c r="X30" s="13"/>
      <c r="Y30" s="13"/>
      <c r="Z30" s="12" t="s">
        <v>88</v>
      </c>
      <c r="AA30" s="12" t="s">
        <v>88</v>
      </c>
      <c r="AB30" s="12" t="s">
        <v>88</v>
      </c>
      <c r="AC30" s="12" t="s">
        <v>88</v>
      </c>
      <c r="AD30" s="12" t="s">
        <v>87</v>
      </c>
      <c r="AE30" s="21" t="n">
        <f aca="false">IFERROR(SUMIFS(Transactions!$F:$F,Transactions!$C:$C,$A30,Transactions!$D:$D,"Sale"),0)</f>
        <v>0</v>
      </c>
      <c r="AF30" s="15" t="n">
        <f aca="false">IFERROR(SUMIFS(Transactions!$H:$H,Transactions!$C:$C,$A30,Transactions!$D:$D,"Sale"),0)</f>
        <v>0</v>
      </c>
      <c r="AG30" s="22" t="str">
        <f aca="false">IFERROR(IF(maxifs(Transactions!$B:$B,Transactions!$C:$C,$A30,Transactions!$D:$D,"Sale")=0,"",maxifs(Transactions!$B:$B,Transactions!$C:$C,$A30,Transactions!$D:$D,"Sale")),"")</f>
        <v/>
      </c>
      <c r="AH30" s="12"/>
    </row>
    <row r="31" customFormat="false" ht="18" hidden="false" customHeight="true" outlineLevel="0" collapsed="false">
      <c r="A31" s="12" t="s">
        <v>409</v>
      </c>
      <c r="B31" s="12" t="s">
        <v>105</v>
      </c>
      <c r="C31" s="12" t="s">
        <v>77</v>
      </c>
      <c r="D31" s="12" t="s">
        <v>78</v>
      </c>
      <c r="E31" s="12" t="s">
        <v>79</v>
      </c>
      <c r="F31" s="12" t="s">
        <v>106</v>
      </c>
      <c r="G31" s="12"/>
      <c r="H31" s="12" t="s">
        <v>381</v>
      </c>
      <c r="I31" s="14" t="n">
        <v>19000</v>
      </c>
      <c r="J31" s="18" t="n">
        <f aca="false">IF($I31="","",ROUND($I31*Dropdowns!$K$5,2))</f>
        <v>49.4</v>
      </c>
      <c r="K31" s="19" t="n">
        <f aca="false">IF($I31="","",ROUND($I31*Dropdowns!$K$6,2))</f>
        <v>45.6</v>
      </c>
      <c r="L31" s="20" t="n">
        <f aca="false">IF($I31="","",ROUND($I31*Dropdowns!$K$7,2))</f>
        <v>3895</v>
      </c>
      <c r="M31" s="15" t="str">
        <f aca="false">IFERROR(IF($B31="","",VLOOKUP($B31,Designs!$A$3:$AP$165,27,FALSE())),"")</f>
        <v/>
      </c>
      <c r="N31" s="16" t="str">
        <f aca="false">IFERROR(IF(OR($I31="",$M31="",$M31=0),"",($I31-$M31)/$I31),"")</f>
        <v/>
      </c>
      <c r="O31" s="13" t="n">
        <v>0</v>
      </c>
      <c r="P31" s="13" t="n">
        <v>0</v>
      </c>
      <c r="Q31" s="21" t="n">
        <f aca="false">IF($O31="","",$O31-IF($P31="",0,$P31))</f>
        <v>0</v>
      </c>
      <c r="R31" s="13" t="n">
        <v>2</v>
      </c>
      <c r="S31" s="21" t="str">
        <f aca="false">IF($O31="","",IF($Q31&lt;=$R31,"⚠ REORDER","OK"))</f>
        <v>⚠ REORDER</v>
      </c>
      <c r="T31" s="13"/>
      <c r="U31" s="13"/>
      <c r="V31" s="13" t="s">
        <v>378</v>
      </c>
      <c r="W31" s="12" t="s">
        <v>379</v>
      </c>
      <c r="X31" s="13"/>
      <c r="Y31" s="13"/>
      <c r="Z31" s="12" t="s">
        <v>88</v>
      </c>
      <c r="AA31" s="12" t="s">
        <v>88</v>
      </c>
      <c r="AB31" s="12" t="s">
        <v>88</v>
      </c>
      <c r="AC31" s="12" t="s">
        <v>88</v>
      </c>
      <c r="AD31" s="12" t="s">
        <v>87</v>
      </c>
      <c r="AE31" s="21" t="n">
        <f aca="false">IFERROR(SUMIFS(Transactions!$F:$F,Transactions!$C:$C,$A31,Transactions!$D:$D,"Sale"),0)</f>
        <v>0</v>
      </c>
      <c r="AF31" s="15" t="n">
        <f aca="false">IFERROR(SUMIFS(Transactions!$H:$H,Transactions!$C:$C,$A31,Transactions!$D:$D,"Sale"),0)</f>
        <v>0</v>
      </c>
      <c r="AG31" s="22" t="str">
        <f aca="false">IFERROR(IF(maxifs(Transactions!$B:$B,Transactions!$C:$C,$A31,Transactions!$D:$D,"Sale")=0,"",maxifs(Transactions!$B:$B,Transactions!$C:$C,$A31,Transactions!$D:$D,"Sale")),"")</f>
        <v/>
      </c>
      <c r="AH31" s="12"/>
    </row>
    <row r="32" customFormat="false" ht="18" hidden="false" customHeight="true" outlineLevel="0" collapsed="false">
      <c r="A32" s="12" t="s">
        <v>410</v>
      </c>
      <c r="B32" s="12" t="s">
        <v>105</v>
      </c>
      <c r="C32" s="12" t="s">
        <v>77</v>
      </c>
      <c r="D32" s="12" t="s">
        <v>78</v>
      </c>
      <c r="E32" s="12" t="s">
        <v>79</v>
      </c>
      <c r="F32" s="12" t="s">
        <v>106</v>
      </c>
      <c r="G32" s="12"/>
      <c r="H32" s="12" t="s">
        <v>383</v>
      </c>
      <c r="I32" s="14" t="n">
        <v>19000</v>
      </c>
      <c r="J32" s="18" t="n">
        <f aca="false">IF($I32="","",ROUND($I32*Dropdowns!$K$5,2))</f>
        <v>49.4</v>
      </c>
      <c r="K32" s="19" t="n">
        <f aca="false">IF($I32="","",ROUND($I32*Dropdowns!$K$6,2))</f>
        <v>45.6</v>
      </c>
      <c r="L32" s="20" t="n">
        <f aca="false">IF($I32="","",ROUND($I32*Dropdowns!$K$7,2))</f>
        <v>3895</v>
      </c>
      <c r="M32" s="15" t="str">
        <f aca="false">IFERROR(IF($B32="","",VLOOKUP($B32,Designs!$A$3:$AP$165,27,FALSE())),"")</f>
        <v/>
      </c>
      <c r="N32" s="16" t="str">
        <f aca="false">IFERROR(IF(OR($I32="",$M32="",$M32=0),"",($I32-$M32)/$I32),"")</f>
        <v/>
      </c>
      <c r="O32" s="13" t="n">
        <v>0</v>
      </c>
      <c r="P32" s="13" t="n">
        <v>0</v>
      </c>
      <c r="Q32" s="21" t="n">
        <f aca="false">IF($O32="","",$O32-IF($P32="",0,$P32))</f>
        <v>0</v>
      </c>
      <c r="R32" s="13" t="n">
        <v>2</v>
      </c>
      <c r="S32" s="21" t="str">
        <f aca="false">IF($O32="","",IF($Q32&lt;=$R32,"⚠ REORDER","OK"))</f>
        <v>⚠ REORDER</v>
      </c>
      <c r="T32" s="13"/>
      <c r="U32" s="13"/>
      <c r="V32" s="13" t="s">
        <v>378</v>
      </c>
      <c r="W32" s="12" t="s">
        <v>379</v>
      </c>
      <c r="X32" s="13"/>
      <c r="Y32" s="13"/>
      <c r="Z32" s="12" t="s">
        <v>88</v>
      </c>
      <c r="AA32" s="12" t="s">
        <v>88</v>
      </c>
      <c r="AB32" s="12" t="s">
        <v>88</v>
      </c>
      <c r="AC32" s="12" t="s">
        <v>88</v>
      </c>
      <c r="AD32" s="12" t="s">
        <v>87</v>
      </c>
      <c r="AE32" s="21" t="n">
        <f aca="false">IFERROR(SUMIFS(Transactions!$F:$F,Transactions!$C:$C,$A32,Transactions!$D:$D,"Sale"),0)</f>
        <v>0</v>
      </c>
      <c r="AF32" s="15" t="n">
        <f aca="false">IFERROR(SUMIFS(Transactions!$H:$H,Transactions!$C:$C,$A32,Transactions!$D:$D,"Sale"),0)</f>
        <v>0</v>
      </c>
      <c r="AG32" s="22" t="str">
        <f aca="false">IFERROR(IF(maxifs(Transactions!$B:$B,Transactions!$C:$C,$A32,Transactions!$D:$D,"Sale")=0,"",maxifs(Transactions!$B:$B,Transactions!$C:$C,$A32,Transactions!$D:$D,"Sale")),"")</f>
        <v/>
      </c>
      <c r="AH32" s="12"/>
    </row>
    <row r="33" customFormat="false" ht="18" hidden="false" customHeight="true" outlineLevel="0" collapsed="false">
      <c r="A33" s="12" t="s">
        <v>411</v>
      </c>
      <c r="B33" s="12" t="s">
        <v>107</v>
      </c>
      <c r="C33" s="12" t="s">
        <v>77</v>
      </c>
      <c r="D33" s="12" t="s">
        <v>78</v>
      </c>
      <c r="E33" s="12" t="s">
        <v>79</v>
      </c>
      <c r="F33" s="12" t="s">
        <v>108</v>
      </c>
      <c r="G33" s="12"/>
      <c r="H33" s="12" t="s">
        <v>377</v>
      </c>
      <c r="I33" s="14" t="n">
        <v>19000</v>
      </c>
      <c r="J33" s="18" t="n">
        <f aca="false">IF($I33="","",ROUND($I33*Dropdowns!$K$5,2))</f>
        <v>49.4</v>
      </c>
      <c r="K33" s="19" t="n">
        <f aca="false">IF($I33="","",ROUND($I33*Dropdowns!$K$6,2))</f>
        <v>45.6</v>
      </c>
      <c r="L33" s="20" t="n">
        <f aca="false">IF($I33="","",ROUND($I33*Dropdowns!$K$7,2))</f>
        <v>3895</v>
      </c>
      <c r="M33" s="15" t="str">
        <f aca="false">IFERROR(IF($B33="","",VLOOKUP($B33,Designs!$A$3:$AP$165,27,FALSE())),"")</f>
        <v/>
      </c>
      <c r="N33" s="16" t="str">
        <f aca="false">IFERROR(IF(OR($I33="",$M33="",$M33=0),"",($I33-$M33)/$I33),"")</f>
        <v/>
      </c>
      <c r="O33" s="13" t="n">
        <v>0</v>
      </c>
      <c r="P33" s="13" t="n">
        <v>0</v>
      </c>
      <c r="Q33" s="21" t="n">
        <f aca="false">IF($O33="","",$O33-IF($P33="",0,$P33))</f>
        <v>0</v>
      </c>
      <c r="R33" s="13" t="n">
        <v>2</v>
      </c>
      <c r="S33" s="21" t="str">
        <f aca="false">IF($O33="","",IF($Q33&lt;=$R33,"⚠ REORDER","OK"))</f>
        <v>⚠ REORDER</v>
      </c>
      <c r="T33" s="13"/>
      <c r="U33" s="13"/>
      <c r="V33" s="13" t="s">
        <v>378</v>
      </c>
      <c r="W33" s="12" t="s">
        <v>379</v>
      </c>
      <c r="X33" s="13"/>
      <c r="Y33" s="13"/>
      <c r="Z33" s="12" t="s">
        <v>88</v>
      </c>
      <c r="AA33" s="12" t="s">
        <v>88</v>
      </c>
      <c r="AB33" s="12" t="s">
        <v>88</v>
      </c>
      <c r="AC33" s="12" t="s">
        <v>88</v>
      </c>
      <c r="AD33" s="12" t="s">
        <v>87</v>
      </c>
      <c r="AE33" s="21" t="n">
        <f aca="false">IFERROR(SUMIFS(Transactions!$F:$F,Transactions!$C:$C,$A33,Transactions!$D:$D,"Sale"),0)</f>
        <v>0</v>
      </c>
      <c r="AF33" s="15" t="n">
        <f aca="false">IFERROR(SUMIFS(Transactions!$H:$H,Transactions!$C:$C,$A33,Transactions!$D:$D,"Sale"),0)</f>
        <v>0</v>
      </c>
      <c r="AG33" s="22" t="str">
        <f aca="false">IFERROR(IF(maxifs(Transactions!$B:$B,Transactions!$C:$C,$A33,Transactions!$D:$D,"Sale")=0,"",maxifs(Transactions!$B:$B,Transactions!$C:$C,$A33,Transactions!$D:$D,"Sale")),"")</f>
        <v/>
      </c>
      <c r="AH33" s="12"/>
    </row>
    <row r="34" customFormat="false" ht="18" hidden="false" customHeight="true" outlineLevel="0" collapsed="false">
      <c r="A34" s="12" t="s">
        <v>412</v>
      </c>
      <c r="B34" s="12" t="s">
        <v>107</v>
      </c>
      <c r="C34" s="12" t="s">
        <v>77</v>
      </c>
      <c r="D34" s="12" t="s">
        <v>78</v>
      </c>
      <c r="E34" s="12" t="s">
        <v>79</v>
      </c>
      <c r="F34" s="12" t="s">
        <v>108</v>
      </c>
      <c r="G34" s="12"/>
      <c r="H34" s="12" t="s">
        <v>381</v>
      </c>
      <c r="I34" s="14" t="n">
        <v>19000</v>
      </c>
      <c r="J34" s="18" t="n">
        <f aca="false">IF($I34="","",ROUND($I34*Dropdowns!$K$5,2))</f>
        <v>49.4</v>
      </c>
      <c r="K34" s="19" t="n">
        <f aca="false">IF($I34="","",ROUND($I34*Dropdowns!$K$6,2))</f>
        <v>45.6</v>
      </c>
      <c r="L34" s="20" t="n">
        <f aca="false">IF($I34="","",ROUND($I34*Dropdowns!$K$7,2))</f>
        <v>3895</v>
      </c>
      <c r="M34" s="15" t="str">
        <f aca="false">IFERROR(IF($B34="","",VLOOKUP($B34,Designs!$A$3:$AP$165,27,FALSE())),"")</f>
        <v/>
      </c>
      <c r="N34" s="16" t="str">
        <f aca="false">IFERROR(IF(OR($I34="",$M34="",$M34=0),"",($I34-$M34)/$I34),"")</f>
        <v/>
      </c>
      <c r="O34" s="13" t="n">
        <v>0</v>
      </c>
      <c r="P34" s="13" t="n">
        <v>0</v>
      </c>
      <c r="Q34" s="21" t="n">
        <f aca="false">IF($O34="","",$O34-IF($P34="",0,$P34))</f>
        <v>0</v>
      </c>
      <c r="R34" s="13" t="n">
        <v>2</v>
      </c>
      <c r="S34" s="21" t="str">
        <f aca="false">IF($O34="","",IF($Q34&lt;=$R34,"⚠ REORDER","OK"))</f>
        <v>⚠ REORDER</v>
      </c>
      <c r="T34" s="13"/>
      <c r="U34" s="13"/>
      <c r="V34" s="13" t="s">
        <v>378</v>
      </c>
      <c r="W34" s="12" t="s">
        <v>379</v>
      </c>
      <c r="X34" s="13"/>
      <c r="Y34" s="13"/>
      <c r="Z34" s="12" t="s">
        <v>88</v>
      </c>
      <c r="AA34" s="12" t="s">
        <v>88</v>
      </c>
      <c r="AB34" s="12" t="s">
        <v>88</v>
      </c>
      <c r="AC34" s="12" t="s">
        <v>88</v>
      </c>
      <c r="AD34" s="12" t="s">
        <v>87</v>
      </c>
      <c r="AE34" s="21" t="n">
        <f aca="false">IFERROR(SUMIFS(Transactions!$F:$F,Transactions!$C:$C,$A34,Transactions!$D:$D,"Sale"),0)</f>
        <v>0</v>
      </c>
      <c r="AF34" s="15" t="n">
        <f aca="false">IFERROR(SUMIFS(Transactions!$H:$H,Transactions!$C:$C,$A34,Transactions!$D:$D,"Sale"),0)</f>
        <v>0</v>
      </c>
      <c r="AG34" s="22" t="str">
        <f aca="false">IFERROR(IF(maxifs(Transactions!$B:$B,Transactions!$C:$C,$A34,Transactions!$D:$D,"Sale")=0,"",maxifs(Transactions!$B:$B,Transactions!$C:$C,$A34,Transactions!$D:$D,"Sale")),"")</f>
        <v/>
      </c>
      <c r="AH34" s="12"/>
    </row>
    <row r="35" customFormat="false" ht="18" hidden="false" customHeight="true" outlineLevel="0" collapsed="false">
      <c r="A35" s="12" t="s">
        <v>413</v>
      </c>
      <c r="B35" s="12" t="s">
        <v>107</v>
      </c>
      <c r="C35" s="12" t="s">
        <v>77</v>
      </c>
      <c r="D35" s="12" t="s">
        <v>78</v>
      </c>
      <c r="E35" s="12" t="s">
        <v>79</v>
      </c>
      <c r="F35" s="12" t="s">
        <v>108</v>
      </c>
      <c r="G35" s="12"/>
      <c r="H35" s="12" t="s">
        <v>383</v>
      </c>
      <c r="I35" s="14" t="n">
        <v>19000</v>
      </c>
      <c r="J35" s="18" t="n">
        <f aca="false">IF($I35="","",ROUND($I35*Dropdowns!$K$5,2))</f>
        <v>49.4</v>
      </c>
      <c r="K35" s="19" t="n">
        <f aca="false">IF($I35="","",ROUND($I35*Dropdowns!$K$6,2))</f>
        <v>45.6</v>
      </c>
      <c r="L35" s="20" t="n">
        <f aca="false">IF($I35="","",ROUND($I35*Dropdowns!$K$7,2))</f>
        <v>3895</v>
      </c>
      <c r="M35" s="15" t="str">
        <f aca="false">IFERROR(IF($B35="","",VLOOKUP($B35,Designs!$A$3:$AP$165,27,FALSE())),"")</f>
        <v/>
      </c>
      <c r="N35" s="16" t="str">
        <f aca="false">IFERROR(IF(OR($I35="",$M35="",$M35=0),"",($I35-$M35)/$I35),"")</f>
        <v/>
      </c>
      <c r="O35" s="13" t="n">
        <v>0</v>
      </c>
      <c r="P35" s="13" t="n">
        <v>0</v>
      </c>
      <c r="Q35" s="21" t="n">
        <f aca="false">IF($O35="","",$O35-IF($P35="",0,$P35))</f>
        <v>0</v>
      </c>
      <c r="R35" s="13" t="n">
        <v>2</v>
      </c>
      <c r="S35" s="21" t="str">
        <f aca="false">IF($O35="","",IF($Q35&lt;=$R35,"⚠ REORDER","OK"))</f>
        <v>⚠ REORDER</v>
      </c>
      <c r="T35" s="13"/>
      <c r="U35" s="13"/>
      <c r="V35" s="13" t="s">
        <v>378</v>
      </c>
      <c r="W35" s="12" t="s">
        <v>379</v>
      </c>
      <c r="X35" s="13"/>
      <c r="Y35" s="13"/>
      <c r="Z35" s="12" t="s">
        <v>88</v>
      </c>
      <c r="AA35" s="12" t="s">
        <v>88</v>
      </c>
      <c r="AB35" s="12" t="s">
        <v>88</v>
      </c>
      <c r="AC35" s="12" t="s">
        <v>88</v>
      </c>
      <c r="AD35" s="12" t="s">
        <v>87</v>
      </c>
      <c r="AE35" s="21" t="n">
        <f aca="false">IFERROR(SUMIFS(Transactions!$F:$F,Transactions!$C:$C,$A35,Transactions!$D:$D,"Sale"),0)</f>
        <v>0</v>
      </c>
      <c r="AF35" s="15" t="n">
        <f aca="false">IFERROR(SUMIFS(Transactions!$H:$H,Transactions!$C:$C,$A35,Transactions!$D:$D,"Sale"),0)</f>
        <v>0</v>
      </c>
      <c r="AG35" s="22" t="str">
        <f aca="false">IFERROR(IF(maxifs(Transactions!$B:$B,Transactions!$C:$C,$A35,Transactions!$D:$D,"Sale")=0,"",maxifs(Transactions!$B:$B,Transactions!$C:$C,$A35,Transactions!$D:$D,"Sale")),"")</f>
        <v/>
      </c>
      <c r="AH35" s="12"/>
    </row>
    <row r="36" customFormat="false" ht="18" hidden="false" customHeight="true" outlineLevel="0" collapsed="false">
      <c r="A36" s="12" t="s">
        <v>414</v>
      </c>
      <c r="B36" s="12" t="s">
        <v>109</v>
      </c>
      <c r="C36" s="12" t="s">
        <v>77</v>
      </c>
      <c r="D36" s="12" t="s">
        <v>78</v>
      </c>
      <c r="E36" s="12" t="s">
        <v>79</v>
      </c>
      <c r="F36" s="12" t="s">
        <v>110</v>
      </c>
      <c r="G36" s="12"/>
      <c r="H36" s="12" t="s">
        <v>377</v>
      </c>
      <c r="I36" s="14" t="n">
        <v>19000</v>
      </c>
      <c r="J36" s="18" t="n">
        <f aca="false">IF($I36="","",ROUND($I36*Dropdowns!$K$5,2))</f>
        <v>49.4</v>
      </c>
      <c r="K36" s="19" t="n">
        <f aca="false">IF($I36="","",ROUND($I36*Dropdowns!$K$6,2))</f>
        <v>45.6</v>
      </c>
      <c r="L36" s="20" t="n">
        <f aca="false">IF($I36="","",ROUND($I36*Dropdowns!$K$7,2))</f>
        <v>3895</v>
      </c>
      <c r="M36" s="15" t="str">
        <f aca="false">IFERROR(IF($B36="","",VLOOKUP($B36,Designs!$A$3:$AP$165,27,FALSE())),"")</f>
        <v/>
      </c>
      <c r="N36" s="16" t="str">
        <f aca="false">IFERROR(IF(OR($I36="",$M36="",$M36=0),"",($I36-$M36)/$I36),"")</f>
        <v/>
      </c>
      <c r="O36" s="13" t="n">
        <v>0</v>
      </c>
      <c r="P36" s="13" t="n">
        <v>0</v>
      </c>
      <c r="Q36" s="21" t="n">
        <f aca="false">IF($O36="","",$O36-IF($P36="",0,$P36))</f>
        <v>0</v>
      </c>
      <c r="R36" s="13" t="n">
        <v>2</v>
      </c>
      <c r="S36" s="21" t="str">
        <f aca="false">IF($O36="","",IF($Q36&lt;=$R36,"⚠ REORDER","OK"))</f>
        <v>⚠ REORDER</v>
      </c>
      <c r="T36" s="13"/>
      <c r="U36" s="13"/>
      <c r="V36" s="13" t="s">
        <v>378</v>
      </c>
      <c r="W36" s="12" t="s">
        <v>379</v>
      </c>
      <c r="X36" s="13"/>
      <c r="Y36" s="13"/>
      <c r="Z36" s="12" t="s">
        <v>88</v>
      </c>
      <c r="AA36" s="12" t="s">
        <v>88</v>
      </c>
      <c r="AB36" s="12" t="s">
        <v>88</v>
      </c>
      <c r="AC36" s="12" t="s">
        <v>88</v>
      </c>
      <c r="AD36" s="12" t="s">
        <v>87</v>
      </c>
      <c r="AE36" s="21" t="n">
        <f aca="false">IFERROR(SUMIFS(Transactions!$F:$F,Transactions!$C:$C,$A36,Transactions!$D:$D,"Sale"),0)</f>
        <v>0</v>
      </c>
      <c r="AF36" s="15" t="n">
        <f aca="false">IFERROR(SUMIFS(Transactions!$H:$H,Transactions!$C:$C,$A36,Transactions!$D:$D,"Sale"),0)</f>
        <v>0</v>
      </c>
      <c r="AG36" s="22" t="str">
        <f aca="false">IFERROR(IF(maxifs(Transactions!$B:$B,Transactions!$C:$C,$A36,Transactions!$D:$D,"Sale")=0,"",maxifs(Transactions!$B:$B,Transactions!$C:$C,$A36,Transactions!$D:$D,"Sale")),"")</f>
        <v/>
      </c>
      <c r="AH36" s="12"/>
    </row>
    <row r="37" customFormat="false" ht="18" hidden="false" customHeight="true" outlineLevel="0" collapsed="false">
      <c r="A37" s="12" t="s">
        <v>415</v>
      </c>
      <c r="B37" s="12" t="s">
        <v>109</v>
      </c>
      <c r="C37" s="12" t="s">
        <v>77</v>
      </c>
      <c r="D37" s="12" t="s">
        <v>78</v>
      </c>
      <c r="E37" s="12" t="s">
        <v>79</v>
      </c>
      <c r="F37" s="12" t="s">
        <v>110</v>
      </c>
      <c r="G37" s="12"/>
      <c r="H37" s="12" t="s">
        <v>381</v>
      </c>
      <c r="I37" s="14" t="n">
        <v>19000</v>
      </c>
      <c r="J37" s="18" t="n">
        <f aca="false">IF($I37="","",ROUND($I37*Dropdowns!$K$5,2))</f>
        <v>49.4</v>
      </c>
      <c r="K37" s="19" t="n">
        <f aca="false">IF($I37="","",ROUND($I37*Dropdowns!$K$6,2))</f>
        <v>45.6</v>
      </c>
      <c r="L37" s="20" t="n">
        <f aca="false">IF($I37="","",ROUND($I37*Dropdowns!$K$7,2))</f>
        <v>3895</v>
      </c>
      <c r="M37" s="15" t="str">
        <f aca="false">IFERROR(IF($B37="","",VLOOKUP($B37,Designs!$A$3:$AP$165,27,FALSE())),"")</f>
        <v/>
      </c>
      <c r="N37" s="16" t="str">
        <f aca="false">IFERROR(IF(OR($I37="",$M37="",$M37=0),"",($I37-$M37)/$I37),"")</f>
        <v/>
      </c>
      <c r="O37" s="13" t="n">
        <v>0</v>
      </c>
      <c r="P37" s="13" t="n">
        <v>0</v>
      </c>
      <c r="Q37" s="21" t="n">
        <f aca="false">IF($O37="","",$O37-IF($P37="",0,$P37))</f>
        <v>0</v>
      </c>
      <c r="R37" s="13" t="n">
        <v>2</v>
      </c>
      <c r="S37" s="21" t="str">
        <f aca="false">IF($O37="","",IF($Q37&lt;=$R37,"⚠ REORDER","OK"))</f>
        <v>⚠ REORDER</v>
      </c>
      <c r="T37" s="13"/>
      <c r="U37" s="13"/>
      <c r="V37" s="13" t="s">
        <v>378</v>
      </c>
      <c r="W37" s="12" t="s">
        <v>379</v>
      </c>
      <c r="X37" s="13"/>
      <c r="Y37" s="13"/>
      <c r="Z37" s="12" t="s">
        <v>88</v>
      </c>
      <c r="AA37" s="12" t="s">
        <v>88</v>
      </c>
      <c r="AB37" s="12" t="s">
        <v>88</v>
      </c>
      <c r="AC37" s="12" t="s">
        <v>88</v>
      </c>
      <c r="AD37" s="12" t="s">
        <v>87</v>
      </c>
      <c r="AE37" s="21" t="n">
        <f aca="false">IFERROR(SUMIFS(Transactions!$F:$F,Transactions!$C:$C,$A37,Transactions!$D:$D,"Sale"),0)</f>
        <v>0</v>
      </c>
      <c r="AF37" s="15" t="n">
        <f aca="false">IFERROR(SUMIFS(Transactions!$H:$H,Transactions!$C:$C,$A37,Transactions!$D:$D,"Sale"),0)</f>
        <v>0</v>
      </c>
      <c r="AG37" s="22" t="str">
        <f aca="false">IFERROR(IF(maxifs(Transactions!$B:$B,Transactions!$C:$C,$A37,Transactions!$D:$D,"Sale")=0,"",maxifs(Transactions!$B:$B,Transactions!$C:$C,$A37,Transactions!$D:$D,"Sale")),"")</f>
        <v/>
      </c>
      <c r="AH37" s="12"/>
    </row>
    <row r="38" customFormat="false" ht="18" hidden="false" customHeight="true" outlineLevel="0" collapsed="false">
      <c r="A38" s="12" t="s">
        <v>416</v>
      </c>
      <c r="B38" s="12" t="s">
        <v>109</v>
      </c>
      <c r="C38" s="12" t="s">
        <v>77</v>
      </c>
      <c r="D38" s="12" t="s">
        <v>78</v>
      </c>
      <c r="E38" s="12" t="s">
        <v>79</v>
      </c>
      <c r="F38" s="12" t="s">
        <v>110</v>
      </c>
      <c r="G38" s="12"/>
      <c r="H38" s="12" t="s">
        <v>383</v>
      </c>
      <c r="I38" s="14" t="n">
        <v>19000</v>
      </c>
      <c r="J38" s="18" t="n">
        <f aca="false">IF($I38="","",ROUND($I38*Dropdowns!$K$5,2))</f>
        <v>49.4</v>
      </c>
      <c r="K38" s="19" t="n">
        <f aca="false">IF($I38="","",ROUND($I38*Dropdowns!$K$6,2))</f>
        <v>45.6</v>
      </c>
      <c r="L38" s="20" t="n">
        <f aca="false">IF($I38="","",ROUND($I38*Dropdowns!$K$7,2))</f>
        <v>3895</v>
      </c>
      <c r="M38" s="15" t="str">
        <f aca="false">IFERROR(IF($B38="","",VLOOKUP($B38,Designs!$A$3:$AP$165,27,FALSE())),"")</f>
        <v/>
      </c>
      <c r="N38" s="16" t="str">
        <f aca="false">IFERROR(IF(OR($I38="",$M38="",$M38=0),"",($I38-$M38)/$I38),"")</f>
        <v/>
      </c>
      <c r="O38" s="13" t="n">
        <v>0</v>
      </c>
      <c r="P38" s="13" t="n">
        <v>0</v>
      </c>
      <c r="Q38" s="21" t="n">
        <f aca="false">IF($O38="","",$O38-IF($P38="",0,$P38))</f>
        <v>0</v>
      </c>
      <c r="R38" s="13" t="n">
        <v>2</v>
      </c>
      <c r="S38" s="21" t="str">
        <f aca="false">IF($O38="","",IF($Q38&lt;=$R38,"⚠ REORDER","OK"))</f>
        <v>⚠ REORDER</v>
      </c>
      <c r="T38" s="13"/>
      <c r="U38" s="13"/>
      <c r="V38" s="13" t="s">
        <v>378</v>
      </c>
      <c r="W38" s="12" t="s">
        <v>379</v>
      </c>
      <c r="X38" s="13"/>
      <c r="Y38" s="13"/>
      <c r="Z38" s="12" t="s">
        <v>88</v>
      </c>
      <c r="AA38" s="12" t="s">
        <v>88</v>
      </c>
      <c r="AB38" s="12" t="s">
        <v>88</v>
      </c>
      <c r="AC38" s="12" t="s">
        <v>88</v>
      </c>
      <c r="AD38" s="12" t="s">
        <v>87</v>
      </c>
      <c r="AE38" s="21" t="n">
        <f aca="false">IFERROR(SUMIFS(Transactions!$F:$F,Transactions!$C:$C,$A38,Transactions!$D:$D,"Sale"),0)</f>
        <v>0</v>
      </c>
      <c r="AF38" s="15" t="n">
        <f aca="false">IFERROR(SUMIFS(Transactions!$H:$H,Transactions!$C:$C,$A38,Transactions!$D:$D,"Sale"),0)</f>
        <v>0</v>
      </c>
      <c r="AG38" s="22" t="str">
        <f aca="false">IFERROR(IF(maxifs(Transactions!$B:$B,Transactions!$C:$C,$A38,Transactions!$D:$D,"Sale")=0,"",maxifs(Transactions!$B:$B,Transactions!$C:$C,$A38,Transactions!$D:$D,"Sale")),"")</f>
        <v/>
      </c>
      <c r="AH38" s="12"/>
    </row>
    <row r="39" customFormat="false" ht="18" hidden="false" customHeight="true" outlineLevel="0" collapsed="false">
      <c r="A39" s="12" t="s">
        <v>417</v>
      </c>
      <c r="B39" s="12" t="s">
        <v>111</v>
      </c>
      <c r="C39" s="12" t="s">
        <v>77</v>
      </c>
      <c r="D39" s="12" t="s">
        <v>78</v>
      </c>
      <c r="E39" s="12" t="s">
        <v>79</v>
      </c>
      <c r="F39" s="12" t="s">
        <v>112</v>
      </c>
      <c r="G39" s="12"/>
      <c r="H39" s="12" t="s">
        <v>377</v>
      </c>
      <c r="I39" s="14" t="n">
        <v>19000</v>
      </c>
      <c r="J39" s="18" t="n">
        <f aca="false">IF($I39="","",ROUND($I39*Dropdowns!$K$5,2))</f>
        <v>49.4</v>
      </c>
      <c r="K39" s="19" t="n">
        <f aca="false">IF($I39="","",ROUND($I39*Dropdowns!$K$6,2))</f>
        <v>45.6</v>
      </c>
      <c r="L39" s="20" t="n">
        <f aca="false">IF($I39="","",ROUND($I39*Dropdowns!$K$7,2))</f>
        <v>3895</v>
      </c>
      <c r="M39" s="15" t="str">
        <f aca="false">IFERROR(IF($B39="","",VLOOKUP($B39,Designs!$A$3:$AP$165,27,FALSE())),"")</f>
        <v/>
      </c>
      <c r="N39" s="16" t="str">
        <f aca="false">IFERROR(IF(OR($I39="",$M39="",$M39=0),"",($I39-$M39)/$I39),"")</f>
        <v/>
      </c>
      <c r="O39" s="13" t="n">
        <v>0</v>
      </c>
      <c r="P39" s="13" t="n">
        <v>0</v>
      </c>
      <c r="Q39" s="21" t="n">
        <f aca="false">IF($O39="","",$O39-IF($P39="",0,$P39))</f>
        <v>0</v>
      </c>
      <c r="R39" s="13" t="n">
        <v>2</v>
      </c>
      <c r="S39" s="21" t="str">
        <f aca="false">IF($O39="","",IF($Q39&lt;=$R39,"⚠ REORDER","OK"))</f>
        <v>⚠ REORDER</v>
      </c>
      <c r="T39" s="13"/>
      <c r="U39" s="13"/>
      <c r="V39" s="13" t="s">
        <v>378</v>
      </c>
      <c r="W39" s="12" t="s">
        <v>379</v>
      </c>
      <c r="X39" s="13"/>
      <c r="Y39" s="13"/>
      <c r="Z39" s="12" t="s">
        <v>88</v>
      </c>
      <c r="AA39" s="12" t="s">
        <v>88</v>
      </c>
      <c r="AB39" s="12" t="s">
        <v>88</v>
      </c>
      <c r="AC39" s="12" t="s">
        <v>88</v>
      </c>
      <c r="AD39" s="12" t="s">
        <v>87</v>
      </c>
      <c r="AE39" s="21" t="n">
        <f aca="false">IFERROR(SUMIFS(Transactions!$F:$F,Transactions!$C:$C,$A39,Transactions!$D:$D,"Sale"),0)</f>
        <v>0</v>
      </c>
      <c r="AF39" s="15" t="n">
        <f aca="false">IFERROR(SUMIFS(Transactions!$H:$H,Transactions!$C:$C,$A39,Transactions!$D:$D,"Sale"),0)</f>
        <v>0</v>
      </c>
      <c r="AG39" s="22" t="str">
        <f aca="false">IFERROR(IF(maxifs(Transactions!$B:$B,Transactions!$C:$C,$A39,Transactions!$D:$D,"Sale")=0,"",maxifs(Transactions!$B:$B,Transactions!$C:$C,$A39,Transactions!$D:$D,"Sale")),"")</f>
        <v/>
      </c>
      <c r="AH39" s="12"/>
    </row>
    <row r="40" customFormat="false" ht="18" hidden="false" customHeight="true" outlineLevel="0" collapsed="false">
      <c r="A40" s="12" t="s">
        <v>418</v>
      </c>
      <c r="B40" s="12" t="s">
        <v>111</v>
      </c>
      <c r="C40" s="12" t="s">
        <v>77</v>
      </c>
      <c r="D40" s="12" t="s">
        <v>78</v>
      </c>
      <c r="E40" s="12" t="s">
        <v>79</v>
      </c>
      <c r="F40" s="12" t="s">
        <v>112</v>
      </c>
      <c r="G40" s="12"/>
      <c r="H40" s="12" t="s">
        <v>381</v>
      </c>
      <c r="I40" s="14" t="n">
        <v>19000</v>
      </c>
      <c r="J40" s="18" t="n">
        <f aca="false">IF($I40="","",ROUND($I40*Dropdowns!$K$5,2))</f>
        <v>49.4</v>
      </c>
      <c r="K40" s="19" t="n">
        <f aca="false">IF($I40="","",ROUND($I40*Dropdowns!$K$6,2))</f>
        <v>45.6</v>
      </c>
      <c r="L40" s="20" t="n">
        <f aca="false">IF($I40="","",ROUND($I40*Dropdowns!$K$7,2))</f>
        <v>3895</v>
      </c>
      <c r="M40" s="15" t="str">
        <f aca="false">IFERROR(IF($B40="","",VLOOKUP($B40,Designs!$A$3:$AP$165,27,FALSE())),"")</f>
        <v/>
      </c>
      <c r="N40" s="16" t="str">
        <f aca="false">IFERROR(IF(OR($I40="",$M40="",$M40=0),"",($I40-$M40)/$I40),"")</f>
        <v/>
      </c>
      <c r="O40" s="13" t="n">
        <v>0</v>
      </c>
      <c r="P40" s="13" t="n">
        <v>0</v>
      </c>
      <c r="Q40" s="21" t="n">
        <f aca="false">IF($O40="","",$O40-IF($P40="",0,$P40))</f>
        <v>0</v>
      </c>
      <c r="R40" s="13" t="n">
        <v>2</v>
      </c>
      <c r="S40" s="21" t="str">
        <f aca="false">IF($O40="","",IF($Q40&lt;=$R40,"⚠ REORDER","OK"))</f>
        <v>⚠ REORDER</v>
      </c>
      <c r="T40" s="13"/>
      <c r="U40" s="13"/>
      <c r="V40" s="13" t="s">
        <v>378</v>
      </c>
      <c r="W40" s="12" t="s">
        <v>379</v>
      </c>
      <c r="X40" s="13"/>
      <c r="Y40" s="13"/>
      <c r="Z40" s="12" t="s">
        <v>88</v>
      </c>
      <c r="AA40" s="12" t="s">
        <v>88</v>
      </c>
      <c r="AB40" s="12" t="s">
        <v>88</v>
      </c>
      <c r="AC40" s="12" t="s">
        <v>88</v>
      </c>
      <c r="AD40" s="12" t="s">
        <v>87</v>
      </c>
      <c r="AE40" s="21" t="n">
        <f aca="false">IFERROR(SUMIFS(Transactions!$F:$F,Transactions!$C:$C,$A40,Transactions!$D:$D,"Sale"),0)</f>
        <v>0</v>
      </c>
      <c r="AF40" s="15" t="n">
        <f aca="false">IFERROR(SUMIFS(Transactions!$H:$H,Transactions!$C:$C,$A40,Transactions!$D:$D,"Sale"),0)</f>
        <v>0</v>
      </c>
      <c r="AG40" s="22" t="str">
        <f aca="false">IFERROR(IF(maxifs(Transactions!$B:$B,Transactions!$C:$C,$A40,Transactions!$D:$D,"Sale")=0,"",maxifs(Transactions!$B:$B,Transactions!$C:$C,$A40,Transactions!$D:$D,"Sale")),"")</f>
        <v/>
      </c>
      <c r="AH40" s="12"/>
    </row>
    <row r="41" customFormat="false" ht="18" hidden="false" customHeight="true" outlineLevel="0" collapsed="false">
      <c r="A41" s="12" t="s">
        <v>419</v>
      </c>
      <c r="B41" s="12" t="s">
        <v>111</v>
      </c>
      <c r="C41" s="12" t="s">
        <v>77</v>
      </c>
      <c r="D41" s="12" t="s">
        <v>78</v>
      </c>
      <c r="E41" s="12" t="s">
        <v>79</v>
      </c>
      <c r="F41" s="12" t="s">
        <v>112</v>
      </c>
      <c r="G41" s="12"/>
      <c r="H41" s="12" t="s">
        <v>383</v>
      </c>
      <c r="I41" s="14" t="n">
        <v>19000</v>
      </c>
      <c r="J41" s="18" t="n">
        <f aca="false">IF($I41="","",ROUND($I41*Dropdowns!$K$5,2))</f>
        <v>49.4</v>
      </c>
      <c r="K41" s="19" t="n">
        <f aca="false">IF($I41="","",ROUND($I41*Dropdowns!$K$6,2))</f>
        <v>45.6</v>
      </c>
      <c r="L41" s="20" t="n">
        <f aca="false">IF($I41="","",ROUND($I41*Dropdowns!$K$7,2))</f>
        <v>3895</v>
      </c>
      <c r="M41" s="15" t="str">
        <f aca="false">IFERROR(IF($B41="","",VLOOKUP($B41,Designs!$A$3:$AP$165,27,FALSE())),"")</f>
        <v/>
      </c>
      <c r="N41" s="16" t="str">
        <f aca="false">IFERROR(IF(OR($I41="",$M41="",$M41=0),"",($I41-$M41)/$I41),"")</f>
        <v/>
      </c>
      <c r="O41" s="13" t="n">
        <v>0</v>
      </c>
      <c r="P41" s="13" t="n">
        <v>0</v>
      </c>
      <c r="Q41" s="21" t="n">
        <f aca="false">IF($O41="","",$O41-IF($P41="",0,$P41))</f>
        <v>0</v>
      </c>
      <c r="R41" s="13" t="n">
        <v>2</v>
      </c>
      <c r="S41" s="21" t="str">
        <f aca="false">IF($O41="","",IF($Q41&lt;=$R41,"⚠ REORDER","OK"))</f>
        <v>⚠ REORDER</v>
      </c>
      <c r="T41" s="13"/>
      <c r="U41" s="13"/>
      <c r="V41" s="13" t="s">
        <v>378</v>
      </c>
      <c r="W41" s="12" t="s">
        <v>379</v>
      </c>
      <c r="X41" s="13"/>
      <c r="Y41" s="13"/>
      <c r="Z41" s="12" t="s">
        <v>88</v>
      </c>
      <c r="AA41" s="12" t="s">
        <v>88</v>
      </c>
      <c r="AB41" s="12" t="s">
        <v>88</v>
      </c>
      <c r="AC41" s="12" t="s">
        <v>88</v>
      </c>
      <c r="AD41" s="12" t="s">
        <v>87</v>
      </c>
      <c r="AE41" s="21" t="n">
        <f aca="false">IFERROR(SUMIFS(Transactions!$F:$F,Transactions!$C:$C,$A41,Transactions!$D:$D,"Sale"),0)</f>
        <v>0</v>
      </c>
      <c r="AF41" s="15" t="n">
        <f aca="false">IFERROR(SUMIFS(Transactions!$H:$H,Transactions!$C:$C,$A41,Transactions!$D:$D,"Sale"),0)</f>
        <v>0</v>
      </c>
      <c r="AG41" s="22" t="str">
        <f aca="false">IFERROR(IF(maxifs(Transactions!$B:$B,Transactions!$C:$C,$A41,Transactions!$D:$D,"Sale")=0,"",maxifs(Transactions!$B:$B,Transactions!$C:$C,$A41,Transactions!$D:$D,"Sale")),"")</f>
        <v/>
      </c>
      <c r="AH41" s="12"/>
    </row>
    <row r="42" customFormat="false" ht="18" hidden="false" customHeight="true" outlineLevel="0" collapsed="false">
      <c r="A42" s="12" t="s">
        <v>420</v>
      </c>
      <c r="B42" s="12" t="s">
        <v>113</v>
      </c>
      <c r="C42" s="12" t="s">
        <v>77</v>
      </c>
      <c r="D42" s="12" t="s">
        <v>78</v>
      </c>
      <c r="E42" s="12" t="s">
        <v>79</v>
      </c>
      <c r="F42" s="12" t="s">
        <v>114</v>
      </c>
      <c r="G42" s="12"/>
      <c r="H42" s="12" t="s">
        <v>377</v>
      </c>
      <c r="I42" s="14" t="n">
        <v>19000</v>
      </c>
      <c r="J42" s="18" t="n">
        <f aca="false">IF($I42="","",ROUND($I42*Dropdowns!$K$5,2))</f>
        <v>49.4</v>
      </c>
      <c r="K42" s="19" t="n">
        <f aca="false">IF($I42="","",ROUND($I42*Dropdowns!$K$6,2))</f>
        <v>45.6</v>
      </c>
      <c r="L42" s="20" t="n">
        <f aca="false">IF($I42="","",ROUND($I42*Dropdowns!$K$7,2))</f>
        <v>3895</v>
      </c>
      <c r="M42" s="15" t="str">
        <f aca="false">IFERROR(IF($B42="","",VLOOKUP($B42,Designs!$A$3:$AP$165,27,FALSE())),"")</f>
        <v/>
      </c>
      <c r="N42" s="16" t="str">
        <f aca="false">IFERROR(IF(OR($I42="",$M42="",$M42=0),"",($I42-$M42)/$I42),"")</f>
        <v/>
      </c>
      <c r="O42" s="13" t="n">
        <v>0</v>
      </c>
      <c r="P42" s="13" t="n">
        <v>0</v>
      </c>
      <c r="Q42" s="21" t="n">
        <f aca="false">IF($O42="","",$O42-IF($P42="",0,$P42))</f>
        <v>0</v>
      </c>
      <c r="R42" s="13" t="n">
        <v>2</v>
      </c>
      <c r="S42" s="21" t="str">
        <f aca="false">IF($O42="","",IF($Q42&lt;=$R42,"⚠ REORDER","OK"))</f>
        <v>⚠ REORDER</v>
      </c>
      <c r="T42" s="13"/>
      <c r="U42" s="13"/>
      <c r="V42" s="13" t="s">
        <v>378</v>
      </c>
      <c r="W42" s="12" t="s">
        <v>379</v>
      </c>
      <c r="X42" s="13"/>
      <c r="Y42" s="13"/>
      <c r="Z42" s="12" t="s">
        <v>88</v>
      </c>
      <c r="AA42" s="12" t="s">
        <v>88</v>
      </c>
      <c r="AB42" s="12" t="s">
        <v>88</v>
      </c>
      <c r="AC42" s="12" t="s">
        <v>88</v>
      </c>
      <c r="AD42" s="12" t="s">
        <v>87</v>
      </c>
      <c r="AE42" s="21" t="n">
        <f aca="false">IFERROR(SUMIFS(Transactions!$F:$F,Transactions!$C:$C,$A42,Transactions!$D:$D,"Sale"),0)</f>
        <v>0</v>
      </c>
      <c r="AF42" s="15" t="n">
        <f aca="false">IFERROR(SUMIFS(Transactions!$H:$H,Transactions!$C:$C,$A42,Transactions!$D:$D,"Sale"),0)</f>
        <v>0</v>
      </c>
      <c r="AG42" s="22" t="str">
        <f aca="false">IFERROR(IF(maxifs(Transactions!$B:$B,Transactions!$C:$C,$A42,Transactions!$D:$D,"Sale")=0,"",maxifs(Transactions!$B:$B,Transactions!$C:$C,$A42,Transactions!$D:$D,"Sale")),"")</f>
        <v/>
      </c>
      <c r="AH42" s="12"/>
    </row>
    <row r="43" customFormat="false" ht="18" hidden="false" customHeight="true" outlineLevel="0" collapsed="false">
      <c r="A43" s="12" t="s">
        <v>421</v>
      </c>
      <c r="B43" s="12" t="s">
        <v>113</v>
      </c>
      <c r="C43" s="12" t="s">
        <v>77</v>
      </c>
      <c r="D43" s="12" t="s">
        <v>78</v>
      </c>
      <c r="E43" s="12" t="s">
        <v>79</v>
      </c>
      <c r="F43" s="12" t="s">
        <v>114</v>
      </c>
      <c r="G43" s="12"/>
      <c r="H43" s="12" t="s">
        <v>381</v>
      </c>
      <c r="I43" s="14" t="n">
        <v>19000</v>
      </c>
      <c r="J43" s="18" t="n">
        <f aca="false">IF($I43="","",ROUND($I43*Dropdowns!$K$5,2))</f>
        <v>49.4</v>
      </c>
      <c r="K43" s="19" t="n">
        <f aca="false">IF($I43="","",ROUND($I43*Dropdowns!$K$6,2))</f>
        <v>45.6</v>
      </c>
      <c r="L43" s="20" t="n">
        <f aca="false">IF($I43="","",ROUND($I43*Dropdowns!$K$7,2))</f>
        <v>3895</v>
      </c>
      <c r="M43" s="15" t="str">
        <f aca="false">IFERROR(IF($B43="","",VLOOKUP($B43,Designs!$A$3:$AP$165,27,FALSE())),"")</f>
        <v/>
      </c>
      <c r="N43" s="16" t="str">
        <f aca="false">IFERROR(IF(OR($I43="",$M43="",$M43=0),"",($I43-$M43)/$I43),"")</f>
        <v/>
      </c>
      <c r="O43" s="13" t="n">
        <v>0</v>
      </c>
      <c r="P43" s="13" t="n">
        <v>0</v>
      </c>
      <c r="Q43" s="21" t="n">
        <f aca="false">IF($O43="","",$O43-IF($P43="",0,$P43))</f>
        <v>0</v>
      </c>
      <c r="R43" s="13" t="n">
        <v>2</v>
      </c>
      <c r="S43" s="21" t="str">
        <f aca="false">IF($O43="","",IF($Q43&lt;=$R43,"⚠ REORDER","OK"))</f>
        <v>⚠ REORDER</v>
      </c>
      <c r="T43" s="13"/>
      <c r="U43" s="13"/>
      <c r="V43" s="13" t="s">
        <v>378</v>
      </c>
      <c r="W43" s="12" t="s">
        <v>379</v>
      </c>
      <c r="X43" s="13"/>
      <c r="Y43" s="13"/>
      <c r="Z43" s="12" t="s">
        <v>88</v>
      </c>
      <c r="AA43" s="12" t="s">
        <v>88</v>
      </c>
      <c r="AB43" s="12" t="s">
        <v>88</v>
      </c>
      <c r="AC43" s="12" t="s">
        <v>88</v>
      </c>
      <c r="AD43" s="12" t="s">
        <v>87</v>
      </c>
      <c r="AE43" s="21" t="n">
        <f aca="false">IFERROR(SUMIFS(Transactions!$F:$F,Transactions!$C:$C,$A43,Transactions!$D:$D,"Sale"),0)</f>
        <v>0</v>
      </c>
      <c r="AF43" s="15" t="n">
        <f aca="false">IFERROR(SUMIFS(Transactions!$H:$H,Transactions!$C:$C,$A43,Transactions!$D:$D,"Sale"),0)</f>
        <v>0</v>
      </c>
      <c r="AG43" s="22" t="str">
        <f aca="false">IFERROR(IF(maxifs(Transactions!$B:$B,Transactions!$C:$C,$A43,Transactions!$D:$D,"Sale")=0,"",maxifs(Transactions!$B:$B,Transactions!$C:$C,$A43,Transactions!$D:$D,"Sale")),"")</f>
        <v/>
      </c>
      <c r="AH43" s="12"/>
    </row>
    <row r="44" customFormat="false" ht="18" hidden="false" customHeight="true" outlineLevel="0" collapsed="false">
      <c r="A44" s="12" t="s">
        <v>422</v>
      </c>
      <c r="B44" s="12" t="s">
        <v>113</v>
      </c>
      <c r="C44" s="12" t="s">
        <v>77</v>
      </c>
      <c r="D44" s="12" t="s">
        <v>78</v>
      </c>
      <c r="E44" s="12" t="s">
        <v>79</v>
      </c>
      <c r="F44" s="12" t="s">
        <v>114</v>
      </c>
      <c r="G44" s="12"/>
      <c r="H44" s="12" t="s">
        <v>383</v>
      </c>
      <c r="I44" s="14" t="n">
        <v>19000</v>
      </c>
      <c r="J44" s="18" t="n">
        <f aca="false">IF($I44="","",ROUND($I44*Dropdowns!$K$5,2))</f>
        <v>49.4</v>
      </c>
      <c r="K44" s="19" t="n">
        <f aca="false">IF($I44="","",ROUND($I44*Dropdowns!$K$6,2))</f>
        <v>45.6</v>
      </c>
      <c r="L44" s="20" t="n">
        <f aca="false">IF($I44="","",ROUND($I44*Dropdowns!$K$7,2))</f>
        <v>3895</v>
      </c>
      <c r="M44" s="15" t="str">
        <f aca="false">IFERROR(IF($B44="","",VLOOKUP($B44,Designs!$A$3:$AP$165,27,FALSE())),"")</f>
        <v/>
      </c>
      <c r="N44" s="16" t="str">
        <f aca="false">IFERROR(IF(OR($I44="",$M44="",$M44=0),"",($I44-$M44)/$I44),"")</f>
        <v/>
      </c>
      <c r="O44" s="13" t="n">
        <v>0</v>
      </c>
      <c r="P44" s="13" t="n">
        <v>0</v>
      </c>
      <c r="Q44" s="21" t="n">
        <f aca="false">IF($O44="","",$O44-IF($P44="",0,$P44))</f>
        <v>0</v>
      </c>
      <c r="R44" s="13" t="n">
        <v>2</v>
      </c>
      <c r="S44" s="21" t="str">
        <f aca="false">IF($O44="","",IF($Q44&lt;=$R44,"⚠ REORDER","OK"))</f>
        <v>⚠ REORDER</v>
      </c>
      <c r="T44" s="13"/>
      <c r="U44" s="13"/>
      <c r="V44" s="13" t="s">
        <v>378</v>
      </c>
      <c r="W44" s="12" t="s">
        <v>379</v>
      </c>
      <c r="X44" s="13"/>
      <c r="Y44" s="13"/>
      <c r="Z44" s="12" t="s">
        <v>88</v>
      </c>
      <c r="AA44" s="12" t="s">
        <v>88</v>
      </c>
      <c r="AB44" s="12" t="s">
        <v>88</v>
      </c>
      <c r="AC44" s="12" t="s">
        <v>88</v>
      </c>
      <c r="AD44" s="12" t="s">
        <v>87</v>
      </c>
      <c r="AE44" s="21" t="n">
        <f aca="false">IFERROR(SUMIFS(Transactions!$F:$F,Transactions!$C:$C,$A44,Transactions!$D:$D,"Sale"),0)</f>
        <v>0</v>
      </c>
      <c r="AF44" s="15" t="n">
        <f aca="false">IFERROR(SUMIFS(Transactions!$H:$H,Transactions!$C:$C,$A44,Transactions!$D:$D,"Sale"),0)</f>
        <v>0</v>
      </c>
      <c r="AG44" s="22" t="str">
        <f aca="false">IFERROR(IF(maxifs(Transactions!$B:$B,Transactions!$C:$C,$A44,Transactions!$D:$D,"Sale")=0,"",maxifs(Transactions!$B:$B,Transactions!$C:$C,$A44,Transactions!$D:$D,"Sale")),"")</f>
        <v/>
      </c>
      <c r="AH44" s="12"/>
    </row>
    <row r="45" customFormat="false" ht="18" hidden="false" customHeight="true" outlineLevel="0" collapsed="false">
      <c r="A45" s="12" t="s">
        <v>423</v>
      </c>
      <c r="B45" s="12" t="s">
        <v>115</v>
      </c>
      <c r="C45" s="12" t="s">
        <v>77</v>
      </c>
      <c r="D45" s="12" t="s">
        <v>78</v>
      </c>
      <c r="E45" s="12" t="s">
        <v>79</v>
      </c>
      <c r="F45" s="12" t="s">
        <v>116</v>
      </c>
      <c r="G45" s="12"/>
      <c r="H45" s="12" t="s">
        <v>377</v>
      </c>
      <c r="I45" s="14" t="n">
        <v>19000</v>
      </c>
      <c r="J45" s="18" t="n">
        <f aca="false">IF($I45="","",ROUND($I45*Dropdowns!$K$5,2))</f>
        <v>49.4</v>
      </c>
      <c r="K45" s="19" t="n">
        <f aca="false">IF($I45="","",ROUND($I45*Dropdowns!$K$6,2))</f>
        <v>45.6</v>
      </c>
      <c r="L45" s="20" t="n">
        <f aca="false">IF($I45="","",ROUND($I45*Dropdowns!$K$7,2))</f>
        <v>3895</v>
      </c>
      <c r="M45" s="15" t="str">
        <f aca="false">IFERROR(IF($B45="","",VLOOKUP($B45,Designs!$A$3:$AP$165,27,FALSE())),"")</f>
        <v/>
      </c>
      <c r="N45" s="16" t="str">
        <f aca="false">IFERROR(IF(OR($I45="",$M45="",$M45=0),"",($I45-$M45)/$I45),"")</f>
        <v/>
      </c>
      <c r="O45" s="13" t="n">
        <v>0</v>
      </c>
      <c r="P45" s="13" t="n">
        <v>0</v>
      </c>
      <c r="Q45" s="21" t="n">
        <f aca="false">IF($O45="","",$O45-IF($P45="",0,$P45))</f>
        <v>0</v>
      </c>
      <c r="R45" s="13" t="n">
        <v>2</v>
      </c>
      <c r="S45" s="21" t="str">
        <f aca="false">IF($O45="","",IF($Q45&lt;=$R45,"⚠ REORDER","OK"))</f>
        <v>⚠ REORDER</v>
      </c>
      <c r="T45" s="13"/>
      <c r="U45" s="13"/>
      <c r="V45" s="13" t="s">
        <v>378</v>
      </c>
      <c r="W45" s="12" t="s">
        <v>379</v>
      </c>
      <c r="X45" s="13"/>
      <c r="Y45" s="13"/>
      <c r="Z45" s="12" t="s">
        <v>88</v>
      </c>
      <c r="AA45" s="12" t="s">
        <v>88</v>
      </c>
      <c r="AB45" s="12" t="s">
        <v>88</v>
      </c>
      <c r="AC45" s="12" t="s">
        <v>88</v>
      </c>
      <c r="AD45" s="12" t="s">
        <v>87</v>
      </c>
      <c r="AE45" s="21" t="n">
        <f aca="false">IFERROR(SUMIFS(Transactions!$F:$F,Transactions!$C:$C,$A45,Transactions!$D:$D,"Sale"),0)</f>
        <v>0</v>
      </c>
      <c r="AF45" s="15" t="n">
        <f aca="false">IFERROR(SUMIFS(Transactions!$H:$H,Transactions!$C:$C,$A45,Transactions!$D:$D,"Sale"),0)</f>
        <v>0</v>
      </c>
      <c r="AG45" s="22" t="str">
        <f aca="false">IFERROR(IF(maxifs(Transactions!$B:$B,Transactions!$C:$C,$A45,Transactions!$D:$D,"Sale")=0,"",maxifs(Transactions!$B:$B,Transactions!$C:$C,$A45,Transactions!$D:$D,"Sale")),"")</f>
        <v/>
      </c>
      <c r="AH45" s="12"/>
    </row>
    <row r="46" customFormat="false" ht="18" hidden="false" customHeight="true" outlineLevel="0" collapsed="false">
      <c r="A46" s="12" t="s">
        <v>424</v>
      </c>
      <c r="B46" s="12" t="s">
        <v>115</v>
      </c>
      <c r="C46" s="12" t="s">
        <v>77</v>
      </c>
      <c r="D46" s="12" t="s">
        <v>78</v>
      </c>
      <c r="E46" s="12" t="s">
        <v>79</v>
      </c>
      <c r="F46" s="12" t="s">
        <v>116</v>
      </c>
      <c r="G46" s="12"/>
      <c r="H46" s="12" t="s">
        <v>381</v>
      </c>
      <c r="I46" s="14" t="n">
        <v>19000</v>
      </c>
      <c r="J46" s="18" t="n">
        <f aca="false">IF($I46="","",ROUND($I46*Dropdowns!$K$5,2))</f>
        <v>49.4</v>
      </c>
      <c r="K46" s="19" t="n">
        <f aca="false">IF($I46="","",ROUND($I46*Dropdowns!$K$6,2))</f>
        <v>45.6</v>
      </c>
      <c r="L46" s="20" t="n">
        <f aca="false">IF($I46="","",ROUND($I46*Dropdowns!$K$7,2))</f>
        <v>3895</v>
      </c>
      <c r="M46" s="15" t="str">
        <f aca="false">IFERROR(IF($B46="","",VLOOKUP($B46,Designs!$A$3:$AP$165,27,FALSE())),"")</f>
        <v/>
      </c>
      <c r="N46" s="16" t="str">
        <f aca="false">IFERROR(IF(OR($I46="",$M46="",$M46=0),"",($I46-$M46)/$I46),"")</f>
        <v/>
      </c>
      <c r="O46" s="13" t="n">
        <v>0</v>
      </c>
      <c r="P46" s="13" t="n">
        <v>0</v>
      </c>
      <c r="Q46" s="21" t="n">
        <f aca="false">IF($O46="","",$O46-IF($P46="",0,$P46))</f>
        <v>0</v>
      </c>
      <c r="R46" s="13" t="n">
        <v>2</v>
      </c>
      <c r="S46" s="21" t="str">
        <f aca="false">IF($O46="","",IF($Q46&lt;=$R46,"⚠ REORDER","OK"))</f>
        <v>⚠ REORDER</v>
      </c>
      <c r="T46" s="13"/>
      <c r="U46" s="13"/>
      <c r="V46" s="13" t="s">
        <v>378</v>
      </c>
      <c r="W46" s="12" t="s">
        <v>379</v>
      </c>
      <c r="X46" s="13"/>
      <c r="Y46" s="13"/>
      <c r="Z46" s="12" t="s">
        <v>88</v>
      </c>
      <c r="AA46" s="12" t="s">
        <v>88</v>
      </c>
      <c r="AB46" s="12" t="s">
        <v>88</v>
      </c>
      <c r="AC46" s="12" t="s">
        <v>88</v>
      </c>
      <c r="AD46" s="12" t="s">
        <v>87</v>
      </c>
      <c r="AE46" s="21" t="n">
        <f aca="false">IFERROR(SUMIFS(Transactions!$F:$F,Transactions!$C:$C,$A46,Transactions!$D:$D,"Sale"),0)</f>
        <v>0</v>
      </c>
      <c r="AF46" s="15" t="n">
        <f aca="false">IFERROR(SUMIFS(Transactions!$H:$H,Transactions!$C:$C,$A46,Transactions!$D:$D,"Sale"),0)</f>
        <v>0</v>
      </c>
      <c r="AG46" s="22" t="str">
        <f aca="false">IFERROR(IF(maxifs(Transactions!$B:$B,Transactions!$C:$C,$A46,Transactions!$D:$D,"Sale")=0,"",maxifs(Transactions!$B:$B,Transactions!$C:$C,$A46,Transactions!$D:$D,"Sale")),"")</f>
        <v/>
      </c>
      <c r="AH46" s="12"/>
    </row>
    <row r="47" customFormat="false" ht="18" hidden="false" customHeight="true" outlineLevel="0" collapsed="false">
      <c r="A47" s="12" t="s">
        <v>425</v>
      </c>
      <c r="B47" s="12" t="s">
        <v>115</v>
      </c>
      <c r="C47" s="12" t="s">
        <v>77</v>
      </c>
      <c r="D47" s="12" t="s">
        <v>78</v>
      </c>
      <c r="E47" s="12" t="s">
        <v>79</v>
      </c>
      <c r="F47" s="12" t="s">
        <v>116</v>
      </c>
      <c r="G47" s="12"/>
      <c r="H47" s="12" t="s">
        <v>383</v>
      </c>
      <c r="I47" s="14" t="n">
        <v>19000</v>
      </c>
      <c r="J47" s="18" t="n">
        <f aca="false">IF($I47="","",ROUND($I47*Dropdowns!$K$5,2))</f>
        <v>49.4</v>
      </c>
      <c r="K47" s="19" t="n">
        <f aca="false">IF($I47="","",ROUND($I47*Dropdowns!$K$6,2))</f>
        <v>45.6</v>
      </c>
      <c r="L47" s="20" t="n">
        <f aca="false">IF($I47="","",ROUND($I47*Dropdowns!$K$7,2))</f>
        <v>3895</v>
      </c>
      <c r="M47" s="15" t="str">
        <f aca="false">IFERROR(IF($B47="","",VLOOKUP($B47,Designs!$A$3:$AP$165,27,FALSE())),"")</f>
        <v/>
      </c>
      <c r="N47" s="16" t="str">
        <f aca="false">IFERROR(IF(OR($I47="",$M47="",$M47=0),"",($I47-$M47)/$I47),"")</f>
        <v/>
      </c>
      <c r="O47" s="13" t="n">
        <v>0</v>
      </c>
      <c r="P47" s="13" t="n">
        <v>0</v>
      </c>
      <c r="Q47" s="21" t="n">
        <f aca="false">IF($O47="","",$O47-IF($P47="",0,$P47))</f>
        <v>0</v>
      </c>
      <c r="R47" s="13" t="n">
        <v>2</v>
      </c>
      <c r="S47" s="21" t="str">
        <f aca="false">IF($O47="","",IF($Q47&lt;=$R47,"⚠ REORDER","OK"))</f>
        <v>⚠ REORDER</v>
      </c>
      <c r="T47" s="13"/>
      <c r="U47" s="13"/>
      <c r="V47" s="13" t="s">
        <v>378</v>
      </c>
      <c r="W47" s="12" t="s">
        <v>379</v>
      </c>
      <c r="X47" s="13"/>
      <c r="Y47" s="13"/>
      <c r="Z47" s="12" t="s">
        <v>88</v>
      </c>
      <c r="AA47" s="12" t="s">
        <v>88</v>
      </c>
      <c r="AB47" s="12" t="s">
        <v>88</v>
      </c>
      <c r="AC47" s="12" t="s">
        <v>88</v>
      </c>
      <c r="AD47" s="12" t="s">
        <v>87</v>
      </c>
      <c r="AE47" s="21" t="n">
        <f aca="false">IFERROR(SUMIFS(Transactions!$F:$F,Transactions!$C:$C,$A47,Transactions!$D:$D,"Sale"),0)</f>
        <v>0</v>
      </c>
      <c r="AF47" s="15" t="n">
        <f aca="false">IFERROR(SUMIFS(Transactions!$H:$H,Transactions!$C:$C,$A47,Transactions!$D:$D,"Sale"),0)</f>
        <v>0</v>
      </c>
      <c r="AG47" s="22" t="str">
        <f aca="false">IFERROR(IF(maxifs(Transactions!$B:$B,Transactions!$C:$C,$A47,Transactions!$D:$D,"Sale")=0,"",maxifs(Transactions!$B:$B,Transactions!$C:$C,$A47,Transactions!$D:$D,"Sale")),"")</f>
        <v/>
      </c>
      <c r="AH47" s="12"/>
    </row>
    <row r="48" customFormat="false" ht="18" hidden="false" customHeight="true" outlineLevel="0" collapsed="false">
      <c r="A48" s="12" t="s">
        <v>426</v>
      </c>
      <c r="B48" s="12" t="s">
        <v>117</v>
      </c>
      <c r="C48" s="12" t="s">
        <v>77</v>
      </c>
      <c r="D48" s="12" t="s">
        <v>78</v>
      </c>
      <c r="E48" s="12" t="s">
        <v>79</v>
      </c>
      <c r="F48" s="12" t="s">
        <v>118</v>
      </c>
      <c r="G48" s="12"/>
      <c r="H48" s="12" t="s">
        <v>377</v>
      </c>
      <c r="I48" s="14" t="n">
        <v>19000</v>
      </c>
      <c r="J48" s="18" t="n">
        <f aca="false">IF($I48="","",ROUND($I48*Dropdowns!$K$5,2))</f>
        <v>49.4</v>
      </c>
      <c r="K48" s="19" t="n">
        <f aca="false">IF($I48="","",ROUND($I48*Dropdowns!$K$6,2))</f>
        <v>45.6</v>
      </c>
      <c r="L48" s="20" t="n">
        <f aca="false">IF($I48="","",ROUND($I48*Dropdowns!$K$7,2))</f>
        <v>3895</v>
      </c>
      <c r="M48" s="15" t="str">
        <f aca="false">IFERROR(IF($B48="","",VLOOKUP($B48,Designs!$A$3:$AP$165,27,FALSE())),"")</f>
        <v/>
      </c>
      <c r="N48" s="16" t="str">
        <f aca="false">IFERROR(IF(OR($I48="",$M48="",$M48=0),"",($I48-$M48)/$I48),"")</f>
        <v/>
      </c>
      <c r="O48" s="13" t="n">
        <v>0</v>
      </c>
      <c r="P48" s="13" t="n">
        <v>0</v>
      </c>
      <c r="Q48" s="21" t="n">
        <f aca="false">IF($O48="","",$O48-IF($P48="",0,$P48))</f>
        <v>0</v>
      </c>
      <c r="R48" s="13" t="n">
        <v>2</v>
      </c>
      <c r="S48" s="21" t="str">
        <f aca="false">IF($O48="","",IF($Q48&lt;=$R48,"⚠ REORDER","OK"))</f>
        <v>⚠ REORDER</v>
      </c>
      <c r="T48" s="13"/>
      <c r="U48" s="13"/>
      <c r="V48" s="13" t="s">
        <v>378</v>
      </c>
      <c r="W48" s="12" t="s">
        <v>379</v>
      </c>
      <c r="X48" s="13"/>
      <c r="Y48" s="13"/>
      <c r="Z48" s="12" t="s">
        <v>88</v>
      </c>
      <c r="AA48" s="12" t="s">
        <v>88</v>
      </c>
      <c r="AB48" s="12" t="s">
        <v>88</v>
      </c>
      <c r="AC48" s="12" t="s">
        <v>88</v>
      </c>
      <c r="AD48" s="12" t="s">
        <v>87</v>
      </c>
      <c r="AE48" s="21" t="n">
        <f aca="false">IFERROR(SUMIFS(Transactions!$F:$F,Transactions!$C:$C,$A48,Transactions!$D:$D,"Sale"),0)</f>
        <v>0</v>
      </c>
      <c r="AF48" s="15" t="n">
        <f aca="false">IFERROR(SUMIFS(Transactions!$H:$H,Transactions!$C:$C,$A48,Transactions!$D:$D,"Sale"),0)</f>
        <v>0</v>
      </c>
      <c r="AG48" s="22" t="str">
        <f aca="false">IFERROR(IF(maxifs(Transactions!$B:$B,Transactions!$C:$C,$A48,Transactions!$D:$D,"Sale")=0,"",maxifs(Transactions!$B:$B,Transactions!$C:$C,$A48,Transactions!$D:$D,"Sale")),"")</f>
        <v/>
      </c>
      <c r="AH48" s="12"/>
    </row>
    <row r="49" customFormat="false" ht="18" hidden="false" customHeight="true" outlineLevel="0" collapsed="false">
      <c r="A49" s="12" t="s">
        <v>427</v>
      </c>
      <c r="B49" s="12" t="s">
        <v>117</v>
      </c>
      <c r="C49" s="12" t="s">
        <v>77</v>
      </c>
      <c r="D49" s="12" t="s">
        <v>78</v>
      </c>
      <c r="E49" s="12" t="s">
        <v>79</v>
      </c>
      <c r="F49" s="12" t="s">
        <v>118</v>
      </c>
      <c r="G49" s="12"/>
      <c r="H49" s="12" t="s">
        <v>381</v>
      </c>
      <c r="I49" s="14" t="n">
        <v>19000</v>
      </c>
      <c r="J49" s="18" t="n">
        <f aca="false">IF($I49="","",ROUND($I49*Dropdowns!$K$5,2))</f>
        <v>49.4</v>
      </c>
      <c r="K49" s="19" t="n">
        <f aca="false">IF($I49="","",ROUND($I49*Dropdowns!$K$6,2))</f>
        <v>45.6</v>
      </c>
      <c r="L49" s="20" t="n">
        <f aca="false">IF($I49="","",ROUND($I49*Dropdowns!$K$7,2))</f>
        <v>3895</v>
      </c>
      <c r="M49" s="15" t="str">
        <f aca="false">IFERROR(IF($B49="","",VLOOKUP($B49,Designs!$A$3:$AP$165,27,FALSE())),"")</f>
        <v/>
      </c>
      <c r="N49" s="16" t="str">
        <f aca="false">IFERROR(IF(OR($I49="",$M49="",$M49=0),"",($I49-$M49)/$I49),"")</f>
        <v/>
      </c>
      <c r="O49" s="13" t="n">
        <v>0</v>
      </c>
      <c r="P49" s="13" t="n">
        <v>0</v>
      </c>
      <c r="Q49" s="21" t="n">
        <f aca="false">IF($O49="","",$O49-IF($P49="",0,$P49))</f>
        <v>0</v>
      </c>
      <c r="R49" s="13" t="n">
        <v>2</v>
      </c>
      <c r="S49" s="21" t="str">
        <f aca="false">IF($O49="","",IF($Q49&lt;=$R49,"⚠ REORDER","OK"))</f>
        <v>⚠ REORDER</v>
      </c>
      <c r="T49" s="13"/>
      <c r="U49" s="13"/>
      <c r="V49" s="13" t="s">
        <v>378</v>
      </c>
      <c r="W49" s="12" t="s">
        <v>379</v>
      </c>
      <c r="X49" s="13"/>
      <c r="Y49" s="13"/>
      <c r="Z49" s="12" t="s">
        <v>88</v>
      </c>
      <c r="AA49" s="12" t="s">
        <v>88</v>
      </c>
      <c r="AB49" s="12" t="s">
        <v>88</v>
      </c>
      <c r="AC49" s="12" t="s">
        <v>88</v>
      </c>
      <c r="AD49" s="12" t="s">
        <v>87</v>
      </c>
      <c r="AE49" s="21" t="n">
        <f aca="false">IFERROR(SUMIFS(Transactions!$F:$F,Transactions!$C:$C,$A49,Transactions!$D:$D,"Sale"),0)</f>
        <v>0</v>
      </c>
      <c r="AF49" s="15" t="n">
        <f aca="false">IFERROR(SUMIFS(Transactions!$H:$H,Transactions!$C:$C,$A49,Transactions!$D:$D,"Sale"),0)</f>
        <v>0</v>
      </c>
      <c r="AG49" s="22" t="str">
        <f aca="false">IFERROR(IF(maxifs(Transactions!$B:$B,Transactions!$C:$C,$A49,Transactions!$D:$D,"Sale")=0,"",maxifs(Transactions!$B:$B,Transactions!$C:$C,$A49,Transactions!$D:$D,"Sale")),"")</f>
        <v/>
      </c>
      <c r="AH49" s="12"/>
    </row>
    <row r="50" customFormat="false" ht="18" hidden="false" customHeight="true" outlineLevel="0" collapsed="false">
      <c r="A50" s="12" t="s">
        <v>428</v>
      </c>
      <c r="B50" s="12" t="s">
        <v>117</v>
      </c>
      <c r="C50" s="12" t="s">
        <v>77</v>
      </c>
      <c r="D50" s="12" t="s">
        <v>78</v>
      </c>
      <c r="E50" s="12" t="s">
        <v>79</v>
      </c>
      <c r="F50" s="12" t="s">
        <v>118</v>
      </c>
      <c r="G50" s="12"/>
      <c r="H50" s="12" t="s">
        <v>383</v>
      </c>
      <c r="I50" s="14" t="n">
        <v>19000</v>
      </c>
      <c r="J50" s="18" t="n">
        <f aca="false">IF($I50="","",ROUND($I50*Dropdowns!$K$5,2))</f>
        <v>49.4</v>
      </c>
      <c r="K50" s="19" t="n">
        <f aca="false">IF($I50="","",ROUND($I50*Dropdowns!$K$6,2))</f>
        <v>45.6</v>
      </c>
      <c r="L50" s="20" t="n">
        <f aca="false">IF($I50="","",ROUND($I50*Dropdowns!$K$7,2))</f>
        <v>3895</v>
      </c>
      <c r="M50" s="15" t="str">
        <f aca="false">IFERROR(IF($B50="","",VLOOKUP($B50,Designs!$A$3:$AP$165,27,FALSE())),"")</f>
        <v/>
      </c>
      <c r="N50" s="16" t="str">
        <f aca="false">IFERROR(IF(OR($I50="",$M50="",$M50=0),"",($I50-$M50)/$I50),"")</f>
        <v/>
      </c>
      <c r="O50" s="13" t="n">
        <v>0</v>
      </c>
      <c r="P50" s="13" t="n">
        <v>0</v>
      </c>
      <c r="Q50" s="21" t="n">
        <f aca="false">IF($O50="","",$O50-IF($P50="",0,$P50))</f>
        <v>0</v>
      </c>
      <c r="R50" s="13" t="n">
        <v>2</v>
      </c>
      <c r="S50" s="21" t="str">
        <f aca="false">IF($O50="","",IF($Q50&lt;=$R50,"⚠ REORDER","OK"))</f>
        <v>⚠ REORDER</v>
      </c>
      <c r="T50" s="13"/>
      <c r="U50" s="13"/>
      <c r="V50" s="13" t="s">
        <v>378</v>
      </c>
      <c r="W50" s="12" t="s">
        <v>379</v>
      </c>
      <c r="X50" s="13"/>
      <c r="Y50" s="13"/>
      <c r="Z50" s="12" t="s">
        <v>88</v>
      </c>
      <c r="AA50" s="12" t="s">
        <v>88</v>
      </c>
      <c r="AB50" s="12" t="s">
        <v>88</v>
      </c>
      <c r="AC50" s="12" t="s">
        <v>88</v>
      </c>
      <c r="AD50" s="12" t="s">
        <v>87</v>
      </c>
      <c r="AE50" s="21" t="n">
        <f aca="false">IFERROR(SUMIFS(Transactions!$F:$F,Transactions!$C:$C,$A50,Transactions!$D:$D,"Sale"),0)</f>
        <v>0</v>
      </c>
      <c r="AF50" s="15" t="n">
        <f aca="false">IFERROR(SUMIFS(Transactions!$H:$H,Transactions!$C:$C,$A50,Transactions!$D:$D,"Sale"),0)</f>
        <v>0</v>
      </c>
      <c r="AG50" s="22" t="str">
        <f aca="false">IFERROR(IF(maxifs(Transactions!$B:$B,Transactions!$C:$C,$A50,Transactions!$D:$D,"Sale")=0,"",maxifs(Transactions!$B:$B,Transactions!$C:$C,$A50,Transactions!$D:$D,"Sale")),"")</f>
        <v/>
      </c>
      <c r="AH50" s="12"/>
    </row>
    <row r="51" customFormat="false" ht="18" hidden="false" customHeight="true" outlineLevel="0" collapsed="false">
      <c r="A51" s="12" t="s">
        <v>429</v>
      </c>
      <c r="B51" s="12" t="s">
        <v>119</v>
      </c>
      <c r="C51" s="12" t="s">
        <v>77</v>
      </c>
      <c r="D51" s="12" t="s">
        <v>78</v>
      </c>
      <c r="E51" s="12" t="s">
        <v>79</v>
      </c>
      <c r="F51" s="12" t="s">
        <v>120</v>
      </c>
      <c r="G51" s="12"/>
      <c r="H51" s="12" t="s">
        <v>377</v>
      </c>
      <c r="I51" s="14" t="n">
        <v>19000</v>
      </c>
      <c r="J51" s="18" t="n">
        <f aca="false">IF($I51="","",ROUND($I51*Dropdowns!$K$5,2))</f>
        <v>49.4</v>
      </c>
      <c r="K51" s="19" t="n">
        <f aca="false">IF($I51="","",ROUND($I51*Dropdowns!$K$6,2))</f>
        <v>45.6</v>
      </c>
      <c r="L51" s="20" t="n">
        <f aca="false">IF($I51="","",ROUND($I51*Dropdowns!$K$7,2))</f>
        <v>3895</v>
      </c>
      <c r="M51" s="15" t="str">
        <f aca="false">IFERROR(IF($B51="","",VLOOKUP($B51,Designs!$A$3:$AP$165,27,FALSE())),"")</f>
        <v/>
      </c>
      <c r="N51" s="16" t="str">
        <f aca="false">IFERROR(IF(OR($I51="",$M51="",$M51=0),"",($I51-$M51)/$I51),"")</f>
        <v/>
      </c>
      <c r="O51" s="13" t="n">
        <v>0</v>
      </c>
      <c r="P51" s="13" t="n">
        <v>0</v>
      </c>
      <c r="Q51" s="21" t="n">
        <f aca="false">IF($O51="","",$O51-IF($P51="",0,$P51))</f>
        <v>0</v>
      </c>
      <c r="R51" s="13" t="n">
        <v>2</v>
      </c>
      <c r="S51" s="21" t="str">
        <f aca="false">IF($O51="","",IF($Q51&lt;=$R51,"⚠ REORDER","OK"))</f>
        <v>⚠ REORDER</v>
      </c>
      <c r="T51" s="13"/>
      <c r="U51" s="13"/>
      <c r="V51" s="13" t="s">
        <v>378</v>
      </c>
      <c r="W51" s="12" t="s">
        <v>379</v>
      </c>
      <c r="X51" s="13"/>
      <c r="Y51" s="13"/>
      <c r="Z51" s="12" t="s">
        <v>88</v>
      </c>
      <c r="AA51" s="12" t="s">
        <v>88</v>
      </c>
      <c r="AB51" s="12" t="s">
        <v>88</v>
      </c>
      <c r="AC51" s="12" t="s">
        <v>88</v>
      </c>
      <c r="AD51" s="12" t="s">
        <v>87</v>
      </c>
      <c r="AE51" s="21" t="n">
        <f aca="false">IFERROR(SUMIFS(Transactions!$F:$F,Transactions!$C:$C,$A51,Transactions!$D:$D,"Sale"),0)</f>
        <v>0</v>
      </c>
      <c r="AF51" s="15" t="n">
        <f aca="false">IFERROR(SUMIFS(Transactions!$H:$H,Transactions!$C:$C,$A51,Transactions!$D:$D,"Sale"),0)</f>
        <v>0</v>
      </c>
      <c r="AG51" s="22" t="str">
        <f aca="false">IFERROR(IF(maxifs(Transactions!$B:$B,Transactions!$C:$C,$A51,Transactions!$D:$D,"Sale")=0,"",maxifs(Transactions!$B:$B,Transactions!$C:$C,$A51,Transactions!$D:$D,"Sale")),"")</f>
        <v/>
      </c>
      <c r="AH51" s="12"/>
    </row>
    <row r="52" customFormat="false" ht="18" hidden="false" customHeight="true" outlineLevel="0" collapsed="false">
      <c r="A52" s="12" t="s">
        <v>430</v>
      </c>
      <c r="B52" s="12" t="s">
        <v>119</v>
      </c>
      <c r="C52" s="12" t="s">
        <v>77</v>
      </c>
      <c r="D52" s="12" t="s">
        <v>78</v>
      </c>
      <c r="E52" s="12" t="s">
        <v>79</v>
      </c>
      <c r="F52" s="12" t="s">
        <v>120</v>
      </c>
      <c r="G52" s="12"/>
      <c r="H52" s="12" t="s">
        <v>381</v>
      </c>
      <c r="I52" s="14" t="n">
        <v>19000</v>
      </c>
      <c r="J52" s="18" t="n">
        <f aca="false">IF($I52="","",ROUND($I52*Dropdowns!$K$5,2))</f>
        <v>49.4</v>
      </c>
      <c r="K52" s="19" t="n">
        <f aca="false">IF($I52="","",ROUND($I52*Dropdowns!$K$6,2))</f>
        <v>45.6</v>
      </c>
      <c r="L52" s="20" t="n">
        <f aca="false">IF($I52="","",ROUND($I52*Dropdowns!$K$7,2))</f>
        <v>3895</v>
      </c>
      <c r="M52" s="15" t="str">
        <f aca="false">IFERROR(IF($B52="","",VLOOKUP($B52,Designs!$A$3:$AP$165,27,FALSE())),"")</f>
        <v/>
      </c>
      <c r="N52" s="16" t="str">
        <f aca="false">IFERROR(IF(OR($I52="",$M52="",$M52=0),"",($I52-$M52)/$I52),"")</f>
        <v/>
      </c>
      <c r="O52" s="13" t="n">
        <v>0</v>
      </c>
      <c r="P52" s="13" t="n">
        <v>0</v>
      </c>
      <c r="Q52" s="21" t="n">
        <f aca="false">IF($O52="","",$O52-IF($P52="",0,$P52))</f>
        <v>0</v>
      </c>
      <c r="R52" s="13" t="n">
        <v>2</v>
      </c>
      <c r="S52" s="21" t="str">
        <f aca="false">IF($O52="","",IF($Q52&lt;=$R52,"⚠ REORDER","OK"))</f>
        <v>⚠ REORDER</v>
      </c>
      <c r="T52" s="13"/>
      <c r="U52" s="13"/>
      <c r="V52" s="13" t="s">
        <v>378</v>
      </c>
      <c r="W52" s="12" t="s">
        <v>379</v>
      </c>
      <c r="X52" s="13"/>
      <c r="Y52" s="13"/>
      <c r="Z52" s="12" t="s">
        <v>88</v>
      </c>
      <c r="AA52" s="12" t="s">
        <v>88</v>
      </c>
      <c r="AB52" s="12" t="s">
        <v>88</v>
      </c>
      <c r="AC52" s="12" t="s">
        <v>88</v>
      </c>
      <c r="AD52" s="12" t="s">
        <v>87</v>
      </c>
      <c r="AE52" s="21" t="n">
        <f aca="false">IFERROR(SUMIFS(Transactions!$F:$F,Transactions!$C:$C,$A52,Transactions!$D:$D,"Sale"),0)</f>
        <v>0</v>
      </c>
      <c r="AF52" s="15" t="n">
        <f aca="false">IFERROR(SUMIFS(Transactions!$H:$H,Transactions!$C:$C,$A52,Transactions!$D:$D,"Sale"),0)</f>
        <v>0</v>
      </c>
      <c r="AG52" s="22" t="str">
        <f aca="false">IFERROR(IF(maxifs(Transactions!$B:$B,Transactions!$C:$C,$A52,Transactions!$D:$D,"Sale")=0,"",maxifs(Transactions!$B:$B,Transactions!$C:$C,$A52,Transactions!$D:$D,"Sale")),"")</f>
        <v/>
      </c>
      <c r="AH52" s="12"/>
    </row>
    <row r="53" customFormat="false" ht="18" hidden="false" customHeight="true" outlineLevel="0" collapsed="false">
      <c r="A53" s="12" t="s">
        <v>431</v>
      </c>
      <c r="B53" s="12" t="s">
        <v>119</v>
      </c>
      <c r="C53" s="12" t="s">
        <v>77</v>
      </c>
      <c r="D53" s="12" t="s">
        <v>78</v>
      </c>
      <c r="E53" s="12" t="s">
        <v>79</v>
      </c>
      <c r="F53" s="12" t="s">
        <v>120</v>
      </c>
      <c r="G53" s="12"/>
      <c r="H53" s="12" t="s">
        <v>383</v>
      </c>
      <c r="I53" s="14" t="n">
        <v>19000</v>
      </c>
      <c r="J53" s="18" t="n">
        <f aca="false">IF($I53="","",ROUND($I53*Dropdowns!$K$5,2))</f>
        <v>49.4</v>
      </c>
      <c r="K53" s="19" t="n">
        <f aca="false">IF($I53="","",ROUND($I53*Dropdowns!$K$6,2))</f>
        <v>45.6</v>
      </c>
      <c r="L53" s="20" t="n">
        <f aca="false">IF($I53="","",ROUND($I53*Dropdowns!$K$7,2))</f>
        <v>3895</v>
      </c>
      <c r="M53" s="15" t="str">
        <f aca="false">IFERROR(IF($B53="","",VLOOKUP($B53,Designs!$A$3:$AP$165,27,FALSE())),"")</f>
        <v/>
      </c>
      <c r="N53" s="16" t="str">
        <f aca="false">IFERROR(IF(OR($I53="",$M53="",$M53=0),"",($I53-$M53)/$I53),"")</f>
        <v/>
      </c>
      <c r="O53" s="13" t="n">
        <v>0</v>
      </c>
      <c r="P53" s="13" t="n">
        <v>0</v>
      </c>
      <c r="Q53" s="21" t="n">
        <f aca="false">IF($O53="","",$O53-IF($P53="",0,$P53))</f>
        <v>0</v>
      </c>
      <c r="R53" s="13" t="n">
        <v>2</v>
      </c>
      <c r="S53" s="21" t="str">
        <f aca="false">IF($O53="","",IF($Q53&lt;=$R53,"⚠ REORDER","OK"))</f>
        <v>⚠ REORDER</v>
      </c>
      <c r="T53" s="13"/>
      <c r="U53" s="13"/>
      <c r="V53" s="13" t="s">
        <v>378</v>
      </c>
      <c r="W53" s="12" t="s">
        <v>379</v>
      </c>
      <c r="X53" s="13"/>
      <c r="Y53" s="13"/>
      <c r="Z53" s="12" t="s">
        <v>88</v>
      </c>
      <c r="AA53" s="12" t="s">
        <v>88</v>
      </c>
      <c r="AB53" s="12" t="s">
        <v>88</v>
      </c>
      <c r="AC53" s="12" t="s">
        <v>88</v>
      </c>
      <c r="AD53" s="12" t="s">
        <v>87</v>
      </c>
      <c r="AE53" s="21" t="n">
        <f aca="false">IFERROR(SUMIFS(Transactions!$F:$F,Transactions!$C:$C,$A53,Transactions!$D:$D,"Sale"),0)</f>
        <v>0</v>
      </c>
      <c r="AF53" s="15" t="n">
        <f aca="false">IFERROR(SUMIFS(Transactions!$H:$H,Transactions!$C:$C,$A53,Transactions!$D:$D,"Sale"),0)</f>
        <v>0</v>
      </c>
      <c r="AG53" s="22" t="str">
        <f aca="false">IFERROR(IF(maxifs(Transactions!$B:$B,Transactions!$C:$C,$A53,Transactions!$D:$D,"Sale")=0,"",maxifs(Transactions!$B:$B,Transactions!$C:$C,$A53,Transactions!$D:$D,"Sale")),"")</f>
        <v/>
      </c>
      <c r="AH53" s="12"/>
    </row>
    <row r="54" customFormat="false" ht="18" hidden="false" customHeight="true" outlineLevel="0" collapsed="false">
      <c r="A54" s="12" t="s">
        <v>432</v>
      </c>
      <c r="B54" s="12" t="s">
        <v>121</v>
      </c>
      <c r="C54" s="12" t="s">
        <v>77</v>
      </c>
      <c r="D54" s="12" t="s">
        <v>78</v>
      </c>
      <c r="E54" s="12" t="s">
        <v>79</v>
      </c>
      <c r="F54" s="12" t="s">
        <v>122</v>
      </c>
      <c r="G54" s="12"/>
      <c r="H54" s="12" t="s">
        <v>377</v>
      </c>
      <c r="I54" s="14" t="n">
        <v>19000</v>
      </c>
      <c r="J54" s="18" t="n">
        <f aca="false">IF($I54="","",ROUND($I54*Dropdowns!$K$5,2))</f>
        <v>49.4</v>
      </c>
      <c r="K54" s="19" t="n">
        <f aca="false">IF($I54="","",ROUND($I54*Dropdowns!$K$6,2))</f>
        <v>45.6</v>
      </c>
      <c r="L54" s="20" t="n">
        <f aca="false">IF($I54="","",ROUND($I54*Dropdowns!$K$7,2))</f>
        <v>3895</v>
      </c>
      <c r="M54" s="15" t="str">
        <f aca="false">IFERROR(IF($B54="","",VLOOKUP($B54,Designs!$A$3:$AP$165,27,FALSE())),"")</f>
        <v/>
      </c>
      <c r="N54" s="16" t="str">
        <f aca="false">IFERROR(IF(OR($I54="",$M54="",$M54=0),"",($I54-$M54)/$I54),"")</f>
        <v/>
      </c>
      <c r="O54" s="13" t="n">
        <v>0</v>
      </c>
      <c r="P54" s="13" t="n">
        <v>0</v>
      </c>
      <c r="Q54" s="21" t="n">
        <f aca="false">IF($O54="","",$O54-IF($P54="",0,$P54))</f>
        <v>0</v>
      </c>
      <c r="R54" s="13" t="n">
        <v>2</v>
      </c>
      <c r="S54" s="21" t="str">
        <f aca="false">IF($O54="","",IF($Q54&lt;=$R54,"⚠ REORDER","OK"))</f>
        <v>⚠ REORDER</v>
      </c>
      <c r="T54" s="13"/>
      <c r="U54" s="13"/>
      <c r="V54" s="13" t="s">
        <v>378</v>
      </c>
      <c r="W54" s="12" t="s">
        <v>379</v>
      </c>
      <c r="X54" s="13"/>
      <c r="Y54" s="13"/>
      <c r="Z54" s="12" t="s">
        <v>88</v>
      </c>
      <c r="AA54" s="12" t="s">
        <v>88</v>
      </c>
      <c r="AB54" s="12" t="s">
        <v>88</v>
      </c>
      <c r="AC54" s="12" t="s">
        <v>88</v>
      </c>
      <c r="AD54" s="12" t="s">
        <v>87</v>
      </c>
      <c r="AE54" s="21" t="n">
        <f aca="false">IFERROR(SUMIFS(Transactions!$F:$F,Transactions!$C:$C,$A54,Transactions!$D:$D,"Sale"),0)</f>
        <v>0</v>
      </c>
      <c r="AF54" s="15" t="n">
        <f aca="false">IFERROR(SUMIFS(Transactions!$H:$H,Transactions!$C:$C,$A54,Transactions!$D:$D,"Sale"),0)</f>
        <v>0</v>
      </c>
      <c r="AG54" s="22" t="str">
        <f aca="false">IFERROR(IF(maxifs(Transactions!$B:$B,Transactions!$C:$C,$A54,Transactions!$D:$D,"Sale")=0,"",maxifs(Transactions!$B:$B,Transactions!$C:$C,$A54,Transactions!$D:$D,"Sale")),"")</f>
        <v/>
      </c>
      <c r="AH54" s="12"/>
    </row>
    <row r="55" customFormat="false" ht="18" hidden="false" customHeight="true" outlineLevel="0" collapsed="false">
      <c r="A55" s="12" t="s">
        <v>433</v>
      </c>
      <c r="B55" s="12" t="s">
        <v>121</v>
      </c>
      <c r="C55" s="12" t="s">
        <v>77</v>
      </c>
      <c r="D55" s="12" t="s">
        <v>78</v>
      </c>
      <c r="E55" s="12" t="s">
        <v>79</v>
      </c>
      <c r="F55" s="12" t="s">
        <v>122</v>
      </c>
      <c r="G55" s="12"/>
      <c r="H55" s="12" t="s">
        <v>381</v>
      </c>
      <c r="I55" s="14" t="n">
        <v>19000</v>
      </c>
      <c r="J55" s="18" t="n">
        <f aca="false">IF($I55="","",ROUND($I55*Dropdowns!$K$5,2))</f>
        <v>49.4</v>
      </c>
      <c r="K55" s="19" t="n">
        <f aca="false">IF($I55="","",ROUND($I55*Dropdowns!$K$6,2))</f>
        <v>45.6</v>
      </c>
      <c r="L55" s="20" t="n">
        <f aca="false">IF($I55="","",ROUND($I55*Dropdowns!$K$7,2))</f>
        <v>3895</v>
      </c>
      <c r="M55" s="15" t="str">
        <f aca="false">IFERROR(IF($B55="","",VLOOKUP($B55,Designs!$A$3:$AP$165,27,FALSE())),"")</f>
        <v/>
      </c>
      <c r="N55" s="16" t="str">
        <f aca="false">IFERROR(IF(OR($I55="",$M55="",$M55=0),"",($I55-$M55)/$I55),"")</f>
        <v/>
      </c>
      <c r="O55" s="13" t="n">
        <v>0</v>
      </c>
      <c r="P55" s="13" t="n">
        <v>0</v>
      </c>
      <c r="Q55" s="21" t="n">
        <f aca="false">IF($O55="","",$O55-IF($P55="",0,$P55))</f>
        <v>0</v>
      </c>
      <c r="R55" s="13" t="n">
        <v>2</v>
      </c>
      <c r="S55" s="21" t="str">
        <f aca="false">IF($O55="","",IF($Q55&lt;=$R55,"⚠ REORDER","OK"))</f>
        <v>⚠ REORDER</v>
      </c>
      <c r="T55" s="13"/>
      <c r="U55" s="13"/>
      <c r="V55" s="13" t="s">
        <v>378</v>
      </c>
      <c r="W55" s="12" t="s">
        <v>379</v>
      </c>
      <c r="X55" s="13"/>
      <c r="Y55" s="13"/>
      <c r="Z55" s="12" t="s">
        <v>88</v>
      </c>
      <c r="AA55" s="12" t="s">
        <v>88</v>
      </c>
      <c r="AB55" s="12" t="s">
        <v>88</v>
      </c>
      <c r="AC55" s="12" t="s">
        <v>88</v>
      </c>
      <c r="AD55" s="12" t="s">
        <v>87</v>
      </c>
      <c r="AE55" s="21" t="n">
        <f aca="false">IFERROR(SUMIFS(Transactions!$F:$F,Transactions!$C:$C,$A55,Transactions!$D:$D,"Sale"),0)</f>
        <v>0</v>
      </c>
      <c r="AF55" s="15" t="n">
        <f aca="false">IFERROR(SUMIFS(Transactions!$H:$H,Transactions!$C:$C,$A55,Transactions!$D:$D,"Sale"),0)</f>
        <v>0</v>
      </c>
      <c r="AG55" s="22" t="str">
        <f aca="false">IFERROR(IF(maxifs(Transactions!$B:$B,Transactions!$C:$C,$A55,Transactions!$D:$D,"Sale")=0,"",maxifs(Transactions!$B:$B,Transactions!$C:$C,$A55,Transactions!$D:$D,"Sale")),"")</f>
        <v/>
      </c>
      <c r="AH55" s="12"/>
    </row>
    <row r="56" customFormat="false" ht="18" hidden="false" customHeight="true" outlineLevel="0" collapsed="false">
      <c r="A56" s="12" t="s">
        <v>434</v>
      </c>
      <c r="B56" s="12" t="s">
        <v>121</v>
      </c>
      <c r="C56" s="12" t="s">
        <v>77</v>
      </c>
      <c r="D56" s="12" t="s">
        <v>78</v>
      </c>
      <c r="E56" s="12" t="s">
        <v>79</v>
      </c>
      <c r="F56" s="12" t="s">
        <v>122</v>
      </c>
      <c r="G56" s="12"/>
      <c r="H56" s="12" t="s">
        <v>383</v>
      </c>
      <c r="I56" s="14" t="n">
        <v>19000</v>
      </c>
      <c r="J56" s="18" t="n">
        <f aca="false">IF($I56="","",ROUND($I56*Dropdowns!$K$5,2))</f>
        <v>49.4</v>
      </c>
      <c r="K56" s="19" t="n">
        <f aca="false">IF($I56="","",ROUND($I56*Dropdowns!$K$6,2))</f>
        <v>45.6</v>
      </c>
      <c r="L56" s="20" t="n">
        <f aca="false">IF($I56="","",ROUND($I56*Dropdowns!$K$7,2))</f>
        <v>3895</v>
      </c>
      <c r="M56" s="15" t="str">
        <f aca="false">IFERROR(IF($B56="","",VLOOKUP($B56,Designs!$A$3:$AP$165,27,FALSE())),"")</f>
        <v/>
      </c>
      <c r="N56" s="16" t="str">
        <f aca="false">IFERROR(IF(OR($I56="",$M56="",$M56=0),"",($I56-$M56)/$I56),"")</f>
        <v/>
      </c>
      <c r="O56" s="13" t="n">
        <v>0</v>
      </c>
      <c r="P56" s="13" t="n">
        <v>0</v>
      </c>
      <c r="Q56" s="21" t="n">
        <f aca="false">IF($O56="","",$O56-IF($P56="",0,$P56))</f>
        <v>0</v>
      </c>
      <c r="R56" s="13" t="n">
        <v>2</v>
      </c>
      <c r="S56" s="21" t="str">
        <f aca="false">IF($O56="","",IF($Q56&lt;=$R56,"⚠ REORDER","OK"))</f>
        <v>⚠ REORDER</v>
      </c>
      <c r="T56" s="13"/>
      <c r="U56" s="13"/>
      <c r="V56" s="13" t="s">
        <v>378</v>
      </c>
      <c r="W56" s="12" t="s">
        <v>379</v>
      </c>
      <c r="X56" s="13"/>
      <c r="Y56" s="13"/>
      <c r="Z56" s="12" t="s">
        <v>88</v>
      </c>
      <c r="AA56" s="12" t="s">
        <v>88</v>
      </c>
      <c r="AB56" s="12" t="s">
        <v>88</v>
      </c>
      <c r="AC56" s="12" t="s">
        <v>88</v>
      </c>
      <c r="AD56" s="12" t="s">
        <v>87</v>
      </c>
      <c r="AE56" s="21" t="n">
        <f aca="false">IFERROR(SUMIFS(Transactions!$F:$F,Transactions!$C:$C,$A56,Transactions!$D:$D,"Sale"),0)</f>
        <v>0</v>
      </c>
      <c r="AF56" s="15" t="n">
        <f aca="false">IFERROR(SUMIFS(Transactions!$H:$H,Transactions!$C:$C,$A56,Transactions!$D:$D,"Sale"),0)</f>
        <v>0</v>
      </c>
      <c r="AG56" s="22" t="str">
        <f aca="false">IFERROR(IF(maxifs(Transactions!$B:$B,Transactions!$C:$C,$A56,Transactions!$D:$D,"Sale")=0,"",maxifs(Transactions!$B:$B,Transactions!$C:$C,$A56,Transactions!$D:$D,"Sale")),"")</f>
        <v/>
      </c>
      <c r="AH56" s="12"/>
    </row>
    <row r="57" customFormat="false" ht="18" hidden="false" customHeight="true" outlineLevel="0" collapsed="false">
      <c r="A57" s="12" t="s">
        <v>435</v>
      </c>
      <c r="B57" s="12" t="s">
        <v>123</v>
      </c>
      <c r="C57" s="12" t="s">
        <v>77</v>
      </c>
      <c r="D57" s="12" t="s">
        <v>78</v>
      </c>
      <c r="E57" s="12" t="s">
        <v>79</v>
      </c>
      <c r="F57" s="12" t="s">
        <v>124</v>
      </c>
      <c r="G57" s="12"/>
      <c r="H57" s="12" t="s">
        <v>377</v>
      </c>
      <c r="I57" s="14" t="n">
        <v>19000</v>
      </c>
      <c r="J57" s="18" t="n">
        <f aca="false">IF($I57="","",ROUND($I57*Dropdowns!$K$5,2))</f>
        <v>49.4</v>
      </c>
      <c r="K57" s="19" t="n">
        <f aca="false">IF($I57="","",ROUND($I57*Dropdowns!$K$6,2))</f>
        <v>45.6</v>
      </c>
      <c r="L57" s="20" t="n">
        <f aca="false">IF($I57="","",ROUND($I57*Dropdowns!$K$7,2))</f>
        <v>3895</v>
      </c>
      <c r="M57" s="15" t="str">
        <f aca="false">IFERROR(IF($B57="","",VLOOKUP($B57,Designs!$A$3:$AP$165,27,FALSE())),"")</f>
        <v/>
      </c>
      <c r="N57" s="16" t="str">
        <f aca="false">IFERROR(IF(OR($I57="",$M57="",$M57=0),"",($I57-$M57)/$I57),"")</f>
        <v/>
      </c>
      <c r="O57" s="13" t="n">
        <v>0</v>
      </c>
      <c r="P57" s="13" t="n">
        <v>0</v>
      </c>
      <c r="Q57" s="21" t="n">
        <f aca="false">IF($O57="","",$O57-IF($P57="",0,$P57))</f>
        <v>0</v>
      </c>
      <c r="R57" s="13" t="n">
        <v>2</v>
      </c>
      <c r="S57" s="21" t="str">
        <f aca="false">IF($O57="","",IF($Q57&lt;=$R57,"⚠ REORDER","OK"))</f>
        <v>⚠ REORDER</v>
      </c>
      <c r="T57" s="13"/>
      <c r="U57" s="13"/>
      <c r="V57" s="13" t="s">
        <v>378</v>
      </c>
      <c r="W57" s="12" t="s">
        <v>379</v>
      </c>
      <c r="X57" s="13"/>
      <c r="Y57" s="13"/>
      <c r="Z57" s="12" t="s">
        <v>88</v>
      </c>
      <c r="AA57" s="12" t="s">
        <v>88</v>
      </c>
      <c r="AB57" s="12" t="s">
        <v>88</v>
      </c>
      <c r="AC57" s="12" t="s">
        <v>88</v>
      </c>
      <c r="AD57" s="12" t="s">
        <v>87</v>
      </c>
      <c r="AE57" s="21" t="n">
        <f aca="false">IFERROR(SUMIFS(Transactions!$F:$F,Transactions!$C:$C,$A57,Transactions!$D:$D,"Sale"),0)</f>
        <v>0</v>
      </c>
      <c r="AF57" s="15" t="n">
        <f aca="false">IFERROR(SUMIFS(Transactions!$H:$H,Transactions!$C:$C,$A57,Transactions!$D:$D,"Sale"),0)</f>
        <v>0</v>
      </c>
      <c r="AG57" s="22" t="str">
        <f aca="false">IFERROR(IF(maxifs(Transactions!$B:$B,Transactions!$C:$C,$A57,Transactions!$D:$D,"Sale")=0,"",maxifs(Transactions!$B:$B,Transactions!$C:$C,$A57,Transactions!$D:$D,"Sale")),"")</f>
        <v/>
      </c>
      <c r="AH57" s="12"/>
    </row>
    <row r="58" customFormat="false" ht="18" hidden="false" customHeight="true" outlineLevel="0" collapsed="false">
      <c r="A58" s="12" t="s">
        <v>436</v>
      </c>
      <c r="B58" s="12" t="s">
        <v>123</v>
      </c>
      <c r="C58" s="12" t="s">
        <v>77</v>
      </c>
      <c r="D58" s="12" t="s">
        <v>78</v>
      </c>
      <c r="E58" s="12" t="s">
        <v>79</v>
      </c>
      <c r="F58" s="12" t="s">
        <v>124</v>
      </c>
      <c r="G58" s="12"/>
      <c r="H58" s="12" t="s">
        <v>381</v>
      </c>
      <c r="I58" s="14" t="n">
        <v>19000</v>
      </c>
      <c r="J58" s="18" t="n">
        <f aca="false">IF($I58="","",ROUND($I58*Dropdowns!$K$5,2))</f>
        <v>49.4</v>
      </c>
      <c r="K58" s="19" t="n">
        <f aca="false">IF($I58="","",ROUND($I58*Dropdowns!$K$6,2))</f>
        <v>45.6</v>
      </c>
      <c r="L58" s="20" t="n">
        <f aca="false">IF($I58="","",ROUND($I58*Dropdowns!$K$7,2))</f>
        <v>3895</v>
      </c>
      <c r="M58" s="15" t="str">
        <f aca="false">IFERROR(IF($B58="","",VLOOKUP($B58,Designs!$A$3:$AP$165,27,FALSE())),"")</f>
        <v/>
      </c>
      <c r="N58" s="16" t="str">
        <f aca="false">IFERROR(IF(OR($I58="",$M58="",$M58=0),"",($I58-$M58)/$I58),"")</f>
        <v/>
      </c>
      <c r="O58" s="13" t="n">
        <v>0</v>
      </c>
      <c r="P58" s="13" t="n">
        <v>0</v>
      </c>
      <c r="Q58" s="21" t="n">
        <f aca="false">IF($O58="","",$O58-IF($P58="",0,$P58))</f>
        <v>0</v>
      </c>
      <c r="R58" s="13" t="n">
        <v>2</v>
      </c>
      <c r="S58" s="21" t="str">
        <f aca="false">IF($O58="","",IF($Q58&lt;=$R58,"⚠ REORDER","OK"))</f>
        <v>⚠ REORDER</v>
      </c>
      <c r="T58" s="13"/>
      <c r="U58" s="13"/>
      <c r="V58" s="13" t="s">
        <v>378</v>
      </c>
      <c r="W58" s="12" t="s">
        <v>379</v>
      </c>
      <c r="X58" s="13"/>
      <c r="Y58" s="13"/>
      <c r="Z58" s="12" t="s">
        <v>88</v>
      </c>
      <c r="AA58" s="12" t="s">
        <v>88</v>
      </c>
      <c r="AB58" s="12" t="s">
        <v>88</v>
      </c>
      <c r="AC58" s="12" t="s">
        <v>88</v>
      </c>
      <c r="AD58" s="12" t="s">
        <v>87</v>
      </c>
      <c r="AE58" s="21" t="n">
        <f aca="false">IFERROR(SUMIFS(Transactions!$F:$F,Transactions!$C:$C,$A58,Transactions!$D:$D,"Sale"),0)</f>
        <v>0</v>
      </c>
      <c r="AF58" s="15" t="n">
        <f aca="false">IFERROR(SUMIFS(Transactions!$H:$H,Transactions!$C:$C,$A58,Transactions!$D:$D,"Sale"),0)</f>
        <v>0</v>
      </c>
      <c r="AG58" s="22" t="str">
        <f aca="false">IFERROR(IF(maxifs(Transactions!$B:$B,Transactions!$C:$C,$A58,Transactions!$D:$D,"Sale")=0,"",maxifs(Transactions!$B:$B,Transactions!$C:$C,$A58,Transactions!$D:$D,"Sale")),"")</f>
        <v/>
      </c>
      <c r="AH58" s="12"/>
    </row>
    <row r="59" customFormat="false" ht="18" hidden="false" customHeight="true" outlineLevel="0" collapsed="false">
      <c r="A59" s="12" t="s">
        <v>437</v>
      </c>
      <c r="B59" s="12" t="s">
        <v>123</v>
      </c>
      <c r="C59" s="12" t="s">
        <v>77</v>
      </c>
      <c r="D59" s="12" t="s">
        <v>78</v>
      </c>
      <c r="E59" s="12" t="s">
        <v>79</v>
      </c>
      <c r="F59" s="12" t="s">
        <v>124</v>
      </c>
      <c r="G59" s="12"/>
      <c r="H59" s="12" t="s">
        <v>383</v>
      </c>
      <c r="I59" s="14" t="n">
        <v>19000</v>
      </c>
      <c r="J59" s="18" t="n">
        <f aca="false">IF($I59="","",ROUND($I59*Dropdowns!$K$5,2))</f>
        <v>49.4</v>
      </c>
      <c r="K59" s="19" t="n">
        <f aca="false">IF($I59="","",ROUND($I59*Dropdowns!$K$6,2))</f>
        <v>45.6</v>
      </c>
      <c r="L59" s="20" t="n">
        <f aca="false">IF($I59="","",ROUND($I59*Dropdowns!$K$7,2))</f>
        <v>3895</v>
      </c>
      <c r="M59" s="15" t="str">
        <f aca="false">IFERROR(IF($B59="","",VLOOKUP($B59,Designs!$A$3:$AP$165,27,FALSE())),"")</f>
        <v/>
      </c>
      <c r="N59" s="16" t="str">
        <f aca="false">IFERROR(IF(OR($I59="",$M59="",$M59=0),"",($I59-$M59)/$I59),"")</f>
        <v/>
      </c>
      <c r="O59" s="13" t="n">
        <v>0</v>
      </c>
      <c r="P59" s="13" t="n">
        <v>0</v>
      </c>
      <c r="Q59" s="21" t="n">
        <f aca="false">IF($O59="","",$O59-IF($P59="",0,$P59))</f>
        <v>0</v>
      </c>
      <c r="R59" s="13" t="n">
        <v>2</v>
      </c>
      <c r="S59" s="21" t="str">
        <f aca="false">IF($O59="","",IF($Q59&lt;=$R59,"⚠ REORDER","OK"))</f>
        <v>⚠ REORDER</v>
      </c>
      <c r="T59" s="13"/>
      <c r="U59" s="13"/>
      <c r="V59" s="13" t="s">
        <v>378</v>
      </c>
      <c r="W59" s="12" t="s">
        <v>379</v>
      </c>
      <c r="X59" s="13"/>
      <c r="Y59" s="13"/>
      <c r="Z59" s="12" t="s">
        <v>88</v>
      </c>
      <c r="AA59" s="12" t="s">
        <v>88</v>
      </c>
      <c r="AB59" s="12" t="s">
        <v>88</v>
      </c>
      <c r="AC59" s="12" t="s">
        <v>88</v>
      </c>
      <c r="AD59" s="12" t="s">
        <v>87</v>
      </c>
      <c r="AE59" s="21" t="n">
        <f aca="false">IFERROR(SUMIFS(Transactions!$F:$F,Transactions!$C:$C,$A59,Transactions!$D:$D,"Sale"),0)</f>
        <v>0</v>
      </c>
      <c r="AF59" s="15" t="n">
        <f aca="false">IFERROR(SUMIFS(Transactions!$H:$H,Transactions!$C:$C,$A59,Transactions!$D:$D,"Sale"),0)</f>
        <v>0</v>
      </c>
      <c r="AG59" s="22" t="str">
        <f aca="false">IFERROR(IF(maxifs(Transactions!$B:$B,Transactions!$C:$C,$A59,Transactions!$D:$D,"Sale")=0,"",maxifs(Transactions!$B:$B,Transactions!$C:$C,$A59,Transactions!$D:$D,"Sale")),"")</f>
        <v/>
      </c>
      <c r="AH59" s="12"/>
    </row>
    <row r="60" customFormat="false" ht="18" hidden="false" customHeight="true" outlineLevel="0" collapsed="false">
      <c r="A60" s="12" t="s">
        <v>438</v>
      </c>
      <c r="B60" s="12" t="s">
        <v>125</v>
      </c>
      <c r="C60" s="12" t="s">
        <v>77</v>
      </c>
      <c r="D60" s="12" t="s">
        <v>78</v>
      </c>
      <c r="E60" s="12" t="s">
        <v>79</v>
      </c>
      <c r="F60" s="12" t="s">
        <v>126</v>
      </c>
      <c r="G60" s="12"/>
      <c r="H60" s="12" t="s">
        <v>377</v>
      </c>
      <c r="I60" s="14" t="n">
        <v>19000</v>
      </c>
      <c r="J60" s="18" t="n">
        <f aca="false">IF($I60="","",ROUND($I60*Dropdowns!$K$5,2))</f>
        <v>49.4</v>
      </c>
      <c r="K60" s="19" t="n">
        <f aca="false">IF($I60="","",ROUND($I60*Dropdowns!$K$6,2))</f>
        <v>45.6</v>
      </c>
      <c r="L60" s="20" t="n">
        <f aca="false">IF($I60="","",ROUND($I60*Dropdowns!$K$7,2))</f>
        <v>3895</v>
      </c>
      <c r="M60" s="15" t="str">
        <f aca="false">IFERROR(IF($B60="","",VLOOKUP($B60,Designs!$A$3:$AP$165,27,FALSE())),"")</f>
        <v/>
      </c>
      <c r="N60" s="16" t="str">
        <f aca="false">IFERROR(IF(OR($I60="",$M60="",$M60=0),"",($I60-$M60)/$I60),"")</f>
        <v/>
      </c>
      <c r="O60" s="13" t="n">
        <v>0</v>
      </c>
      <c r="P60" s="13" t="n">
        <v>0</v>
      </c>
      <c r="Q60" s="21" t="n">
        <f aca="false">IF($O60="","",$O60-IF($P60="",0,$P60))</f>
        <v>0</v>
      </c>
      <c r="R60" s="13" t="n">
        <v>2</v>
      </c>
      <c r="S60" s="21" t="str">
        <f aca="false">IF($O60="","",IF($Q60&lt;=$R60,"⚠ REORDER","OK"))</f>
        <v>⚠ REORDER</v>
      </c>
      <c r="T60" s="13"/>
      <c r="U60" s="13"/>
      <c r="V60" s="13" t="s">
        <v>378</v>
      </c>
      <c r="W60" s="12" t="s">
        <v>379</v>
      </c>
      <c r="X60" s="13"/>
      <c r="Y60" s="13"/>
      <c r="Z60" s="12" t="s">
        <v>88</v>
      </c>
      <c r="AA60" s="12" t="s">
        <v>88</v>
      </c>
      <c r="AB60" s="12" t="s">
        <v>88</v>
      </c>
      <c r="AC60" s="12" t="s">
        <v>88</v>
      </c>
      <c r="AD60" s="12" t="s">
        <v>87</v>
      </c>
      <c r="AE60" s="21" t="n">
        <f aca="false">IFERROR(SUMIFS(Transactions!$F:$F,Transactions!$C:$C,$A60,Transactions!$D:$D,"Sale"),0)</f>
        <v>0</v>
      </c>
      <c r="AF60" s="15" t="n">
        <f aca="false">IFERROR(SUMIFS(Transactions!$H:$H,Transactions!$C:$C,$A60,Transactions!$D:$D,"Sale"),0)</f>
        <v>0</v>
      </c>
      <c r="AG60" s="22" t="str">
        <f aca="false">IFERROR(IF(maxifs(Transactions!$B:$B,Transactions!$C:$C,$A60,Transactions!$D:$D,"Sale")=0,"",maxifs(Transactions!$B:$B,Transactions!$C:$C,$A60,Transactions!$D:$D,"Sale")),"")</f>
        <v/>
      </c>
      <c r="AH60" s="12"/>
    </row>
    <row r="61" customFormat="false" ht="18" hidden="false" customHeight="true" outlineLevel="0" collapsed="false">
      <c r="A61" s="12" t="s">
        <v>439</v>
      </c>
      <c r="B61" s="12" t="s">
        <v>125</v>
      </c>
      <c r="C61" s="12" t="s">
        <v>77</v>
      </c>
      <c r="D61" s="12" t="s">
        <v>78</v>
      </c>
      <c r="E61" s="12" t="s">
        <v>79</v>
      </c>
      <c r="F61" s="12" t="s">
        <v>126</v>
      </c>
      <c r="G61" s="12"/>
      <c r="H61" s="12" t="s">
        <v>381</v>
      </c>
      <c r="I61" s="14" t="n">
        <v>19000</v>
      </c>
      <c r="J61" s="18" t="n">
        <f aca="false">IF($I61="","",ROUND($I61*Dropdowns!$K$5,2))</f>
        <v>49.4</v>
      </c>
      <c r="K61" s="19" t="n">
        <f aca="false">IF($I61="","",ROUND($I61*Dropdowns!$K$6,2))</f>
        <v>45.6</v>
      </c>
      <c r="L61" s="20" t="n">
        <f aca="false">IF($I61="","",ROUND($I61*Dropdowns!$K$7,2))</f>
        <v>3895</v>
      </c>
      <c r="M61" s="15" t="str">
        <f aca="false">IFERROR(IF($B61="","",VLOOKUP($B61,Designs!$A$3:$AP$165,27,FALSE())),"")</f>
        <v/>
      </c>
      <c r="N61" s="16" t="str">
        <f aca="false">IFERROR(IF(OR($I61="",$M61="",$M61=0),"",($I61-$M61)/$I61),"")</f>
        <v/>
      </c>
      <c r="O61" s="13" t="n">
        <v>0</v>
      </c>
      <c r="P61" s="13" t="n">
        <v>0</v>
      </c>
      <c r="Q61" s="21" t="n">
        <f aca="false">IF($O61="","",$O61-IF($P61="",0,$P61))</f>
        <v>0</v>
      </c>
      <c r="R61" s="13" t="n">
        <v>2</v>
      </c>
      <c r="S61" s="21" t="str">
        <f aca="false">IF($O61="","",IF($Q61&lt;=$R61,"⚠ REORDER","OK"))</f>
        <v>⚠ REORDER</v>
      </c>
      <c r="T61" s="13"/>
      <c r="U61" s="13"/>
      <c r="V61" s="13" t="s">
        <v>378</v>
      </c>
      <c r="W61" s="12" t="s">
        <v>379</v>
      </c>
      <c r="X61" s="13"/>
      <c r="Y61" s="13"/>
      <c r="Z61" s="12" t="s">
        <v>88</v>
      </c>
      <c r="AA61" s="12" t="s">
        <v>88</v>
      </c>
      <c r="AB61" s="12" t="s">
        <v>88</v>
      </c>
      <c r="AC61" s="12" t="s">
        <v>88</v>
      </c>
      <c r="AD61" s="12" t="s">
        <v>87</v>
      </c>
      <c r="AE61" s="21" t="n">
        <f aca="false">IFERROR(SUMIFS(Transactions!$F:$F,Transactions!$C:$C,$A61,Transactions!$D:$D,"Sale"),0)</f>
        <v>0</v>
      </c>
      <c r="AF61" s="15" t="n">
        <f aca="false">IFERROR(SUMIFS(Transactions!$H:$H,Transactions!$C:$C,$A61,Transactions!$D:$D,"Sale"),0)</f>
        <v>0</v>
      </c>
      <c r="AG61" s="22" t="str">
        <f aca="false">IFERROR(IF(maxifs(Transactions!$B:$B,Transactions!$C:$C,$A61,Transactions!$D:$D,"Sale")=0,"",maxifs(Transactions!$B:$B,Transactions!$C:$C,$A61,Transactions!$D:$D,"Sale")),"")</f>
        <v/>
      </c>
      <c r="AH61" s="12"/>
    </row>
    <row r="62" customFormat="false" ht="18" hidden="false" customHeight="true" outlineLevel="0" collapsed="false">
      <c r="A62" s="12" t="s">
        <v>440</v>
      </c>
      <c r="B62" s="12" t="s">
        <v>125</v>
      </c>
      <c r="C62" s="12" t="s">
        <v>77</v>
      </c>
      <c r="D62" s="12" t="s">
        <v>78</v>
      </c>
      <c r="E62" s="12" t="s">
        <v>79</v>
      </c>
      <c r="F62" s="12" t="s">
        <v>126</v>
      </c>
      <c r="G62" s="12"/>
      <c r="H62" s="12" t="s">
        <v>383</v>
      </c>
      <c r="I62" s="14" t="n">
        <v>19000</v>
      </c>
      <c r="J62" s="18" t="n">
        <f aca="false">IF($I62="","",ROUND($I62*Dropdowns!$K$5,2))</f>
        <v>49.4</v>
      </c>
      <c r="K62" s="19" t="n">
        <f aca="false">IF($I62="","",ROUND($I62*Dropdowns!$K$6,2))</f>
        <v>45.6</v>
      </c>
      <c r="L62" s="20" t="n">
        <f aca="false">IF($I62="","",ROUND($I62*Dropdowns!$K$7,2))</f>
        <v>3895</v>
      </c>
      <c r="M62" s="15" t="str">
        <f aca="false">IFERROR(IF($B62="","",VLOOKUP($B62,Designs!$A$3:$AP$165,27,FALSE())),"")</f>
        <v/>
      </c>
      <c r="N62" s="16" t="str">
        <f aca="false">IFERROR(IF(OR($I62="",$M62="",$M62=0),"",($I62-$M62)/$I62),"")</f>
        <v/>
      </c>
      <c r="O62" s="13" t="n">
        <v>0</v>
      </c>
      <c r="P62" s="13" t="n">
        <v>0</v>
      </c>
      <c r="Q62" s="21" t="n">
        <f aca="false">IF($O62="","",$O62-IF($P62="",0,$P62))</f>
        <v>0</v>
      </c>
      <c r="R62" s="13" t="n">
        <v>2</v>
      </c>
      <c r="S62" s="21" t="str">
        <f aca="false">IF($O62="","",IF($Q62&lt;=$R62,"⚠ REORDER","OK"))</f>
        <v>⚠ REORDER</v>
      </c>
      <c r="T62" s="13"/>
      <c r="U62" s="13"/>
      <c r="V62" s="13" t="s">
        <v>378</v>
      </c>
      <c r="W62" s="12" t="s">
        <v>379</v>
      </c>
      <c r="X62" s="13"/>
      <c r="Y62" s="13"/>
      <c r="Z62" s="12" t="s">
        <v>88</v>
      </c>
      <c r="AA62" s="12" t="s">
        <v>88</v>
      </c>
      <c r="AB62" s="12" t="s">
        <v>88</v>
      </c>
      <c r="AC62" s="12" t="s">
        <v>88</v>
      </c>
      <c r="AD62" s="12" t="s">
        <v>87</v>
      </c>
      <c r="AE62" s="21" t="n">
        <f aca="false">IFERROR(SUMIFS(Transactions!$F:$F,Transactions!$C:$C,$A62,Transactions!$D:$D,"Sale"),0)</f>
        <v>0</v>
      </c>
      <c r="AF62" s="15" t="n">
        <f aca="false">IFERROR(SUMIFS(Transactions!$H:$H,Transactions!$C:$C,$A62,Transactions!$D:$D,"Sale"),0)</f>
        <v>0</v>
      </c>
      <c r="AG62" s="22" t="str">
        <f aca="false">IFERROR(IF(maxifs(Transactions!$B:$B,Transactions!$C:$C,$A62,Transactions!$D:$D,"Sale")=0,"",maxifs(Transactions!$B:$B,Transactions!$C:$C,$A62,Transactions!$D:$D,"Sale")),"")</f>
        <v/>
      </c>
      <c r="AH62" s="12"/>
    </row>
    <row r="63" customFormat="false" ht="18" hidden="false" customHeight="true" outlineLevel="0" collapsed="false">
      <c r="A63" s="12" t="s">
        <v>441</v>
      </c>
      <c r="B63" s="12" t="s">
        <v>127</v>
      </c>
      <c r="C63" s="12" t="s">
        <v>77</v>
      </c>
      <c r="D63" s="12" t="s">
        <v>78</v>
      </c>
      <c r="E63" s="12" t="s">
        <v>79</v>
      </c>
      <c r="F63" s="12" t="s">
        <v>128</v>
      </c>
      <c r="G63" s="12"/>
      <c r="H63" s="12" t="s">
        <v>377</v>
      </c>
      <c r="I63" s="14" t="n">
        <v>19000</v>
      </c>
      <c r="J63" s="18" t="n">
        <f aca="false">IF($I63="","",ROUND($I63*Dropdowns!$K$5,2))</f>
        <v>49.4</v>
      </c>
      <c r="K63" s="19" t="n">
        <f aca="false">IF($I63="","",ROUND($I63*Dropdowns!$K$6,2))</f>
        <v>45.6</v>
      </c>
      <c r="L63" s="20" t="n">
        <f aca="false">IF($I63="","",ROUND($I63*Dropdowns!$K$7,2))</f>
        <v>3895</v>
      </c>
      <c r="M63" s="15" t="str">
        <f aca="false">IFERROR(IF($B63="","",VLOOKUP($B63,Designs!$A$3:$AP$165,27,FALSE())),"")</f>
        <v/>
      </c>
      <c r="N63" s="16" t="str">
        <f aca="false">IFERROR(IF(OR($I63="",$M63="",$M63=0),"",($I63-$M63)/$I63),"")</f>
        <v/>
      </c>
      <c r="O63" s="13" t="n">
        <v>0</v>
      </c>
      <c r="P63" s="13" t="n">
        <v>0</v>
      </c>
      <c r="Q63" s="21" t="n">
        <f aca="false">IF($O63="","",$O63-IF($P63="",0,$P63))</f>
        <v>0</v>
      </c>
      <c r="R63" s="13" t="n">
        <v>2</v>
      </c>
      <c r="S63" s="21" t="str">
        <f aca="false">IF($O63="","",IF($Q63&lt;=$R63,"⚠ REORDER","OK"))</f>
        <v>⚠ REORDER</v>
      </c>
      <c r="T63" s="13"/>
      <c r="U63" s="13"/>
      <c r="V63" s="13" t="s">
        <v>378</v>
      </c>
      <c r="W63" s="12" t="s">
        <v>379</v>
      </c>
      <c r="X63" s="13"/>
      <c r="Y63" s="13"/>
      <c r="Z63" s="12" t="s">
        <v>88</v>
      </c>
      <c r="AA63" s="12" t="s">
        <v>88</v>
      </c>
      <c r="AB63" s="12" t="s">
        <v>88</v>
      </c>
      <c r="AC63" s="12" t="s">
        <v>88</v>
      </c>
      <c r="AD63" s="12" t="s">
        <v>87</v>
      </c>
      <c r="AE63" s="21" t="n">
        <f aca="false">IFERROR(SUMIFS(Transactions!$F:$F,Transactions!$C:$C,$A63,Transactions!$D:$D,"Sale"),0)</f>
        <v>0</v>
      </c>
      <c r="AF63" s="15" t="n">
        <f aca="false">IFERROR(SUMIFS(Transactions!$H:$H,Transactions!$C:$C,$A63,Transactions!$D:$D,"Sale"),0)</f>
        <v>0</v>
      </c>
      <c r="AG63" s="22" t="str">
        <f aca="false">IFERROR(IF(maxifs(Transactions!$B:$B,Transactions!$C:$C,$A63,Transactions!$D:$D,"Sale")=0,"",maxifs(Transactions!$B:$B,Transactions!$C:$C,$A63,Transactions!$D:$D,"Sale")),"")</f>
        <v/>
      </c>
      <c r="AH63" s="12"/>
    </row>
    <row r="64" customFormat="false" ht="18" hidden="false" customHeight="true" outlineLevel="0" collapsed="false">
      <c r="A64" s="12" t="s">
        <v>442</v>
      </c>
      <c r="B64" s="12" t="s">
        <v>127</v>
      </c>
      <c r="C64" s="12" t="s">
        <v>77</v>
      </c>
      <c r="D64" s="12" t="s">
        <v>78</v>
      </c>
      <c r="E64" s="12" t="s">
        <v>79</v>
      </c>
      <c r="F64" s="12" t="s">
        <v>128</v>
      </c>
      <c r="G64" s="12"/>
      <c r="H64" s="12" t="s">
        <v>381</v>
      </c>
      <c r="I64" s="14" t="n">
        <v>19000</v>
      </c>
      <c r="J64" s="18" t="n">
        <f aca="false">IF($I64="","",ROUND($I64*Dropdowns!$K$5,2))</f>
        <v>49.4</v>
      </c>
      <c r="K64" s="19" t="n">
        <f aca="false">IF($I64="","",ROUND($I64*Dropdowns!$K$6,2))</f>
        <v>45.6</v>
      </c>
      <c r="L64" s="20" t="n">
        <f aca="false">IF($I64="","",ROUND($I64*Dropdowns!$K$7,2))</f>
        <v>3895</v>
      </c>
      <c r="M64" s="15" t="str">
        <f aca="false">IFERROR(IF($B64="","",VLOOKUP($B64,Designs!$A$3:$AP$165,27,FALSE())),"")</f>
        <v/>
      </c>
      <c r="N64" s="16" t="str">
        <f aca="false">IFERROR(IF(OR($I64="",$M64="",$M64=0),"",($I64-$M64)/$I64),"")</f>
        <v/>
      </c>
      <c r="O64" s="13" t="n">
        <v>0</v>
      </c>
      <c r="P64" s="13" t="n">
        <v>0</v>
      </c>
      <c r="Q64" s="21" t="n">
        <f aca="false">IF($O64="","",$O64-IF($P64="",0,$P64))</f>
        <v>0</v>
      </c>
      <c r="R64" s="13" t="n">
        <v>2</v>
      </c>
      <c r="S64" s="21" t="str">
        <f aca="false">IF($O64="","",IF($Q64&lt;=$R64,"⚠ REORDER","OK"))</f>
        <v>⚠ REORDER</v>
      </c>
      <c r="T64" s="13"/>
      <c r="U64" s="13"/>
      <c r="V64" s="13" t="s">
        <v>378</v>
      </c>
      <c r="W64" s="12" t="s">
        <v>379</v>
      </c>
      <c r="X64" s="13"/>
      <c r="Y64" s="13"/>
      <c r="Z64" s="12" t="s">
        <v>88</v>
      </c>
      <c r="AA64" s="12" t="s">
        <v>88</v>
      </c>
      <c r="AB64" s="12" t="s">
        <v>88</v>
      </c>
      <c r="AC64" s="12" t="s">
        <v>88</v>
      </c>
      <c r="AD64" s="12" t="s">
        <v>87</v>
      </c>
      <c r="AE64" s="21" t="n">
        <f aca="false">IFERROR(SUMIFS(Transactions!$F:$F,Transactions!$C:$C,$A64,Transactions!$D:$D,"Sale"),0)</f>
        <v>0</v>
      </c>
      <c r="AF64" s="15" t="n">
        <f aca="false">IFERROR(SUMIFS(Transactions!$H:$H,Transactions!$C:$C,$A64,Transactions!$D:$D,"Sale"),0)</f>
        <v>0</v>
      </c>
      <c r="AG64" s="22" t="str">
        <f aca="false">IFERROR(IF(maxifs(Transactions!$B:$B,Transactions!$C:$C,$A64,Transactions!$D:$D,"Sale")=0,"",maxifs(Transactions!$B:$B,Transactions!$C:$C,$A64,Transactions!$D:$D,"Sale")),"")</f>
        <v/>
      </c>
      <c r="AH64" s="12"/>
    </row>
    <row r="65" customFormat="false" ht="18" hidden="false" customHeight="true" outlineLevel="0" collapsed="false">
      <c r="A65" s="12" t="s">
        <v>443</v>
      </c>
      <c r="B65" s="12" t="s">
        <v>127</v>
      </c>
      <c r="C65" s="12" t="s">
        <v>77</v>
      </c>
      <c r="D65" s="12" t="s">
        <v>78</v>
      </c>
      <c r="E65" s="12" t="s">
        <v>79</v>
      </c>
      <c r="F65" s="12" t="s">
        <v>128</v>
      </c>
      <c r="G65" s="12"/>
      <c r="H65" s="12" t="s">
        <v>383</v>
      </c>
      <c r="I65" s="14" t="n">
        <v>19000</v>
      </c>
      <c r="J65" s="18" t="n">
        <f aca="false">IF($I65="","",ROUND($I65*Dropdowns!$K$5,2))</f>
        <v>49.4</v>
      </c>
      <c r="K65" s="19" t="n">
        <f aca="false">IF($I65="","",ROUND($I65*Dropdowns!$K$6,2))</f>
        <v>45.6</v>
      </c>
      <c r="L65" s="20" t="n">
        <f aca="false">IF($I65="","",ROUND($I65*Dropdowns!$K$7,2))</f>
        <v>3895</v>
      </c>
      <c r="M65" s="15" t="str">
        <f aca="false">IFERROR(IF($B65="","",VLOOKUP($B65,Designs!$A$3:$AP$165,27,FALSE())),"")</f>
        <v/>
      </c>
      <c r="N65" s="16" t="str">
        <f aca="false">IFERROR(IF(OR($I65="",$M65="",$M65=0),"",($I65-$M65)/$I65),"")</f>
        <v/>
      </c>
      <c r="O65" s="13" t="n">
        <v>0</v>
      </c>
      <c r="P65" s="13" t="n">
        <v>0</v>
      </c>
      <c r="Q65" s="21" t="n">
        <f aca="false">IF($O65="","",$O65-IF($P65="",0,$P65))</f>
        <v>0</v>
      </c>
      <c r="R65" s="13" t="n">
        <v>2</v>
      </c>
      <c r="S65" s="21" t="str">
        <f aca="false">IF($O65="","",IF($Q65&lt;=$R65,"⚠ REORDER","OK"))</f>
        <v>⚠ REORDER</v>
      </c>
      <c r="T65" s="13"/>
      <c r="U65" s="13"/>
      <c r="V65" s="13" t="s">
        <v>378</v>
      </c>
      <c r="W65" s="12" t="s">
        <v>379</v>
      </c>
      <c r="X65" s="13"/>
      <c r="Y65" s="13"/>
      <c r="Z65" s="12" t="s">
        <v>88</v>
      </c>
      <c r="AA65" s="12" t="s">
        <v>88</v>
      </c>
      <c r="AB65" s="12" t="s">
        <v>88</v>
      </c>
      <c r="AC65" s="12" t="s">
        <v>88</v>
      </c>
      <c r="AD65" s="12" t="s">
        <v>87</v>
      </c>
      <c r="AE65" s="21" t="n">
        <f aca="false">IFERROR(SUMIFS(Transactions!$F:$F,Transactions!$C:$C,$A65,Transactions!$D:$D,"Sale"),0)</f>
        <v>0</v>
      </c>
      <c r="AF65" s="15" t="n">
        <f aca="false">IFERROR(SUMIFS(Transactions!$H:$H,Transactions!$C:$C,$A65,Transactions!$D:$D,"Sale"),0)</f>
        <v>0</v>
      </c>
      <c r="AG65" s="22" t="str">
        <f aca="false">IFERROR(IF(maxifs(Transactions!$B:$B,Transactions!$C:$C,$A65,Transactions!$D:$D,"Sale")=0,"",maxifs(Transactions!$B:$B,Transactions!$C:$C,$A65,Transactions!$D:$D,"Sale")),"")</f>
        <v/>
      </c>
      <c r="AH65" s="12"/>
    </row>
    <row r="66" customFormat="false" ht="18" hidden="false" customHeight="true" outlineLevel="0" collapsed="false">
      <c r="A66" s="12" t="s">
        <v>444</v>
      </c>
      <c r="B66" s="12" t="s">
        <v>129</v>
      </c>
      <c r="C66" s="12" t="s">
        <v>77</v>
      </c>
      <c r="D66" s="12" t="s">
        <v>78</v>
      </c>
      <c r="E66" s="12" t="s">
        <v>79</v>
      </c>
      <c r="F66" s="12" t="s">
        <v>130</v>
      </c>
      <c r="G66" s="12"/>
      <c r="H66" s="12" t="s">
        <v>377</v>
      </c>
      <c r="I66" s="14" t="n">
        <v>19000</v>
      </c>
      <c r="J66" s="18" t="n">
        <f aca="false">IF($I66="","",ROUND($I66*Dropdowns!$K$5,2))</f>
        <v>49.4</v>
      </c>
      <c r="K66" s="19" t="n">
        <f aca="false">IF($I66="","",ROUND($I66*Dropdowns!$K$6,2))</f>
        <v>45.6</v>
      </c>
      <c r="L66" s="20" t="n">
        <f aca="false">IF($I66="","",ROUND($I66*Dropdowns!$K$7,2))</f>
        <v>3895</v>
      </c>
      <c r="M66" s="15" t="str">
        <f aca="false">IFERROR(IF($B66="","",VLOOKUP($B66,Designs!$A$3:$AP$165,27,FALSE())),"")</f>
        <v/>
      </c>
      <c r="N66" s="16" t="str">
        <f aca="false">IFERROR(IF(OR($I66="",$M66="",$M66=0),"",($I66-$M66)/$I66),"")</f>
        <v/>
      </c>
      <c r="O66" s="13" t="n">
        <v>0</v>
      </c>
      <c r="P66" s="13" t="n">
        <v>0</v>
      </c>
      <c r="Q66" s="21" t="n">
        <f aca="false">IF($O66="","",$O66-IF($P66="",0,$P66))</f>
        <v>0</v>
      </c>
      <c r="R66" s="13" t="n">
        <v>2</v>
      </c>
      <c r="S66" s="21" t="str">
        <f aca="false">IF($O66="","",IF($Q66&lt;=$R66,"⚠ REORDER","OK"))</f>
        <v>⚠ REORDER</v>
      </c>
      <c r="T66" s="13"/>
      <c r="U66" s="13"/>
      <c r="V66" s="13" t="s">
        <v>378</v>
      </c>
      <c r="W66" s="12" t="s">
        <v>379</v>
      </c>
      <c r="X66" s="13"/>
      <c r="Y66" s="13"/>
      <c r="Z66" s="12" t="s">
        <v>88</v>
      </c>
      <c r="AA66" s="12" t="s">
        <v>88</v>
      </c>
      <c r="AB66" s="12" t="s">
        <v>88</v>
      </c>
      <c r="AC66" s="12" t="s">
        <v>88</v>
      </c>
      <c r="AD66" s="12" t="s">
        <v>87</v>
      </c>
      <c r="AE66" s="21" t="n">
        <f aca="false">IFERROR(SUMIFS(Transactions!$F:$F,Transactions!$C:$C,$A66,Transactions!$D:$D,"Sale"),0)</f>
        <v>0</v>
      </c>
      <c r="AF66" s="15" t="n">
        <f aca="false">IFERROR(SUMIFS(Transactions!$H:$H,Transactions!$C:$C,$A66,Transactions!$D:$D,"Sale"),0)</f>
        <v>0</v>
      </c>
      <c r="AG66" s="22" t="str">
        <f aca="false">IFERROR(IF(maxifs(Transactions!$B:$B,Transactions!$C:$C,$A66,Transactions!$D:$D,"Sale")=0,"",maxifs(Transactions!$B:$B,Transactions!$C:$C,$A66,Transactions!$D:$D,"Sale")),"")</f>
        <v/>
      </c>
      <c r="AH66" s="12"/>
    </row>
    <row r="67" customFormat="false" ht="18" hidden="false" customHeight="true" outlineLevel="0" collapsed="false">
      <c r="A67" s="12" t="s">
        <v>445</v>
      </c>
      <c r="B67" s="12" t="s">
        <v>129</v>
      </c>
      <c r="C67" s="12" t="s">
        <v>77</v>
      </c>
      <c r="D67" s="12" t="s">
        <v>78</v>
      </c>
      <c r="E67" s="12" t="s">
        <v>79</v>
      </c>
      <c r="F67" s="12" t="s">
        <v>130</v>
      </c>
      <c r="G67" s="12"/>
      <c r="H67" s="12" t="s">
        <v>381</v>
      </c>
      <c r="I67" s="14" t="n">
        <v>19000</v>
      </c>
      <c r="J67" s="18" t="n">
        <f aca="false">IF($I67="","",ROUND($I67*Dropdowns!$K$5,2))</f>
        <v>49.4</v>
      </c>
      <c r="K67" s="19" t="n">
        <f aca="false">IF($I67="","",ROUND($I67*Dropdowns!$K$6,2))</f>
        <v>45.6</v>
      </c>
      <c r="L67" s="20" t="n">
        <f aca="false">IF($I67="","",ROUND($I67*Dropdowns!$K$7,2))</f>
        <v>3895</v>
      </c>
      <c r="M67" s="15" t="str">
        <f aca="false">IFERROR(IF($B67="","",VLOOKUP($B67,Designs!$A$3:$AP$165,27,FALSE())),"")</f>
        <v/>
      </c>
      <c r="N67" s="16" t="str">
        <f aca="false">IFERROR(IF(OR($I67="",$M67="",$M67=0),"",($I67-$M67)/$I67),"")</f>
        <v/>
      </c>
      <c r="O67" s="13" t="n">
        <v>0</v>
      </c>
      <c r="P67" s="13" t="n">
        <v>0</v>
      </c>
      <c r="Q67" s="21" t="n">
        <f aca="false">IF($O67="","",$O67-IF($P67="",0,$P67))</f>
        <v>0</v>
      </c>
      <c r="R67" s="13" t="n">
        <v>2</v>
      </c>
      <c r="S67" s="21" t="str">
        <f aca="false">IF($O67="","",IF($Q67&lt;=$R67,"⚠ REORDER","OK"))</f>
        <v>⚠ REORDER</v>
      </c>
      <c r="T67" s="13"/>
      <c r="U67" s="13"/>
      <c r="V67" s="13" t="s">
        <v>378</v>
      </c>
      <c r="W67" s="12" t="s">
        <v>379</v>
      </c>
      <c r="X67" s="13"/>
      <c r="Y67" s="13"/>
      <c r="Z67" s="12" t="s">
        <v>88</v>
      </c>
      <c r="AA67" s="12" t="s">
        <v>88</v>
      </c>
      <c r="AB67" s="12" t="s">
        <v>88</v>
      </c>
      <c r="AC67" s="12" t="s">
        <v>88</v>
      </c>
      <c r="AD67" s="12" t="s">
        <v>87</v>
      </c>
      <c r="AE67" s="21" t="n">
        <f aca="false">IFERROR(SUMIFS(Transactions!$F:$F,Transactions!$C:$C,$A67,Transactions!$D:$D,"Sale"),0)</f>
        <v>0</v>
      </c>
      <c r="AF67" s="15" t="n">
        <f aca="false">IFERROR(SUMIFS(Transactions!$H:$H,Transactions!$C:$C,$A67,Transactions!$D:$D,"Sale"),0)</f>
        <v>0</v>
      </c>
      <c r="AG67" s="22" t="str">
        <f aca="false">IFERROR(IF(maxifs(Transactions!$B:$B,Transactions!$C:$C,$A67,Transactions!$D:$D,"Sale")=0,"",maxifs(Transactions!$B:$B,Transactions!$C:$C,$A67,Transactions!$D:$D,"Sale")),"")</f>
        <v/>
      </c>
      <c r="AH67" s="12"/>
    </row>
    <row r="68" customFormat="false" ht="18" hidden="false" customHeight="true" outlineLevel="0" collapsed="false">
      <c r="A68" s="12" t="s">
        <v>446</v>
      </c>
      <c r="B68" s="12" t="s">
        <v>129</v>
      </c>
      <c r="C68" s="12" t="s">
        <v>77</v>
      </c>
      <c r="D68" s="12" t="s">
        <v>78</v>
      </c>
      <c r="E68" s="12" t="s">
        <v>79</v>
      </c>
      <c r="F68" s="12" t="s">
        <v>130</v>
      </c>
      <c r="G68" s="12"/>
      <c r="H68" s="12" t="s">
        <v>383</v>
      </c>
      <c r="I68" s="14" t="n">
        <v>19000</v>
      </c>
      <c r="J68" s="18" t="n">
        <f aca="false">IF($I68="","",ROUND($I68*Dropdowns!$K$5,2))</f>
        <v>49.4</v>
      </c>
      <c r="K68" s="19" t="n">
        <f aca="false">IF($I68="","",ROUND($I68*Dropdowns!$K$6,2))</f>
        <v>45.6</v>
      </c>
      <c r="L68" s="20" t="n">
        <f aca="false">IF($I68="","",ROUND($I68*Dropdowns!$K$7,2))</f>
        <v>3895</v>
      </c>
      <c r="M68" s="15" t="str">
        <f aca="false">IFERROR(IF($B68="","",VLOOKUP($B68,Designs!$A$3:$AP$165,27,FALSE())),"")</f>
        <v/>
      </c>
      <c r="N68" s="16" t="str">
        <f aca="false">IFERROR(IF(OR($I68="",$M68="",$M68=0),"",($I68-$M68)/$I68),"")</f>
        <v/>
      </c>
      <c r="O68" s="13" t="n">
        <v>0</v>
      </c>
      <c r="P68" s="13" t="n">
        <v>0</v>
      </c>
      <c r="Q68" s="21" t="n">
        <f aca="false">IF($O68="","",$O68-IF($P68="",0,$P68))</f>
        <v>0</v>
      </c>
      <c r="R68" s="13" t="n">
        <v>2</v>
      </c>
      <c r="S68" s="21" t="str">
        <f aca="false">IF($O68="","",IF($Q68&lt;=$R68,"⚠ REORDER","OK"))</f>
        <v>⚠ REORDER</v>
      </c>
      <c r="T68" s="13"/>
      <c r="U68" s="13"/>
      <c r="V68" s="13" t="s">
        <v>378</v>
      </c>
      <c r="W68" s="12" t="s">
        <v>379</v>
      </c>
      <c r="X68" s="13"/>
      <c r="Y68" s="13"/>
      <c r="Z68" s="12" t="s">
        <v>88</v>
      </c>
      <c r="AA68" s="12" t="s">
        <v>88</v>
      </c>
      <c r="AB68" s="12" t="s">
        <v>88</v>
      </c>
      <c r="AC68" s="12" t="s">
        <v>88</v>
      </c>
      <c r="AD68" s="12" t="s">
        <v>87</v>
      </c>
      <c r="AE68" s="21" t="n">
        <f aca="false">IFERROR(SUMIFS(Transactions!$F:$F,Transactions!$C:$C,$A68,Transactions!$D:$D,"Sale"),0)</f>
        <v>0</v>
      </c>
      <c r="AF68" s="15" t="n">
        <f aca="false">IFERROR(SUMIFS(Transactions!$H:$H,Transactions!$C:$C,$A68,Transactions!$D:$D,"Sale"),0)</f>
        <v>0</v>
      </c>
      <c r="AG68" s="22" t="str">
        <f aca="false">IFERROR(IF(maxifs(Transactions!$B:$B,Transactions!$C:$C,$A68,Transactions!$D:$D,"Sale")=0,"",maxifs(Transactions!$B:$B,Transactions!$C:$C,$A68,Transactions!$D:$D,"Sale")),"")</f>
        <v/>
      </c>
      <c r="AH68" s="12"/>
    </row>
    <row r="69" customFormat="false" ht="18" hidden="false" customHeight="true" outlineLevel="0" collapsed="false">
      <c r="A69" s="12" t="s">
        <v>447</v>
      </c>
      <c r="B69" s="12" t="s">
        <v>131</v>
      </c>
      <c r="C69" s="12" t="s">
        <v>77</v>
      </c>
      <c r="D69" s="12" t="s">
        <v>78</v>
      </c>
      <c r="E69" s="12" t="s">
        <v>79</v>
      </c>
      <c r="F69" s="12" t="s">
        <v>132</v>
      </c>
      <c r="G69" s="12"/>
      <c r="H69" s="12" t="s">
        <v>377</v>
      </c>
      <c r="I69" s="14" t="n">
        <v>19000</v>
      </c>
      <c r="J69" s="18" t="n">
        <f aca="false">IF($I69="","",ROUND($I69*Dropdowns!$K$5,2))</f>
        <v>49.4</v>
      </c>
      <c r="K69" s="19" t="n">
        <f aca="false">IF($I69="","",ROUND($I69*Dropdowns!$K$6,2))</f>
        <v>45.6</v>
      </c>
      <c r="L69" s="20" t="n">
        <f aca="false">IF($I69="","",ROUND($I69*Dropdowns!$K$7,2))</f>
        <v>3895</v>
      </c>
      <c r="M69" s="15" t="str">
        <f aca="false">IFERROR(IF($B69="","",VLOOKUP($B69,Designs!$A$3:$AP$165,27,FALSE())),"")</f>
        <v/>
      </c>
      <c r="N69" s="16" t="str">
        <f aca="false">IFERROR(IF(OR($I69="",$M69="",$M69=0),"",($I69-$M69)/$I69),"")</f>
        <v/>
      </c>
      <c r="O69" s="13" t="n">
        <v>0</v>
      </c>
      <c r="P69" s="13" t="n">
        <v>0</v>
      </c>
      <c r="Q69" s="21" t="n">
        <f aca="false">IF($O69="","",$O69-IF($P69="",0,$P69))</f>
        <v>0</v>
      </c>
      <c r="R69" s="13" t="n">
        <v>2</v>
      </c>
      <c r="S69" s="21" t="str">
        <f aca="false">IF($O69="","",IF($Q69&lt;=$R69,"⚠ REORDER","OK"))</f>
        <v>⚠ REORDER</v>
      </c>
      <c r="T69" s="13"/>
      <c r="U69" s="13"/>
      <c r="V69" s="13" t="s">
        <v>378</v>
      </c>
      <c r="W69" s="12" t="s">
        <v>379</v>
      </c>
      <c r="X69" s="13"/>
      <c r="Y69" s="13"/>
      <c r="Z69" s="12" t="s">
        <v>88</v>
      </c>
      <c r="AA69" s="12" t="s">
        <v>88</v>
      </c>
      <c r="AB69" s="12" t="s">
        <v>88</v>
      </c>
      <c r="AC69" s="12" t="s">
        <v>88</v>
      </c>
      <c r="AD69" s="12" t="s">
        <v>87</v>
      </c>
      <c r="AE69" s="21" t="n">
        <f aca="false">IFERROR(SUMIFS(Transactions!$F:$F,Transactions!$C:$C,$A69,Transactions!$D:$D,"Sale"),0)</f>
        <v>0</v>
      </c>
      <c r="AF69" s="15" t="n">
        <f aca="false">IFERROR(SUMIFS(Transactions!$H:$H,Transactions!$C:$C,$A69,Transactions!$D:$D,"Sale"),0)</f>
        <v>0</v>
      </c>
      <c r="AG69" s="22" t="str">
        <f aca="false">IFERROR(IF(maxifs(Transactions!$B:$B,Transactions!$C:$C,$A69,Transactions!$D:$D,"Sale")=0,"",maxifs(Transactions!$B:$B,Transactions!$C:$C,$A69,Transactions!$D:$D,"Sale")),"")</f>
        <v/>
      </c>
      <c r="AH69" s="12"/>
    </row>
    <row r="70" customFormat="false" ht="18" hidden="false" customHeight="true" outlineLevel="0" collapsed="false">
      <c r="A70" s="12" t="s">
        <v>448</v>
      </c>
      <c r="B70" s="12" t="s">
        <v>131</v>
      </c>
      <c r="C70" s="12" t="s">
        <v>77</v>
      </c>
      <c r="D70" s="12" t="s">
        <v>78</v>
      </c>
      <c r="E70" s="12" t="s">
        <v>79</v>
      </c>
      <c r="F70" s="12" t="s">
        <v>132</v>
      </c>
      <c r="G70" s="12"/>
      <c r="H70" s="12" t="s">
        <v>381</v>
      </c>
      <c r="I70" s="14" t="n">
        <v>19000</v>
      </c>
      <c r="J70" s="18" t="n">
        <f aca="false">IF($I70="","",ROUND($I70*Dropdowns!$K$5,2))</f>
        <v>49.4</v>
      </c>
      <c r="K70" s="19" t="n">
        <f aca="false">IF($I70="","",ROUND($I70*Dropdowns!$K$6,2))</f>
        <v>45.6</v>
      </c>
      <c r="L70" s="20" t="n">
        <f aca="false">IF($I70="","",ROUND($I70*Dropdowns!$K$7,2))</f>
        <v>3895</v>
      </c>
      <c r="M70" s="15" t="str">
        <f aca="false">IFERROR(IF($B70="","",VLOOKUP($B70,Designs!$A$3:$AP$165,27,FALSE())),"")</f>
        <v/>
      </c>
      <c r="N70" s="16" t="str">
        <f aca="false">IFERROR(IF(OR($I70="",$M70="",$M70=0),"",($I70-$M70)/$I70),"")</f>
        <v/>
      </c>
      <c r="O70" s="13" t="n">
        <v>0</v>
      </c>
      <c r="P70" s="13" t="n">
        <v>0</v>
      </c>
      <c r="Q70" s="21" t="n">
        <f aca="false">IF($O70="","",$O70-IF($P70="",0,$P70))</f>
        <v>0</v>
      </c>
      <c r="R70" s="13" t="n">
        <v>2</v>
      </c>
      <c r="S70" s="21" t="str">
        <f aca="false">IF($O70="","",IF($Q70&lt;=$R70,"⚠ REORDER","OK"))</f>
        <v>⚠ REORDER</v>
      </c>
      <c r="T70" s="13"/>
      <c r="U70" s="13"/>
      <c r="V70" s="13" t="s">
        <v>378</v>
      </c>
      <c r="W70" s="12" t="s">
        <v>379</v>
      </c>
      <c r="X70" s="13"/>
      <c r="Y70" s="13"/>
      <c r="Z70" s="12" t="s">
        <v>88</v>
      </c>
      <c r="AA70" s="12" t="s">
        <v>88</v>
      </c>
      <c r="AB70" s="12" t="s">
        <v>88</v>
      </c>
      <c r="AC70" s="12" t="s">
        <v>88</v>
      </c>
      <c r="AD70" s="12" t="s">
        <v>87</v>
      </c>
      <c r="AE70" s="21" t="n">
        <f aca="false">IFERROR(SUMIFS(Transactions!$F:$F,Transactions!$C:$C,$A70,Transactions!$D:$D,"Sale"),0)</f>
        <v>0</v>
      </c>
      <c r="AF70" s="15" t="n">
        <f aca="false">IFERROR(SUMIFS(Transactions!$H:$H,Transactions!$C:$C,$A70,Transactions!$D:$D,"Sale"),0)</f>
        <v>0</v>
      </c>
      <c r="AG70" s="22" t="str">
        <f aca="false">IFERROR(IF(maxifs(Transactions!$B:$B,Transactions!$C:$C,$A70,Transactions!$D:$D,"Sale")=0,"",maxifs(Transactions!$B:$B,Transactions!$C:$C,$A70,Transactions!$D:$D,"Sale")),"")</f>
        <v/>
      </c>
      <c r="AH70" s="12"/>
    </row>
    <row r="71" customFormat="false" ht="18" hidden="false" customHeight="true" outlineLevel="0" collapsed="false">
      <c r="A71" s="12" t="s">
        <v>449</v>
      </c>
      <c r="B71" s="12" t="s">
        <v>131</v>
      </c>
      <c r="C71" s="12" t="s">
        <v>77</v>
      </c>
      <c r="D71" s="12" t="s">
        <v>78</v>
      </c>
      <c r="E71" s="12" t="s">
        <v>79</v>
      </c>
      <c r="F71" s="12" t="s">
        <v>132</v>
      </c>
      <c r="G71" s="12"/>
      <c r="H71" s="12" t="s">
        <v>383</v>
      </c>
      <c r="I71" s="14" t="n">
        <v>19000</v>
      </c>
      <c r="J71" s="18" t="n">
        <f aca="false">IF($I71="","",ROUND($I71*Dropdowns!$K$5,2))</f>
        <v>49.4</v>
      </c>
      <c r="K71" s="19" t="n">
        <f aca="false">IF($I71="","",ROUND($I71*Dropdowns!$K$6,2))</f>
        <v>45.6</v>
      </c>
      <c r="L71" s="20" t="n">
        <f aca="false">IF($I71="","",ROUND($I71*Dropdowns!$K$7,2))</f>
        <v>3895</v>
      </c>
      <c r="M71" s="15" t="str">
        <f aca="false">IFERROR(IF($B71="","",VLOOKUP($B71,Designs!$A$3:$AP$165,27,FALSE())),"")</f>
        <v/>
      </c>
      <c r="N71" s="16" t="str">
        <f aca="false">IFERROR(IF(OR($I71="",$M71="",$M71=0),"",($I71-$M71)/$I71),"")</f>
        <v/>
      </c>
      <c r="O71" s="13" t="n">
        <v>0</v>
      </c>
      <c r="P71" s="13" t="n">
        <v>0</v>
      </c>
      <c r="Q71" s="21" t="n">
        <f aca="false">IF($O71="","",$O71-IF($P71="",0,$P71))</f>
        <v>0</v>
      </c>
      <c r="R71" s="13" t="n">
        <v>2</v>
      </c>
      <c r="S71" s="21" t="str">
        <f aca="false">IF($O71="","",IF($Q71&lt;=$R71,"⚠ REORDER","OK"))</f>
        <v>⚠ REORDER</v>
      </c>
      <c r="T71" s="13"/>
      <c r="U71" s="13"/>
      <c r="V71" s="13" t="s">
        <v>378</v>
      </c>
      <c r="W71" s="12" t="s">
        <v>379</v>
      </c>
      <c r="X71" s="13"/>
      <c r="Y71" s="13"/>
      <c r="Z71" s="12" t="s">
        <v>88</v>
      </c>
      <c r="AA71" s="12" t="s">
        <v>88</v>
      </c>
      <c r="AB71" s="12" t="s">
        <v>88</v>
      </c>
      <c r="AC71" s="12" t="s">
        <v>88</v>
      </c>
      <c r="AD71" s="12" t="s">
        <v>87</v>
      </c>
      <c r="AE71" s="21" t="n">
        <f aca="false">IFERROR(SUMIFS(Transactions!$F:$F,Transactions!$C:$C,$A71,Transactions!$D:$D,"Sale"),0)</f>
        <v>0</v>
      </c>
      <c r="AF71" s="15" t="n">
        <f aca="false">IFERROR(SUMIFS(Transactions!$H:$H,Transactions!$C:$C,$A71,Transactions!$D:$D,"Sale"),0)</f>
        <v>0</v>
      </c>
      <c r="AG71" s="22" t="str">
        <f aca="false">IFERROR(IF(maxifs(Transactions!$B:$B,Transactions!$C:$C,$A71,Transactions!$D:$D,"Sale")=0,"",maxifs(Transactions!$B:$B,Transactions!$C:$C,$A71,Transactions!$D:$D,"Sale")),"")</f>
        <v/>
      </c>
      <c r="AH71" s="12"/>
    </row>
    <row r="72" customFormat="false" ht="18" hidden="false" customHeight="true" outlineLevel="0" collapsed="false">
      <c r="A72" s="12" t="s">
        <v>450</v>
      </c>
      <c r="B72" s="12" t="s">
        <v>133</v>
      </c>
      <c r="C72" s="12" t="s">
        <v>77</v>
      </c>
      <c r="D72" s="12" t="s">
        <v>78</v>
      </c>
      <c r="E72" s="12" t="s">
        <v>79</v>
      </c>
      <c r="F72" s="12" t="s">
        <v>134</v>
      </c>
      <c r="G72" s="12"/>
      <c r="H72" s="12" t="s">
        <v>377</v>
      </c>
      <c r="I72" s="14" t="n">
        <v>19000</v>
      </c>
      <c r="J72" s="18" t="n">
        <f aca="false">IF($I72="","",ROUND($I72*Dropdowns!$K$5,2))</f>
        <v>49.4</v>
      </c>
      <c r="K72" s="19" t="n">
        <f aca="false">IF($I72="","",ROUND($I72*Dropdowns!$K$6,2))</f>
        <v>45.6</v>
      </c>
      <c r="L72" s="20" t="n">
        <f aca="false">IF($I72="","",ROUND($I72*Dropdowns!$K$7,2))</f>
        <v>3895</v>
      </c>
      <c r="M72" s="15" t="str">
        <f aca="false">IFERROR(IF($B72="","",VLOOKUP($B72,Designs!$A$3:$AP$165,27,FALSE())),"")</f>
        <v/>
      </c>
      <c r="N72" s="16" t="str">
        <f aca="false">IFERROR(IF(OR($I72="",$M72="",$M72=0),"",($I72-$M72)/$I72),"")</f>
        <v/>
      </c>
      <c r="O72" s="13" t="n">
        <v>0</v>
      </c>
      <c r="P72" s="13" t="n">
        <v>0</v>
      </c>
      <c r="Q72" s="21" t="n">
        <f aca="false">IF($O72="","",$O72-IF($P72="",0,$P72))</f>
        <v>0</v>
      </c>
      <c r="R72" s="13" t="n">
        <v>2</v>
      </c>
      <c r="S72" s="21" t="str">
        <f aca="false">IF($O72="","",IF($Q72&lt;=$R72,"⚠ REORDER","OK"))</f>
        <v>⚠ REORDER</v>
      </c>
      <c r="T72" s="13"/>
      <c r="U72" s="13"/>
      <c r="V72" s="13" t="s">
        <v>378</v>
      </c>
      <c r="W72" s="12" t="s">
        <v>379</v>
      </c>
      <c r="X72" s="13"/>
      <c r="Y72" s="13"/>
      <c r="Z72" s="12" t="s">
        <v>88</v>
      </c>
      <c r="AA72" s="12" t="s">
        <v>88</v>
      </c>
      <c r="AB72" s="12" t="s">
        <v>88</v>
      </c>
      <c r="AC72" s="12" t="s">
        <v>88</v>
      </c>
      <c r="AD72" s="12" t="s">
        <v>87</v>
      </c>
      <c r="AE72" s="21" t="n">
        <f aca="false">IFERROR(SUMIFS(Transactions!$F:$F,Transactions!$C:$C,$A72,Transactions!$D:$D,"Sale"),0)</f>
        <v>0</v>
      </c>
      <c r="AF72" s="15" t="n">
        <f aca="false">IFERROR(SUMIFS(Transactions!$H:$H,Transactions!$C:$C,$A72,Transactions!$D:$D,"Sale"),0)</f>
        <v>0</v>
      </c>
      <c r="AG72" s="22" t="str">
        <f aca="false">IFERROR(IF(maxifs(Transactions!$B:$B,Transactions!$C:$C,$A72,Transactions!$D:$D,"Sale")=0,"",maxifs(Transactions!$B:$B,Transactions!$C:$C,$A72,Transactions!$D:$D,"Sale")),"")</f>
        <v/>
      </c>
      <c r="AH72" s="12"/>
    </row>
    <row r="73" customFormat="false" ht="18" hidden="false" customHeight="true" outlineLevel="0" collapsed="false">
      <c r="A73" s="12" t="s">
        <v>451</v>
      </c>
      <c r="B73" s="12" t="s">
        <v>133</v>
      </c>
      <c r="C73" s="12" t="s">
        <v>77</v>
      </c>
      <c r="D73" s="12" t="s">
        <v>78</v>
      </c>
      <c r="E73" s="12" t="s">
        <v>79</v>
      </c>
      <c r="F73" s="12" t="s">
        <v>134</v>
      </c>
      <c r="G73" s="12"/>
      <c r="H73" s="12" t="s">
        <v>381</v>
      </c>
      <c r="I73" s="14" t="n">
        <v>19000</v>
      </c>
      <c r="J73" s="18" t="n">
        <f aca="false">IF($I73="","",ROUND($I73*Dropdowns!$K$5,2))</f>
        <v>49.4</v>
      </c>
      <c r="K73" s="19" t="n">
        <f aca="false">IF($I73="","",ROUND($I73*Dropdowns!$K$6,2))</f>
        <v>45.6</v>
      </c>
      <c r="L73" s="20" t="n">
        <f aca="false">IF($I73="","",ROUND($I73*Dropdowns!$K$7,2))</f>
        <v>3895</v>
      </c>
      <c r="M73" s="15" t="str">
        <f aca="false">IFERROR(IF($B73="","",VLOOKUP($B73,Designs!$A$3:$AP$165,27,FALSE())),"")</f>
        <v/>
      </c>
      <c r="N73" s="16" t="str">
        <f aca="false">IFERROR(IF(OR($I73="",$M73="",$M73=0),"",($I73-$M73)/$I73),"")</f>
        <v/>
      </c>
      <c r="O73" s="13" t="n">
        <v>0</v>
      </c>
      <c r="P73" s="13" t="n">
        <v>0</v>
      </c>
      <c r="Q73" s="21" t="n">
        <f aca="false">IF($O73="","",$O73-IF($P73="",0,$P73))</f>
        <v>0</v>
      </c>
      <c r="R73" s="13" t="n">
        <v>2</v>
      </c>
      <c r="S73" s="21" t="str">
        <f aca="false">IF($O73="","",IF($Q73&lt;=$R73,"⚠ REORDER","OK"))</f>
        <v>⚠ REORDER</v>
      </c>
      <c r="T73" s="13"/>
      <c r="U73" s="13"/>
      <c r="V73" s="13" t="s">
        <v>378</v>
      </c>
      <c r="W73" s="12" t="s">
        <v>379</v>
      </c>
      <c r="X73" s="13"/>
      <c r="Y73" s="13"/>
      <c r="Z73" s="12" t="s">
        <v>88</v>
      </c>
      <c r="AA73" s="12" t="s">
        <v>88</v>
      </c>
      <c r="AB73" s="12" t="s">
        <v>88</v>
      </c>
      <c r="AC73" s="12" t="s">
        <v>88</v>
      </c>
      <c r="AD73" s="12" t="s">
        <v>87</v>
      </c>
      <c r="AE73" s="21" t="n">
        <f aca="false">IFERROR(SUMIFS(Transactions!$F:$F,Transactions!$C:$C,$A73,Transactions!$D:$D,"Sale"),0)</f>
        <v>0</v>
      </c>
      <c r="AF73" s="15" t="n">
        <f aca="false">IFERROR(SUMIFS(Transactions!$H:$H,Transactions!$C:$C,$A73,Transactions!$D:$D,"Sale"),0)</f>
        <v>0</v>
      </c>
      <c r="AG73" s="22" t="str">
        <f aca="false">IFERROR(IF(maxifs(Transactions!$B:$B,Transactions!$C:$C,$A73,Transactions!$D:$D,"Sale")=0,"",maxifs(Transactions!$B:$B,Transactions!$C:$C,$A73,Transactions!$D:$D,"Sale")),"")</f>
        <v/>
      </c>
      <c r="AH73" s="12"/>
    </row>
    <row r="74" customFormat="false" ht="18" hidden="false" customHeight="true" outlineLevel="0" collapsed="false">
      <c r="A74" s="12" t="s">
        <v>452</v>
      </c>
      <c r="B74" s="12" t="s">
        <v>133</v>
      </c>
      <c r="C74" s="12" t="s">
        <v>77</v>
      </c>
      <c r="D74" s="12" t="s">
        <v>78</v>
      </c>
      <c r="E74" s="12" t="s">
        <v>79</v>
      </c>
      <c r="F74" s="12" t="s">
        <v>134</v>
      </c>
      <c r="G74" s="12"/>
      <c r="H74" s="12" t="s">
        <v>383</v>
      </c>
      <c r="I74" s="14" t="n">
        <v>19000</v>
      </c>
      <c r="J74" s="18" t="n">
        <f aca="false">IF($I74="","",ROUND($I74*Dropdowns!$K$5,2))</f>
        <v>49.4</v>
      </c>
      <c r="K74" s="19" t="n">
        <f aca="false">IF($I74="","",ROUND($I74*Dropdowns!$K$6,2))</f>
        <v>45.6</v>
      </c>
      <c r="L74" s="20" t="n">
        <f aca="false">IF($I74="","",ROUND($I74*Dropdowns!$K$7,2))</f>
        <v>3895</v>
      </c>
      <c r="M74" s="15" t="str">
        <f aca="false">IFERROR(IF($B74="","",VLOOKUP($B74,Designs!$A$3:$AP$165,27,FALSE())),"")</f>
        <v/>
      </c>
      <c r="N74" s="16" t="str">
        <f aca="false">IFERROR(IF(OR($I74="",$M74="",$M74=0),"",($I74-$M74)/$I74),"")</f>
        <v/>
      </c>
      <c r="O74" s="13" t="n">
        <v>0</v>
      </c>
      <c r="P74" s="13" t="n">
        <v>0</v>
      </c>
      <c r="Q74" s="21" t="n">
        <f aca="false">IF($O74="","",$O74-IF($P74="",0,$P74))</f>
        <v>0</v>
      </c>
      <c r="R74" s="13" t="n">
        <v>2</v>
      </c>
      <c r="S74" s="21" t="str">
        <f aca="false">IF($O74="","",IF($Q74&lt;=$R74,"⚠ REORDER","OK"))</f>
        <v>⚠ REORDER</v>
      </c>
      <c r="T74" s="13"/>
      <c r="U74" s="13"/>
      <c r="V74" s="13" t="s">
        <v>378</v>
      </c>
      <c r="W74" s="12" t="s">
        <v>379</v>
      </c>
      <c r="X74" s="13"/>
      <c r="Y74" s="13"/>
      <c r="Z74" s="12" t="s">
        <v>88</v>
      </c>
      <c r="AA74" s="12" t="s">
        <v>88</v>
      </c>
      <c r="AB74" s="12" t="s">
        <v>88</v>
      </c>
      <c r="AC74" s="12" t="s">
        <v>88</v>
      </c>
      <c r="AD74" s="12" t="s">
        <v>87</v>
      </c>
      <c r="AE74" s="21" t="n">
        <f aca="false">IFERROR(SUMIFS(Transactions!$F:$F,Transactions!$C:$C,$A74,Transactions!$D:$D,"Sale"),0)</f>
        <v>0</v>
      </c>
      <c r="AF74" s="15" t="n">
        <f aca="false">IFERROR(SUMIFS(Transactions!$H:$H,Transactions!$C:$C,$A74,Transactions!$D:$D,"Sale"),0)</f>
        <v>0</v>
      </c>
      <c r="AG74" s="22" t="str">
        <f aca="false">IFERROR(IF(maxifs(Transactions!$B:$B,Transactions!$C:$C,$A74,Transactions!$D:$D,"Sale")=0,"",maxifs(Transactions!$B:$B,Transactions!$C:$C,$A74,Transactions!$D:$D,"Sale")),"")</f>
        <v/>
      </c>
      <c r="AH74" s="12"/>
    </row>
    <row r="75" customFormat="false" ht="18" hidden="false" customHeight="true" outlineLevel="0" collapsed="false">
      <c r="A75" s="12" t="s">
        <v>453</v>
      </c>
      <c r="B75" s="12" t="s">
        <v>135</v>
      </c>
      <c r="C75" s="12" t="s">
        <v>77</v>
      </c>
      <c r="D75" s="12" t="s">
        <v>78</v>
      </c>
      <c r="E75" s="12" t="s">
        <v>79</v>
      </c>
      <c r="F75" s="12" t="s">
        <v>136</v>
      </c>
      <c r="G75" s="12"/>
      <c r="H75" s="12" t="s">
        <v>377</v>
      </c>
      <c r="I75" s="14" t="n">
        <v>19000</v>
      </c>
      <c r="J75" s="18" t="n">
        <f aca="false">IF($I75="","",ROUND($I75*Dropdowns!$K$5,2))</f>
        <v>49.4</v>
      </c>
      <c r="K75" s="19" t="n">
        <f aca="false">IF($I75="","",ROUND($I75*Dropdowns!$K$6,2))</f>
        <v>45.6</v>
      </c>
      <c r="L75" s="20" t="n">
        <f aca="false">IF($I75="","",ROUND($I75*Dropdowns!$K$7,2))</f>
        <v>3895</v>
      </c>
      <c r="M75" s="15" t="str">
        <f aca="false">IFERROR(IF($B75="","",VLOOKUP($B75,Designs!$A$3:$AP$165,27,FALSE())),"")</f>
        <v/>
      </c>
      <c r="N75" s="16" t="str">
        <f aca="false">IFERROR(IF(OR($I75="",$M75="",$M75=0),"",($I75-$M75)/$I75),"")</f>
        <v/>
      </c>
      <c r="O75" s="13" t="n">
        <v>0</v>
      </c>
      <c r="P75" s="13" t="n">
        <v>0</v>
      </c>
      <c r="Q75" s="21" t="n">
        <f aca="false">IF($O75="","",$O75-IF($P75="",0,$P75))</f>
        <v>0</v>
      </c>
      <c r="R75" s="13" t="n">
        <v>2</v>
      </c>
      <c r="S75" s="21" t="str">
        <f aca="false">IF($O75="","",IF($Q75&lt;=$R75,"⚠ REORDER","OK"))</f>
        <v>⚠ REORDER</v>
      </c>
      <c r="T75" s="13"/>
      <c r="U75" s="13"/>
      <c r="V75" s="13" t="s">
        <v>378</v>
      </c>
      <c r="W75" s="12" t="s">
        <v>379</v>
      </c>
      <c r="X75" s="13"/>
      <c r="Y75" s="13"/>
      <c r="Z75" s="12" t="s">
        <v>88</v>
      </c>
      <c r="AA75" s="12" t="s">
        <v>88</v>
      </c>
      <c r="AB75" s="12" t="s">
        <v>88</v>
      </c>
      <c r="AC75" s="12" t="s">
        <v>88</v>
      </c>
      <c r="AD75" s="12" t="s">
        <v>87</v>
      </c>
      <c r="AE75" s="21" t="n">
        <f aca="false">IFERROR(SUMIFS(Transactions!$F:$F,Transactions!$C:$C,$A75,Transactions!$D:$D,"Sale"),0)</f>
        <v>0</v>
      </c>
      <c r="AF75" s="15" t="n">
        <f aca="false">IFERROR(SUMIFS(Transactions!$H:$H,Transactions!$C:$C,$A75,Transactions!$D:$D,"Sale"),0)</f>
        <v>0</v>
      </c>
      <c r="AG75" s="22" t="str">
        <f aca="false">IFERROR(IF(maxifs(Transactions!$B:$B,Transactions!$C:$C,$A75,Transactions!$D:$D,"Sale")=0,"",maxifs(Transactions!$B:$B,Transactions!$C:$C,$A75,Transactions!$D:$D,"Sale")),"")</f>
        <v/>
      </c>
      <c r="AH75" s="12"/>
    </row>
    <row r="76" customFormat="false" ht="18" hidden="false" customHeight="true" outlineLevel="0" collapsed="false">
      <c r="A76" s="12" t="s">
        <v>454</v>
      </c>
      <c r="B76" s="12" t="s">
        <v>135</v>
      </c>
      <c r="C76" s="12" t="s">
        <v>77</v>
      </c>
      <c r="D76" s="12" t="s">
        <v>78</v>
      </c>
      <c r="E76" s="12" t="s">
        <v>79</v>
      </c>
      <c r="F76" s="12" t="s">
        <v>136</v>
      </c>
      <c r="G76" s="12"/>
      <c r="H76" s="12" t="s">
        <v>381</v>
      </c>
      <c r="I76" s="14" t="n">
        <v>19000</v>
      </c>
      <c r="J76" s="18" t="n">
        <f aca="false">IF($I76="","",ROUND($I76*Dropdowns!$K$5,2))</f>
        <v>49.4</v>
      </c>
      <c r="K76" s="19" t="n">
        <f aca="false">IF($I76="","",ROUND($I76*Dropdowns!$K$6,2))</f>
        <v>45.6</v>
      </c>
      <c r="L76" s="20" t="n">
        <f aca="false">IF($I76="","",ROUND($I76*Dropdowns!$K$7,2))</f>
        <v>3895</v>
      </c>
      <c r="M76" s="15" t="str">
        <f aca="false">IFERROR(IF($B76="","",VLOOKUP($B76,Designs!$A$3:$AP$165,27,FALSE())),"")</f>
        <v/>
      </c>
      <c r="N76" s="16" t="str">
        <f aca="false">IFERROR(IF(OR($I76="",$M76="",$M76=0),"",($I76-$M76)/$I76),"")</f>
        <v/>
      </c>
      <c r="O76" s="13" t="n">
        <v>0</v>
      </c>
      <c r="P76" s="13" t="n">
        <v>0</v>
      </c>
      <c r="Q76" s="21" t="n">
        <f aca="false">IF($O76="","",$O76-IF($P76="",0,$P76))</f>
        <v>0</v>
      </c>
      <c r="R76" s="13" t="n">
        <v>2</v>
      </c>
      <c r="S76" s="21" t="str">
        <f aca="false">IF($O76="","",IF($Q76&lt;=$R76,"⚠ REORDER","OK"))</f>
        <v>⚠ REORDER</v>
      </c>
      <c r="T76" s="13"/>
      <c r="U76" s="13"/>
      <c r="V76" s="13" t="s">
        <v>378</v>
      </c>
      <c r="W76" s="12" t="s">
        <v>379</v>
      </c>
      <c r="X76" s="13"/>
      <c r="Y76" s="13"/>
      <c r="Z76" s="12" t="s">
        <v>88</v>
      </c>
      <c r="AA76" s="12" t="s">
        <v>88</v>
      </c>
      <c r="AB76" s="12" t="s">
        <v>88</v>
      </c>
      <c r="AC76" s="12" t="s">
        <v>88</v>
      </c>
      <c r="AD76" s="12" t="s">
        <v>87</v>
      </c>
      <c r="AE76" s="21" t="n">
        <f aca="false">IFERROR(SUMIFS(Transactions!$F:$F,Transactions!$C:$C,$A76,Transactions!$D:$D,"Sale"),0)</f>
        <v>0</v>
      </c>
      <c r="AF76" s="15" t="n">
        <f aca="false">IFERROR(SUMIFS(Transactions!$H:$H,Transactions!$C:$C,$A76,Transactions!$D:$D,"Sale"),0)</f>
        <v>0</v>
      </c>
      <c r="AG76" s="22" t="str">
        <f aca="false">IFERROR(IF(maxifs(Transactions!$B:$B,Transactions!$C:$C,$A76,Transactions!$D:$D,"Sale")=0,"",maxifs(Transactions!$B:$B,Transactions!$C:$C,$A76,Transactions!$D:$D,"Sale")),"")</f>
        <v/>
      </c>
      <c r="AH76" s="12"/>
    </row>
    <row r="77" customFormat="false" ht="18" hidden="false" customHeight="true" outlineLevel="0" collapsed="false">
      <c r="A77" s="12" t="s">
        <v>455</v>
      </c>
      <c r="B77" s="12" t="s">
        <v>135</v>
      </c>
      <c r="C77" s="12" t="s">
        <v>77</v>
      </c>
      <c r="D77" s="12" t="s">
        <v>78</v>
      </c>
      <c r="E77" s="12" t="s">
        <v>79</v>
      </c>
      <c r="F77" s="12" t="s">
        <v>136</v>
      </c>
      <c r="G77" s="12"/>
      <c r="H77" s="12" t="s">
        <v>383</v>
      </c>
      <c r="I77" s="14" t="n">
        <v>19000</v>
      </c>
      <c r="J77" s="18" t="n">
        <f aca="false">IF($I77="","",ROUND($I77*Dropdowns!$K$5,2))</f>
        <v>49.4</v>
      </c>
      <c r="K77" s="19" t="n">
        <f aca="false">IF($I77="","",ROUND($I77*Dropdowns!$K$6,2))</f>
        <v>45.6</v>
      </c>
      <c r="L77" s="20" t="n">
        <f aca="false">IF($I77="","",ROUND($I77*Dropdowns!$K$7,2))</f>
        <v>3895</v>
      </c>
      <c r="M77" s="15" t="str">
        <f aca="false">IFERROR(IF($B77="","",VLOOKUP($B77,Designs!$A$3:$AP$165,27,FALSE())),"")</f>
        <v/>
      </c>
      <c r="N77" s="16" t="str">
        <f aca="false">IFERROR(IF(OR($I77="",$M77="",$M77=0),"",($I77-$M77)/$I77),"")</f>
        <v/>
      </c>
      <c r="O77" s="13" t="n">
        <v>0</v>
      </c>
      <c r="P77" s="13" t="n">
        <v>0</v>
      </c>
      <c r="Q77" s="21" t="n">
        <f aca="false">IF($O77="","",$O77-IF($P77="",0,$P77))</f>
        <v>0</v>
      </c>
      <c r="R77" s="13" t="n">
        <v>2</v>
      </c>
      <c r="S77" s="21" t="str">
        <f aca="false">IF($O77="","",IF($Q77&lt;=$R77,"⚠ REORDER","OK"))</f>
        <v>⚠ REORDER</v>
      </c>
      <c r="T77" s="13"/>
      <c r="U77" s="13"/>
      <c r="V77" s="13" t="s">
        <v>378</v>
      </c>
      <c r="W77" s="12" t="s">
        <v>379</v>
      </c>
      <c r="X77" s="13"/>
      <c r="Y77" s="13"/>
      <c r="Z77" s="12" t="s">
        <v>88</v>
      </c>
      <c r="AA77" s="12" t="s">
        <v>88</v>
      </c>
      <c r="AB77" s="12" t="s">
        <v>88</v>
      </c>
      <c r="AC77" s="12" t="s">
        <v>88</v>
      </c>
      <c r="AD77" s="12" t="s">
        <v>87</v>
      </c>
      <c r="AE77" s="21" t="n">
        <f aca="false">IFERROR(SUMIFS(Transactions!$F:$F,Transactions!$C:$C,$A77,Transactions!$D:$D,"Sale"),0)</f>
        <v>0</v>
      </c>
      <c r="AF77" s="15" t="n">
        <f aca="false">IFERROR(SUMIFS(Transactions!$H:$H,Transactions!$C:$C,$A77,Transactions!$D:$D,"Sale"),0)</f>
        <v>0</v>
      </c>
      <c r="AG77" s="22" t="str">
        <f aca="false">IFERROR(IF(maxifs(Transactions!$B:$B,Transactions!$C:$C,$A77,Transactions!$D:$D,"Sale")=0,"",maxifs(Transactions!$B:$B,Transactions!$C:$C,$A77,Transactions!$D:$D,"Sale")),"")</f>
        <v/>
      </c>
      <c r="AH77" s="12"/>
    </row>
    <row r="78" customFormat="false" ht="18" hidden="false" customHeight="true" outlineLevel="0" collapsed="false">
      <c r="A78" s="12" t="s">
        <v>456</v>
      </c>
      <c r="B78" s="12" t="s">
        <v>137</v>
      </c>
      <c r="C78" s="12" t="s">
        <v>77</v>
      </c>
      <c r="D78" s="12" t="s">
        <v>78</v>
      </c>
      <c r="E78" s="12" t="s">
        <v>79</v>
      </c>
      <c r="F78" s="12" t="s">
        <v>138</v>
      </c>
      <c r="G78" s="12"/>
      <c r="H78" s="12" t="s">
        <v>377</v>
      </c>
      <c r="I78" s="14" t="n">
        <v>19000</v>
      </c>
      <c r="J78" s="18" t="n">
        <f aca="false">IF($I78="","",ROUND($I78*Dropdowns!$K$5,2))</f>
        <v>49.4</v>
      </c>
      <c r="K78" s="19" t="n">
        <f aca="false">IF($I78="","",ROUND($I78*Dropdowns!$K$6,2))</f>
        <v>45.6</v>
      </c>
      <c r="L78" s="20" t="n">
        <f aca="false">IF($I78="","",ROUND($I78*Dropdowns!$K$7,2))</f>
        <v>3895</v>
      </c>
      <c r="M78" s="15" t="str">
        <f aca="false">IFERROR(IF($B78="","",VLOOKUP($B78,Designs!$A$3:$AP$165,27,FALSE())),"")</f>
        <v/>
      </c>
      <c r="N78" s="16" t="str">
        <f aca="false">IFERROR(IF(OR($I78="",$M78="",$M78=0),"",($I78-$M78)/$I78),"")</f>
        <v/>
      </c>
      <c r="O78" s="13" t="n">
        <v>0</v>
      </c>
      <c r="P78" s="13" t="n">
        <v>0</v>
      </c>
      <c r="Q78" s="21" t="n">
        <f aca="false">IF($O78="","",$O78-IF($P78="",0,$P78))</f>
        <v>0</v>
      </c>
      <c r="R78" s="13" t="n">
        <v>2</v>
      </c>
      <c r="S78" s="21" t="str">
        <f aca="false">IF($O78="","",IF($Q78&lt;=$R78,"⚠ REORDER","OK"))</f>
        <v>⚠ REORDER</v>
      </c>
      <c r="T78" s="13"/>
      <c r="U78" s="13"/>
      <c r="V78" s="13" t="s">
        <v>378</v>
      </c>
      <c r="W78" s="12" t="s">
        <v>379</v>
      </c>
      <c r="X78" s="13"/>
      <c r="Y78" s="13"/>
      <c r="Z78" s="12" t="s">
        <v>88</v>
      </c>
      <c r="AA78" s="12" t="s">
        <v>88</v>
      </c>
      <c r="AB78" s="12" t="s">
        <v>88</v>
      </c>
      <c r="AC78" s="12" t="s">
        <v>88</v>
      </c>
      <c r="AD78" s="12" t="s">
        <v>87</v>
      </c>
      <c r="AE78" s="21" t="n">
        <f aca="false">IFERROR(SUMIFS(Transactions!$F:$F,Transactions!$C:$C,$A78,Transactions!$D:$D,"Sale"),0)</f>
        <v>0</v>
      </c>
      <c r="AF78" s="15" t="n">
        <f aca="false">IFERROR(SUMIFS(Transactions!$H:$H,Transactions!$C:$C,$A78,Transactions!$D:$D,"Sale"),0)</f>
        <v>0</v>
      </c>
      <c r="AG78" s="22" t="str">
        <f aca="false">IFERROR(IF(maxifs(Transactions!$B:$B,Transactions!$C:$C,$A78,Transactions!$D:$D,"Sale")=0,"",maxifs(Transactions!$B:$B,Transactions!$C:$C,$A78,Transactions!$D:$D,"Sale")),"")</f>
        <v/>
      </c>
      <c r="AH78" s="12"/>
    </row>
    <row r="79" customFormat="false" ht="18" hidden="false" customHeight="true" outlineLevel="0" collapsed="false">
      <c r="A79" s="12" t="s">
        <v>457</v>
      </c>
      <c r="B79" s="12" t="s">
        <v>137</v>
      </c>
      <c r="C79" s="12" t="s">
        <v>77</v>
      </c>
      <c r="D79" s="12" t="s">
        <v>78</v>
      </c>
      <c r="E79" s="12" t="s">
        <v>79</v>
      </c>
      <c r="F79" s="12" t="s">
        <v>138</v>
      </c>
      <c r="G79" s="12"/>
      <c r="H79" s="12" t="s">
        <v>381</v>
      </c>
      <c r="I79" s="14" t="n">
        <v>19000</v>
      </c>
      <c r="J79" s="18" t="n">
        <f aca="false">IF($I79="","",ROUND($I79*Dropdowns!$K$5,2))</f>
        <v>49.4</v>
      </c>
      <c r="K79" s="19" t="n">
        <f aca="false">IF($I79="","",ROUND($I79*Dropdowns!$K$6,2))</f>
        <v>45.6</v>
      </c>
      <c r="L79" s="20" t="n">
        <f aca="false">IF($I79="","",ROUND($I79*Dropdowns!$K$7,2))</f>
        <v>3895</v>
      </c>
      <c r="M79" s="15" t="str">
        <f aca="false">IFERROR(IF($B79="","",VLOOKUP($B79,Designs!$A$3:$AP$165,27,FALSE())),"")</f>
        <v/>
      </c>
      <c r="N79" s="16" t="str">
        <f aca="false">IFERROR(IF(OR($I79="",$M79="",$M79=0),"",($I79-$M79)/$I79),"")</f>
        <v/>
      </c>
      <c r="O79" s="13" t="n">
        <v>0</v>
      </c>
      <c r="P79" s="13" t="n">
        <v>0</v>
      </c>
      <c r="Q79" s="21" t="n">
        <f aca="false">IF($O79="","",$O79-IF($P79="",0,$P79))</f>
        <v>0</v>
      </c>
      <c r="R79" s="13" t="n">
        <v>2</v>
      </c>
      <c r="S79" s="21" t="str">
        <f aca="false">IF($O79="","",IF($Q79&lt;=$R79,"⚠ REORDER","OK"))</f>
        <v>⚠ REORDER</v>
      </c>
      <c r="T79" s="13"/>
      <c r="U79" s="13"/>
      <c r="V79" s="13" t="s">
        <v>378</v>
      </c>
      <c r="W79" s="12" t="s">
        <v>379</v>
      </c>
      <c r="X79" s="13"/>
      <c r="Y79" s="13"/>
      <c r="Z79" s="12" t="s">
        <v>88</v>
      </c>
      <c r="AA79" s="12" t="s">
        <v>88</v>
      </c>
      <c r="AB79" s="12" t="s">
        <v>88</v>
      </c>
      <c r="AC79" s="12" t="s">
        <v>88</v>
      </c>
      <c r="AD79" s="12" t="s">
        <v>87</v>
      </c>
      <c r="AE79" s="21" t="n">
        <f aca="false">IFERROR(SUMIFS(Transactions!$F:$F,Transactions!$C:$C,$A79,Transactions!$D:$D,"Sale"),0)</f>
        <v>0</v>
      </c>
      <c r="AF79" s="15" t="n">
        <f aca="false">IFERROR(SUMIFS(Transactions!$H:$H,Transactions!$C:$C,$A79,Transactions!$D:$D,"Sale"),0)</f>
        <v>0</v>
      </c>
      <c r="AG79" s="22" t="str">
        <f aca="false">IFERROR(IF(maxifs(Transactions!$B:$B,Transactions!$C:$C,$A79,Transactions!$D:$D,"Sale")=0,"",maxifs(Transactions!$B:$B,Transactions!$C:$C,$A79,Transactions!$D:$D,"Sale")),"")</f>
        <v/>
      </c>
      <c r="AH79" s="12"/>
    </row>
    <row r="80" customFormat="false" ht="18" hidden="false" customHeight="true" outlineLevel="0" collapsed="false">
      <c r="A80" s="12" t="s">
        <v>458</v>
      </c>
      <c r="B80" s="12" t="s">
        <v>137</v>
      </c>
      <c r="C80" s="12" t="s">
        <v>77</v>
      </c>
      <c r="D80" s="12" t="s">
        <v>78</v>
      </c>
      <c r="E80" s="12" t="s">
        <v>79</v>
      </c>
      <c r="F80" s="12" t="s">
        <v>138</v>
      </c>
      <c r="G80" s="12"/>
      <c r="H80" s="12" t="s">
        <v>383</v>
      </c>
      <c r="I80" s="14" t="n">
        <v>19000</v>
      </c>
      <c r="J80" s="18" t="n">
        <f aca="false">IF($I80="","",ROUND($I80*Dropdowns!$K$5,2))</f>
        <v>49.4</v>
      </c>
      <c r="K80" s="19" t="n">
        <f aca="false">IF($I80="","",ROUND($I80*Dropdowns!$K$6,2))</f>
        <v>45.6</v>
      </c>
      <c r="L80" s="20" t="n">
        <f aca="false">IF($I80="","",ROUND($I80*Dropdowns!$K$7,2))</f>
        <v>3895</v>
      </c>
      <c r="M80" s="15" t="str">
        <f aca="false">IFERROR(IF($B80="","",VLOOKUP($B80,Designs!$A$3:$AP$165,27,FALSE())),"")</f>
        <v/>
      </c>
      <c r="N80" s="16" t="str">
        <f aca="false">IFERROR(IF(OR($I80="",$M80="",$M80=0),"",($I80-$M80)/$I80),"")</f>
        <v/>
      </c>
      <c r="O80" s="13" t="n">
        <v>0</v>
      </c>
      <c r="P80" s="13" t="n">
        <v>0</v>
      </c>
      <c r="Q80" s="21" t="n">
        <f aca="false">IF($O80="","",$O80-IF($P80="",0,$P80))</f>
        <v>0</v>
      </c>
      <c r="R80" s="13" t="n">
        <v>2</v>
      </c>
      <c r="S80" s="21" t="str">
        <f aca="false">IF($O80="","",IF($Q80&lt;=$R80,"⚠ REORDER","OK"))</f>
        <v>⚠ REORDER</v>
      </c>
      <c r="T80" s="13"/>
      <c r="U80" s="13"/>
      <c r="V80" s="13" t="s">
        <v>378</v>
      </c>
      <c r="W80" s="12" t="s">
        <v>379</v>
      </c>
      <c r="X80" s="13"/>
      <c r="Y80" s="13"/>
      <c r="Z80" s="12" t="s">
        <v>88</v>
      </c>
      <c r="AA80" s="12" t="s">
        <v>88</v>
      </c>
      <c r="AB80" s="12" t="s">
        <v>88</v>
      </c>
      <c r="AC80" s="12" t="s">
        <v>88</v>
      </c>
      <c r="AD80" s="12" t="s">
        <v>87</v>
      </c>
      <c r="AE80" s="21" t="n">
        <f aca="false">IFERROR(SUMIFS(Transactions!$F:$F,Transactions!$C:$C,$A80,Transactions!$D:$D,"Sale"),0)</f>
        <v>0</v>
      </c>
      <c r="AF80" s="15" t="n">
        <f aca="false">IFERROR(SUMIFS(Transactions!$H:$H,Transactions!$C:$C,$A80,Transactions!$D:$D,"Sale"),0)</f>
        <v>0</v>
      </c>
      <c r="AG80" s="22" t="str">
        <f aca="false">IFERROR(IF(maxifs(Transactions!$B:$B,Transactions!$C:$C,$A80,Transactions!$D:$D,"Sale")=0,"",maxifs(Transactions!$B:$B,Transactions!$C:$C,$A80,Transactions!$D:$D,"Sale")),"")</f>
        <v/>
      </c>
      <c r="AH80" s="12"/>
    </row>
    <row r="81" customFormat="false" ht="18" hidden="false" customHeight="true" outlineLevel="0" collapsed="false">
      <c r="A81" s="12" t="s">
        <v>459</v>
      </c>
      <c r="B81" s="12" t="s">
        <v>139</v>
      </c>
      <c r="C81" s="12" t="s">
        <v>77</v>
      </c>
      <c r="D81" s="12" t="s">
        <v>78</v>
      </c>
      <c r="E81" s="12" t="s">
        <v>79</v>
      </c>
      <c r="F81" s="12" t="s">
        <v>140</v>
      </c>
      <c r="G81" s="12"/>
      <c r="H81" s="12" t="s">
        <v>377</v>
      </c>
      <c r="I81" s="14" t="n">
        <v>19000</v>
      </c>
      <c r="J81" s="18" t="n">
        <f aca="false">IF($I81="","",ROUND($I81*Dropdowns!$K$5,2))</f>
        <v>49.4</v>
      </c>
      <c r="K81" s="19" t="n">
        <f aca="false">IF($I81="","",ROUND($I81*Dropdowns!$K$6,2))</f>
        <v>45.6</v>
      </c>
      <c r="L81" s="20" t="n">
        <f aca="false">IF($I81="","",ROUND($I81*Dropdowns!$K$7,2))</f>
        <v>3895</v>
      </c>
      <c r="M81" s="15" t="str">
        <f aca="false">IFERROR(IF($B81="","",VLOOKUP($B81,Designs!$A$3:$AP$165,27,FALSE())),"")</f>
        <v/>
      </c>
      <c r="N81" s="16" t="str">
        <f aca="false">IFERROR(IF(OR($I81="",$M81="",$M81=0),"",($I81-$M81)/$I81),"")</f>
        <v/>
      </c>
      <c r="O81" s="13" t="n">
        <v>0</v>
      </c>
      <c r="P81" s="13" t="n">
        <v>0</v>
      </c>
      <c r="Q81" s="21" t="n">
        <f aca="false">IF($O81="","",$O81-IF($P81="",0,$P81))</f>
        <v>0</v>
      </c>
      <c r="R81" s="13" t="n">
        <v>2</v>
      </c>
      <c r="S81" s="21" t="str">
        <f aca="false">IF($O81="","",IF($Q81&lt;=$R81,"⚠ REORDER","OK"))</f>
        <v>⚠ REORDER</v>
      </c>
      <c r="T81" s="13"/>
      <c r="U81" s="13"/>
      <c r="V81" s="13" t="s">
        <v>378</v>
      </c>
      <c r="W81" s="12" t="s">
        <v>379</v>
      </c>
      <c r="X81" s="13"/>
      <c r="Y81" s="13"/>
      <c r="Z81" s="12" t="s">
        <v>88</v>
      </c>
      <c r="AA81" s="12" t="s">
        <v>88</v>
      </c>
      <c r="AB81" s="12" t="s">
        <v>88</v>
      </c>
      <c r="AC81" s="12" t="s">
        <v>88</v>
      </c>
      <c r="AD81" s="12" t="s">
        <v>87</v>
      </c>
      <c r="AE81" s="21" t="n">
        <f aca="false">IFERROR(SUMIFS(Transactions!$F:$F,Transactions!$C:$C,$A81,Transactions!$D:$D,"Sale"),0)</f>
        <v>0</v>
      </c>
      <c r="AF81" s="15" t="n">
        <f aca="false">IFERROR(SUMIFS(Transactions!$H:$H,Transactions!$C:$C,$A81,Transactions!$D:$D,"Sale"),0)</f>
        <v>0</v>
      </c>
      <c r="AG81" s="22" t="str">
        <f aca="false">IFERROR(IF(maxifs(Transactions!$B:$B,Transactions!$C:$C,$A81,Transactions!$D:$D,"Sale")=0,"",maxifs(Transactions!$B:$B,Transactions!$C:$C,$A81,Transactions!$D:$D,"Sale")),"")</f>
        <v/>
      </c>
      <c r="AH81" s="12"/>
    </row>
    <row r="82" customFormat="false" ht="18" hidden="false" customHeight="true" outlineLevel="0" collapsed="false">
      <c r="A82" s="12" t="s">
        <v>460</v>
      </c>
      <c r="B82" s="12" t="s">
        <v>139</v>
      </c>
      <c r="C82" s="12" t="s">
        <v>77</v>
      </c>
      <c r="D82" s="12" t="s">
        <v>78</v>
      </c>
      <c r="E82" s="12" t="s">
        <v>79</v>
      </c>
      <c r="F82" s="12" t="s">
        <v>140</v>
      </c>
      <c r="G82" s="12"/>
      <c r="H82" s="12" t="s">
        <v>381</v>
      </c>
      <c r="I82" s="14" t="n">
        <v>19000</v>
      </c>
      <c r="J82" s="18" t="n">
        <f aca="false">IF($I82="","",ROUND($I82*Dropdowns!$K$5,2))</f>
        <v>49.4</v>
      </c>
      <c r="K82" s="19" t="n">
        <f aca="false">IF($I82="","",ROUND($I82*Dropdowns!$K$6,2))</f>
        <v>45.6</v>
      </c>
      <c r="L82" s="20" t="n">
        <f aca="false">IF($I82="","",ROUND($I82*Dropdowns!$K$7,2))</f>
        <v>3895</v>
      </c>
      <c r="M82" s="15" t="str">
        <f aca="false">IFERROR(IF($B82="","",VLOOKUP($B82,Designs!$A$3:$AP$165,27,FALSE())),"")</f>
        <v/>
      </c>
      <c r="N82" s="16" t="str">
        <f aca="false">IFERROR(IF(OR($I82="",$M82="",$M82=0),"",($I82-$M82)/$I82),"")</f>
        <v/>
      </c>
      <c r="O82" s="13" t="n">
        <v>0</v>
      </c>
      <c r="P82" s="13" t="n">
        <v>0</v>
      </c>
      <c r="Q82" s="21" t="n">
        <f aca="false">IF($O82="","",$O82-IF($P82="",0,$P82))</f>
        <v>0</v>
      </c>
      <c r="R82" s="13" t="n">
        <v>2</v>
      </c>
      <c r="S82" s="21" t="str">
        <f aca="false">IF($O82="","",IF($Q82&lt;=$R82,"⚠ REORDER","OK"))</f>
        <v>⚠ REORDER</v>
      </c>
      <c r="T82" s="13"/>
      <c r="U82" s="13"/>
      <c r="V82" s="13" t="s">
        <v>378</v>
      </c>
      <c r="W82" s="12" t="s">
        <v>379</v>
      </c>
      <c r="X82" s="13"/>
      <c r="Y82" s="13"/>
      <c r="Z82" s="12" t="s">
        <v>88</v>
      </c>
      <c r="AA82" s="12" t="s">
        <v>88</v>
      </c>
      <c r="AB82" s="12" t="s">
        <v>88</v>
      </c>
      <c r="AC82" s="12" t="s">
        <v>88</v>
      </c>
      <c r="AD82" s="12" t="s">
        <v>87</v>
      </c>
      <c r="AE82" s="21" t="n">
        <f aca="false">IFERROR(SUMIFS(Transactions!$F:$F,Transactions!$C:$C,$A82,Transactions!$D:$D,"Sale"),0)</f>
        <v>0</v>
      </c>
      <c r="AF82" s="15" t="n">
        <f aca="false">IFERROR(SUMIFS(Transactions!$H:$H,Transactions!$C:$C,$A82,Transactions!$D:$D,"Sale"),0)</f>
        <v>0</v>
      </c>
      <c r="AG82" s="22" t="str">
        <f aca="false">IFERROR(IF(maxifs(Transactions!$B:$B,Transactions!$C:$C,$A82,Transactions!$D:$D,"Sale")=0,"",maxifs(Transactions!$B:$B,Transactions!$C:$C,$A82,Transactions!$D:$D,"Sale")),"")</f>
        <v/>
      </c>
      <c r="AH82" s="12"/>
    </row>
    <row r="83" customFormat="false" ht="18" hidden="false" customHeight="true" outlineLevel="0" collapsed="false">
      <c r="A83" s="12" t="s">
        <v>461</v>
      </c>
      <c r="B83" s="12" t="s">
        <v>139</v>
      </c>
      <c r="C83" s="12" t="s">
        <v>77</v>
      </c>
      <c r="D83" s="12" t="s">
        <v>78</v>
      </c>
      <c r="E83" s="12" t="s">
        <v>79</v>
      </c>
      <c r="F83" s="12" t="s">
        <v>140</v>
      </c>
      <c r="G83" s="12"/>
      <c r="H83" s="12" t="s">
        <v>383</v>
      </c>
      <c r="I83" s="14" t="n">
        <v>19000</v>
      </c>
      <c r="J83" s="18" t="n">
        <f aca="false">IF($I83="","",ROUND($I83*Dropdowns!$K$5,2))</f>
        <v>49.4</v>
      </c>
      <c r="K83" s="19" t="n">
        <f aca="false">IF($I83="","",ROUND($I83*Dropdowns!$K$6,2))</f>
        <v>45.6</v>
      </c>
      <c r="L83" s="20" t="n">
        <f aca="false">IF($I83="","",ROUND($I83*Dropdowns!$K$7,2))</f>
        <v>3895</v>
      </c>
      <c r="M83" s="15" t="str">
        <f aca="false">IFERROR(IF($B83="","",VLOOKUP($B83,Designs!$A$3:$AP$165,27,FALSE())),"")</f>
        <v/>
      </c>
      <c r="N83" s="16" t="str">
        <f aca="false">IFERROR(IF(OR($I83="",$M83="",$M83=0),"",($I83-$M83)/$I83),"")</f>
        <v/>
      </c>
      <c r="O83" s="13" t="n">
        <v>0</v>
      </c>
      <c r="P83" s="13" t="n">
        <v>0</v>
      </c>
      <c r="Q83" s="21" t="n">
        <f aca="false">IF($O83="","",$O83-IF($P83="",0,$P83))</f>
        <v>0</v>
      </c>
      <c r="R83" s="13" t="n">
        <v>2</v>
      </c>
      <c r="S83" s="21" t="str">
        <f aca="false">IF($O83="","",IF($Q83&lt;=$R83,"⚠ REORDER","OK"))</f>
        <v>⚠ REORDER</v>
      </c>
      <c r="T83" s="13"/>
      <c r="U83" s="13"/>
      <c r="V83" s="13" t="s">
        <v>378</v>
      </c>
      <c r="W83" s="12" t="s">
        <v>379</v>
      </c>
      <c r="X83" s="13"/>
      <c r="Y83" s="13"/>
      <c r="Z83" s="12" t="s">
        <v>88</v>
      </c>
      <c r="AA83" s="12" t="s">
        <v>88</v>
      </c>
      <c r="AB83" s="12" t="s">
        <v>88</v>
      </c>
      <c r="AC83" s="12" t="s">
        <v>88</v>
      </c>
      <c r="AD83" s="12" t="s">
        <v>87</v>
      </c>
      <c r="AE83" s="21" t="n">
        <f aca="false">IFERROR(SUMIFS(Transactions!$F:$F,Transactions!$C:$C,$A83,Transactions!$D:$D,"Sale"),0)</f>
        <v>0</v>
      </c>
      <c r="AF83" s="15" t="n">
        <f aca="false">IFERROR(SUMIFS(Transactions!$H:$H,Transactions!$C:$C,$A83,Transactions!$D:$D,"Sale"),0)</f>
        <v>0</v>
      </c>
      <c r="AG83" s="22" t="str">
        <f aca="false">IFERROR(IF(maxifs(Transactions!$B:$B,Transactions!$C:$C,$A83,Transactions!$D:$D,"Sale")=0,"",maxifs(Transactions!$B:$B,Transactions!$C:$C,$A83,Transactions!$D:$D,"Sale")),"")</f>
        <v/>
      </c>
      <c r="AH83" s="12"/>
    </row>
    <row r="84" customFormat="false" ht="18" hidden="false" customHeight="true" outlineLevel="0" collapsed="false">
      <c r="A84" s="12" t="s">
        <v>462</v>
      </c>
      <c r="B84" s="12" t="s">
        <v>141</v>
      </c>
      <c r="C84" s="12" t="s">
        <v>77</v>
      </c>
      <c r="D84" s="12" t="s">
        <v>78</v>
      </c>
      <c r="E84" s="12" t="s">
        <v>79</v>
      </c>
      <c r="F84" s="12" t="s">
        <v>142</v>
      </c>
      <c r="G84" s="12"/>
      <c r="H84" s="12" t="s">
        <v>377</v>
      </c>
      <c r="I84" s="14" t="n">
        <v>19000</v>
      </c>
      <c r="J84" s="18" t="n">
        <f aca="false">IF($I84="","",ROUND($I84*Dropdowns!$K$5,2))</f>
        <v>49.4</v>
      </c>
      <c r="K84" s="19" t="n">
        <f aca="false">IF($I84="","",ROUND($I84*Dropdowns!$K$6,2))</f>
        <v>45.6</v>
      </c>
      <c r="L84" s="20" t="n">
        <f aca="false">IF($I84="","",ROUND($I84*Dropdowns!$K$7,2))</f>
        <v>3895</v>
      </c>
      <c r="M84" s="15" t="str">
        <f aca="false">IFERROR(IF($B84="","",VLOOKUP($B84,Designs!$A$3:$AP$165,27,FALSE())),"")</f>
        <v/>
      </c>
      <c r="N84" s="16" t="str">
        <f aca="false">IFERROR(IF(OR($I84="",$M84="",$M84=0),"",($I84-$M84)/$I84),"")</f>
        <v/>
      </c>
      <c r="O84" s="13" t="n">
        <v>0</v>
      </c>
      <c r="P84" s="13" t="n">
        <v>0</v>
      </c>
      <c r="Q84" s="21" t="n">
        <f aca="false">IF($O84="","",$O84-IF($P84="",0,$P84))</f>
        <v>0</v>
      </c>
      <c r="R84" s="13" t="n">
        <v>2</v>
      </c>
      <c r="S84" s="21" t="str">
        <f aca="false">IF($O84="","",IF($Q84&lt;=$R84,"⚠ REORDER","OK"))</f>
        <v>⚠ REORDER</v>
      </c>
      <c r="T84" s="13"/>
      <c r="U84" s="13"/>
      <c r="V84" s="13" t="s">
        <v>378</v>
      </c>
      <c r="W84" s="12" t="s">
        <v>379</v>
      </c>
      <c r="X84" s="13"/>
      <c r="Y84" s="13"/>
      <c r="Z84" s="12" t="s">
        <v>88</v>
      </c>
      <c r="AA84" s="12" t="s">
        <v>88</v>
      </c>
      <c r="AB84" s="12" t="s">
        <v>88</v>
      </c>
      <c r="AC84" s="12" t="s">
        <v>88</v>
      </c>
      <c r="AD84" s="12" t="s">
        <v>87</v>
      </c>
      <c r="AE84" s="21" t="n">
        <f aca="false">IFERROR(SUMIFS(Transactions!$F:$F,Transactions!$C:$C,$A84,Transactions!$D:$D,"Sale"),0)</f>
        <v>0</v>
      </c>
      <c r="AF84" s="15" t="n">
        <f aca="false">IFERROR(SUMIFS(Transactions!$H:$H,Transactions!$C:$C,$A84,Transactions!$D:$D,"Sale"),0)</f>
        <v>0</v>
      </c>
      <c r="AG84" s="22" t="str">
        <f aca="false">IFERROR(IF(maxifs(Transactions!$B:$B,Transactions!$C:$C,$A84,Transactions!$D:$D,"Sale")=0,"",maxifs(Transactions!$B:$B,Transactions!$C:$C,$A84,Transactions!$D:$D,"Sale")),"")</f>
        <v/>
      </c>
      <c r="AH84" s="12"/>
    </row>
    <row r="85" customFormat="false" ht="18" hidden="false" customHeight="true" outlineLevel="0" collapsed="false">
      <c r="A85" s="12" t="s">
        <v>463</v>
      </c>
      <c r="B85" s="12" t="s">
        <v>141</v>
      </c>
      <c r="C85" s="12" t="s">
        <v>77</v>
      </c>
      <c r="D85" s="12" t="s">
        <v>78</v>
      </c>
      <c r="E85" s="12" t="s">
        <v>79</v>
      </c>
      <c r="F85" s="12" t="s">
        <v>142</v>
      </c>
      <c r="G85" s="12"/>
      <c r="H85" s="12" t="s">
        <v>381</v>
      </c>
      <c r="I85" s="14" t="n">
        <v>19000</v>
      </c>
      <c r="J85" s="18" t="n">
        <f aca="false">IF($I85="","",ROUND($I85*Dropdowns!$K$5,2))</f>
        <v>49.4</v>
      </c>
      <c r="K85" s="19" t="n">
        <f aca="false">IF($I85="","",ROUND($I85*Dropdowns!$K$6,2))</f>
        <v>45.6</v>
      </c>
      <c r="L85" s="20" t="n">
        <f aca="false">IF($I85="","",ROUND($I85*Dropdowns!$K$7,2))</f>
        <v>3895</v>
      </c>
      <c r="M85" s="15" t="str">
        <f aca="false">IFERROR(IF($B85="","",VLOOKUP($B85,Designs!$A$3:$AP$165,27,FALSE())),"")</f>
        <v/>
      </c>
      <c r="N85" s="16" t="str">
        <f aca="false">IFERROR(IF(OR($I85="",$M85="",$M85=0),"",($I85-$M85)/$I85),"")</f>
        <v/>
      </c>
      <c r="O85" s="13" t="n">
        <v>0</v>
      </c>
      <c r="P85" s="13" t="n">
        <v>0</v>
      </c>
      <c r="Q85" s="21" t="n">
        <f aca="false">IF($O85="","",$O85-IF($P85="",0,$P85))</f>
        <v>0</v>
      </c>
      <c r="R85" s="13" t="n">
        <v>2</v>
      </c>
      <c r="S85" s="21" t="str">
        <f aca="false">IF($O85="","",IF($Q85&lt;=$R85,"⚠ REORDER","OK"))</f>
        <v>⚠ REORDER</v>
      </c>
      <c r="T85" s="13"/>
      <c r="U85" s="13"/>
      <c r="V85" s="13" t="s">
        <v>378</v>
      </c>
      <c r="W85" s="12" t="s">
        <v>379</v>
      </c>
      <c r="X85" s="13"/>
      <c r="Y85" s="13"/>
      <c r="Z85" s="12" t="s">
        <v>88</v>
      </c>
      <c r="AA85" s="12" t="s">
        <v>88</v>
      </c>
      <c r="AB85" s="12" t="s">
        <v>88</v>
      </c>
      <c r="AC85" s="12" t="s">
        <v>88</v>
      </c>
      <c r="AD85" s="12" t="s">
        <v>87</v>
      </c>
      <c r="AE85" s="21" t="n">
        <f aca="false">IFERROR(SUMIFS(Transactions!$F:$F,Transactions!$C:$C,$A85,Transactions!$D:$D,"Sale"),0)</f>
        <v>0</v>
      </c>
      <c r="AF85" s="15" t="n">
        <f aca="false">IFERROR(SUMIFS(Transactions!$H:$H,Transactions!$C:$C,$A85,Transactions!$D:$D,"Sale"),0)</f>
        <v>0</v>
      </c>
      <c r="AG85" s="22" t="str">
        <f aca="false">IFERROR(IF(maxifs(Transactions!$B:$B,Transactions!$C:$C,$A85,Transactions!$D:$D,"Sale")=0,"",maxifs(Transactions!$B:$B,Transactions!$C:$C,$A85,Transactions!$D:$D,"Sale")),"")</f>
        <v/>
      </c>
      <c r="AH85" s="12"/>
    </row>
    <row r="86" customFormat="false" ht="18" hidden="false" customHeight="true" outlineLevel="0" collapsed="false">
      <c r="A86" s="12" t="s">
        <v>464</v>
      </c>
      <c r="B86" s="12" t="s">
        <v>141</v>
      </c>
      <c r="C86" s="12" t="s">
        <v>77</v>
      </c>
      <c r="D86" s="12" t="s">
        <v>78</v>
      </c>
      <c r="E86" s="12" t="s">
        <v>79</v>
      </c>
      <c r="F86" s="12" t="s">
        <v>142</v>
      </c>
      <c r="G86" s="12"/>
      <c r="H86" s="12" t="s">
        <v>383</v>
      </c>
      <c r="I86" s="14" t="n">
        <v>19000</v>
      </c>
      <c r="J86" s="18" t="n">
        <f aca="false">IF($I86="","",ROUND($I86*Dropdowns!$K$5,2))</f>
        <v>49.4</v>
      </c>
      <c r="K86" s="19" t="n">
        <f aca="false">IF($I86="","",ROUND($I86*Dropdowns!$K$6,2))</f>
        <v>45.6</v>
      </c>
      <c r="L86" s="20" t="n">
        <f aca="false">IF($I86="","",ROUND($I86*Dropdowns!$K$7,2))</f>
        <v>3895</v>
      </c>
      <c r="M86" s="15" t="str">
        <f aca="false">IFERROR(IF($B86="","",VLOOKUP($B86,Designs!$A$3:$AP$165,27,FALSE())),"")</f>
        <v/>
      </c>
      <c r="N86" s="16" t="str">
        <f aca="false">IFERROR(IF(OR($I86="",$M86="",$M86=0),"",($I86-$M86)/$I86),"")</f>
        <v/>
      </c>
      <c r="O86" s="13" t="n">
        <v>0</v>
      </c>
      <c r="P86" s="13" t="n">
        <v>0</v>
      </c>
      <c r="Q86" s="21" t="n">
        <f aca="false">IF($O86="","",$O86-IF($P86="",0,$P86))</f>
        <v>0</v>
      </c>
      <c r="R86" s="13" t="n">
        <v>2</v>
      </c>
      <c r="S86" s="21" t="str">
        <f aca="false">IF($O86="","",IF($Q86&lt;=$R86,"⚠ REORDER","OK"))</f>
        <v>⚠ REORDER</v>
      </c>
      <c r="T86" s="13"/>
      <c r="U86" s="13"/>
      <c r="V86" s="13" t="s">
        <v>378</v>
      </c>
      <c r="W86" s="12" t="s">
        <v>379</v>
      </c>
      <c r="X86" s="13"/>
      <c r="Y86" s="13"/>
      <c r="Z86" s="12" t="s">
        <v>88</v>
      </c>
      <c r="AA86" s="12" t="s">
        <v>88</v>
      </c>
      <c r="AB86" s="12" t="s">
        <v>88</v>
      </c>
      <c r="AC86" s="12" t="s">
        <v>88</v>
      </c>
      <c r="AD86" s="12" t="s">
        <v>87</v>
      </c>
      <c r="AE86" s="21" t="n">
        <f aca="false">IFERROR(SUMIFS(Transactions!$F:$F,Transactions!$C:$C,$A86,Transactions!$D:$D,"Sale"),0)</f>
        <v>0</v>
      </c>
      <c r="AF86" s="15" t="n">
        <f aca="false">IFERROR(SUMIFS(Transactions!$H:$H,Transactions!$C:$C,$A86,Transactions!$D:$D,"Sale"),0)</f>
        <v>0</v>
      </c>
      <c r="AG86" s="22" t="str">
        <f aca="false">IFERROR(IF(maxifs(Transactions!$B:$B,Transactions!$C:$C,$A86,Transactions!$D:$D,"Sale")=0,"",maxifs(Transactions!$B:$B,Transactions!$C:$C,$A86,Transactions!$D:$D,"Sale")),"")</f>
        <v/>
      </c>
      <c r="AH86" s="12"/>
    </row>
    <row r="87" customFormat="false" ht="18" hidden="false" customHeight="true" outlineLevel="0" collapsed="false">
      <c r="A87" s="12" t="s">
        <v>465</v>
      </c>
      <c r="B87" s="12" t="s">
        <v>143</v>
      </c>
      <c r="C87" s="12" t="s">
        <v>77</v>
      </c>
      <c r="D87" s="12" t="s">
        <v>78</v>
      </c>
      <c r="E87" s="12" t="s">
        <v>79</v>
      </c>
      <c r="F87" s="12" t="s">
        <v>144</v>
      </c>
      <c r="G87" s="12"/>
      <c r="H87" s="12" t="s">
        <v>377</v>
      </c>
      <c r="I87" s="14" t="n">
        <v>19000</v>
      </c>
      <c r="J87" s="18" t="n">
        <f aca="false">IF($I87="","",ROUND($I87*Dropdowns!$K$5,2))</f>
        <v>49.4</v>
      </c>
      <c r="K87" s="19" t="n">
        <f aca="false">IF($I87="","",ROUND($I87*Dropdowns!$K$6,2))</f>
        <v>45.6</v>
      </c>
      <c r="L87" s="20" t="n">
        <f aca="false">IF($I87="","",ROUND($I87*Dropdowns!$K$7,2))</f>
        <v>3895</v>
      </c>
      <c r="M87" s="15" t="str">
        <f aca="false">IFERROR(IF($B87="","",VLOOKUP($B87,Designs!$A$3:$AP$165,27,FALSE())),"")</f>
        <v/>
      </c>
      <c r="N87" s="16" t="str">
        <f aca="false">IFERROR(IF(OR($I87="",$M87="",$M87=0),"",($I87-$M87)/$I87),"")</f>
        <v/>
      </c>
      <c r="O87" s="13" t="n">
        <v>0</v>
      </c>
      <c r="P87" s="13" t="n">
        <v>0</v>
      </c>
      <c r="Q87" s="21" t="n">
        <f aca="false">IF($O87="","",$O87-IF($P87="",0,$P87))</f>
        <v>0</v>
      </c>
      <c r="R87" s="13" t="n">
        <v>2</v>
      </c>
      <c r="S87" s="21" t="str">
        <f aca="false">IF($O87="","",IF($Q87&lt;=$R87,"⚠ REORDER","OK"))</f>
        <v>⚠ REORDER</v>
      </c>
      <c r="T87" s="13"/>
      <c r="U87" s="13"/>
      <c r="V87" s="13" t="s">
        <v>378</v>
      </c>
      <c r="W87" s="12" t="s">
        <v>379</v>
      </c>
      <c r="X87" s="13"/>
      <c r="Y87" s="13"/>
      <c r="Z87" s="12" t="s">
        <v>88</v>
      </c>
      <c r="AA87" s="12" t="s">
        <v>88</v>
      </c>
      <c r="AB87" s="12" t="s">
        <v>88</v>
      </c>
      <c r="AC87" s="12" t="s">
        <v>88</v>
      </c>
      <c r="AD87" s="12" t="s">
        <v>87</v>
      </c>
      <c r="AE87" s="21" t="n">
        <f aca="false">IFERROR(SUMIFS(Transactions!$F:$F,Transactions!$C:$C,$A87,Transactions!$D:$D,"Sale"),0)</f>
        <v>0</v>
      </c>
      <c r="AF87" s="15" t="n">
        <f aca="false">IFERROR(SUMIFS(Transactions!$H:$H,Transactions!$C:$C,$A87,Transactions!$D:$D,"Sale"),0)</f>
        <v>0</v>
      </c>
      <c r="AG87" s="22" t="str">
        <f aca="false">IFERROR(IF(maxifs(Transactions!$B:$B,Transactions!$C:$C,$A87,Transactions!$D:$D,"Sale")=0,"",maxifs(Transactions!$B:$B,Transactions!$C:$C,$A87,Transactions!$D:$D,"Sale")),"")</f>
        <v/>
      </c>
      <c r="AH87" s="12"/>
    </row>
    <row r="88" customFormat="false" ht="18" hidden="false" customHeight="true" outlineLevel="0" collapsed="false">
      <c r="A88" s="12" t="s">
        <v>466</v>
      </c>
      <c r="B88" s="12" t="s">
        <v>143</v>
      </c>
      <c r="C88" s="12" t="s">
        <v>77</v>
      </c>
      <c r="D88" s="12" t="s">
        <v>78</v>
      </c>
      <c r="E88" s="12" t="s">
        <v>79</v>
      </c>
      <c r="F88" s="12" t="s">
        <v>144</v>
      </c>
      <c r="G88" s="12"/>
      <c r="H88" s="12" t="s">
        <v>381</v>
      </c>
      <c r="I88" s="14" t="n">
        <v>19000</v>
      </c>
      <c r="J88" s="18" t="n">
        <f aca="false">IF($I88="","",ROUND($I88*Dropdowns!$K$5,2))</f>
        <v>49.4</v>
      </c>
      <c r="K88" s="19" t="n">
        <f aca="false">IF($I88="","",ROUND($I88*Dropdowns!$K$6,2))</f>
        <v>45.6</v>
      </c>
      <c r="L88" s="20" t="n">
        <f aca="false">IF($I88="","",ROUND($I88*Dropdowns!$K$7,2))</f>
        <v>3895</v>
      </c>
      <c r="M88" s="15" t="str">
        <f aca="false">IFERROR(IF($B88="","",VLOOKUP($B88,Designs!$A$3:$AP$165,27,FALSE())),"")</f>
        <v/>
      </c>
      <c r="N88" s="16" t="str">
        <f aca="false">IFERROR(IF(OR($I88="",$M88="",$M88=0),"",($I88-$M88)/$I88),"")</f>
        <v/>
      </c>
      <c r="O88" s="13" t="n">
        <v>0</v>
      </c>
      <c r="P88" s="13" t="n">
        <v>0</v>
      </c>
      <c r="Q88" s="21" t="n">
        <f aca="false">IF($O88="","",$O88-IF($P88="",0,$P88))</f>
        <v>0</v>
      </c>
      <c r="R88" s="13" t="n">
        <v>2</v>
      </c>
      <c r="S88" s="21" t="str">
        <f aca="false">IF($O88="","",IF($Q88&lt;=$R88,"⚠ REORDER","OK"))</f>
        <v>⚠ REORDER</v>
      </c>
      <c r="T88" s="13"/>
      <c r="U88" s="13"/>
      <c r="V88" s="13" t="s">
        <v>378</v>
      </c>
      <c r="W88" s="12" t="s">
        <v>379</v>
      </c>
      <c r="X88" s="13"/>
      <c r="Y88" s="13"/>
      <c r="Z88" s="12" t="s">
        <v>88</v>
      </c>
      <c r="AA88" s="12" t="s">
        <v>88</v>
      </c>
      <c r="AB88" s="12" t="s">
        <v>88</v>
      </c>
      <c r="AC88" s="12" t="s">
        <v>88</v>
      </c>
      <c r="AD88" s="12" t="s">
        <v>87</v>
      </c>
      <c r="AE88" s="21" t="n">
        <f aca="false">IFERROR(SUMIFS(Transactions!$F:$F,Transactions!$C:$C,$A88,Transactions!$D:$D,"Sale"),0)</f>
        <v>0</v>
      </c>
      <c r="AF88" s="15" t="n">
        <f aca="false">IFERROR(SUMIFS(Transactions!$H:$H,Transactions!$C:$C,$A88,Transactions!$D:$D,"Sale"),0)</f>
        <v>0</v>
      </c>
      <c r="AG88" s="22" t="str">
        <f aca="false">IFERROR(IF(maxifs(Transactions!$B:$B,Transactions!$C:$C,$A88,Transactions!$D:$D,"Sale")=0,"",maxifs(Transactions!$B:$B,Transactions!$C:$C,$A88,Transactions!$D:$D,"Sale")),"")</f>
        <v/>
      </c>
      <c r="AH88" s="12"/>
    </row>
    <row r="89" customFormat="false" ht="18" hidden="false" customHeight="true" outlineLevel="0" collapsed="false">
      <c r="A89" s="12" t="s">
        <v>467</v>
      </c>
      <c r="B89" s="12" t="s">
        <v>143</v>
      </c>
      <c r="C89" s="12" t="s">
        <v>77</v>
      </c>
      <c r="D89" s="12" t="s">
        <v>78</v>
      </c>
      <c r="E89" s="12" t="s">
        <v>79</v>
      </c>
      <c r="F89" s="12" t="s">
        <v>144</v>
      </c>
      <c r="G89" s="12"/>
      <c r="H89" s="12" t="s">
        <v>383</v>
      </c>
      <c r="I89" s="14" t="n">
        <v>19000</v>
      </c>
      <c r="J89" s="18" t="n">
        <f aca="false">IF($I89="","",ROUND($I89*Dropdowns!$K$5,2))</f>
        <v>49.4</v>
      </c>
      <c r="K89" s="19" t="n">
        <f aca="false">IF($I89="","",ROUND($I89*Dropdowns!$K$6,2))</f>
        <v>45.6</v>
      </c>
      <c r="L89" s="20" t="n">
        <f aca="false">IF($I89="","",ROUND($I89*Dropdowns!$K$7,2))</f>
        <v>3895</v>
      </c>
      <c r="M89" s="15" t="str">
        <f aca="false">IFERROR(IF($B89="","",VLOOKUP($B89,Designs!$A$3:$AP$165,27,FALSE())),"")</f>
        <v/>
      </c>
      <c r="N89" s="16" t="str">
        <f aca="false">IFERROR(IF(OR($I89="",$M89="",$M89=0),"",($I89-$M89)/$I89),"")</f>
        <v/>
      </c>
      <c r="O89" s="13" t="n">
        <v>0</v>
      </c>
      <c r="P89" s="13" t="n">
        <v>0</v>
      </c>
      <c r="Q89" s="21" t="n">
        <f aca="false">IF($O89="","",$O89-IF($P89="",0,$P89))</f>
        <v>0</v>
      </c>
      <c r="R89" s="13" t="n">
        <v>2</v>
      </c>
      <c r="S89" s="21" t="str">
        <f aca="false">IF($O89="","",IF($Q89&lt;=$R89,"⚠ REORDER","OK"))</f>
        <v>⚠ REORDER</v>
      </c>
      <c r="T89" s="13"/>
      <c r="U89" s="13"/>
      <c r="V89" s="13" t="s">
        <v>378</v>
      </c>
      <c r="W89" s="12" t="s">
        <v>379</v>
      </c>
      <c r="X89" s="13"/>
      <c r="Y89" s="13"/>
      <c r="Z89" s="12" t="s">
        <v>88</v>
      </c>
      <c r="AA89" s="12" t="s">
        <v>88</v>
      </c>
      <c r="AB89" s="12" t="s">
        <v>88</v>
      </c>
      <c r="AC89" s="12" t="s">
        <v>88</v>
      </c>
      <c r="AD89" s="12" t="s">
        <v>87</v>
      </c>
      <c r="AE89" s="21" t="n">
        <f aca="false">IFERROR(SUMIFS(Transactions!$F:$F,Transactions!$C:$C,$A89,Transactions!$D:$D,"Sale"),0)</f>
        <v>0</v>
      </c>
      <c r="AF89" s="15" t="n">
        <f aca="false">IFERROR(SUMIFS(Transactions!$H:$H,Transactions!$C:$C,$A89,Transactions!$D:$D,"Sale"),0)</f>
        <v>0</v>
      </c>
      <c r="AG89" s="22" t="str">
        <f aca="false">IFERROR(IF(maxifs(Transactions!$B:$B,Transactions!$C:$C,$A89,Transactions!$D:$D,"Sale")=0,"",maxifs(Transactions!$B:$B,Transactions!$C:$C,$A89,Transactions!$D:$D,"Sale")),"")</f>
        <v/>
      </c>
      <c r="AH89" s="12"/>
    </row>
    <row r="90" customFormat="false" ht="18" hidden="false" customHeight="true" outlineLevel="0" collapsed="false">
      <c r="A90" s="12" t="s">
        <v>468</v>
      </c>
      <c r="B90" s="12" t="s">
        <v>145</v>
      </c>
      <c r="C90" s="12" t="s">
        <v>77</v>
      </c>
      <c r="D90" s="12" t="s">
        <v>78</v>
      </c>
      <c r="E90" s="12" t="s">
        <v>79</v>
      </c>
      <c r="F90" s="12" t="s">
        <v>146</v>
      </c>
      <c r="G90" s="12"/>
      <c r="H90" s="12" t="s">
        <v>377</v>
      </c>
      <c r="I90" s="14" t="n">
        <v>19000</v>
      </c>
      <c r="J90" s="18" t="n">
        <f aca="false">IF($I90="","",ROUND($I90*Dropdowns!$K$5,2))</f>
        <v>49.4</v>
      </c>
      <c r="K90" s="19" t="n">
        <f aca="false">IF($I90="","",ROUND($I90*Dropdowns!$K$6,2))</f>
        <v>45.6</v>
      </c>
      <c r="L90" s="20" t="n">
        <f aca="false">IF($I90="","",ROUND($I90*Dropdowns!$K$7,2))</f>
        <v>3895</v>
      </c>
      <c r="M90" s="15" t="str">
        <f aca="false">IFERROR(IF($B90="","",VLOOKUP($B90,Designs!$A$3:$AP$165,27,FALSE())),"")</f>
        <v/>
      </c>
      <c r="N90" s="16" t="str">
        <f aca="false">IFERROR(IF(OR($I90="",$M90="",$M90=0),"",($I90-$M90)/$I90),"")</f>
        <v/>
      </c>
      <c r="O90" s="13" t="n">
        <v>0</v>
      </c>
      <c r="P90" s="13" t="n">
        <v>0</v>
      </c>
      <c r="Q90" s="21" t="n">
        <f aca="false">IF($O90="","",$O90-IF($P90="",0,$P90))</f>
        <v>0</v>
      </c>
      <c r="R90" s="13" t="n">
        <v>2</v>
      </c>
      <c r="S90" s="21" t="str">
        <f aca="false">IF($O90="","",IF($Q90&lt;=$R90,"⚠ REORDER","OK"))</f>
        <v>⚠ REORDER</v>
      </c>
      <c r="T90" s="13"/>
      <c r="U90" s="13"/>
      <c r="V90" s="13" t="s">
        <v>378</v>
      </c>
      <c r="W90" s="12" t="s">
        <v>379</v>
      </c>
      <c r="X90" s="13"/>
      <c r="Y90" s="13"/>
      <c r="Z90" s="12" t="s">
        <v>88</v>
      </c>
      <c r="AA90" s="12" t="s">
        <v>88</v>
      </c>
      <c r="AB90" s="12" t="s">
        <v>88</v>
      </c>
      <c r="AC90" s="12" t="s">
        <v>88</v>
      </c>
      <c r="AD90" s="12" t="s">
        <v>87</v>
      </c>
      <c r="AE90" s="21" t="n">
        <f aca="false">IFERROR(SUMIFS(Transactions!$F:$F,Transactions!$C:$C,$A90,Transactions!$D:$D,"Sale"),0)</f>
        <v>0</v>
      </c>
      <c r="AF90" s="15" t="n">
        <f aca="false">IFERROR(SUMIFS(Transactions!$H:$H,Transactions!$C:$C,$A90,Transactions!$D:$D,"Sale"),0)</f>
        <v>0</v>
      </c>
      <c r="AG90" s="22" t="str">
        <f aca="false">IFERROR(IF(maxifs(Transactions!$B:$B,Transactions!$C:$C,$A90,Transactions!$D:$D,"Sale")=0,"",maxifs(Transactions!$B:$B,Transactions!$C:$C,$A90,Transactions!$D:$D,"Sale")),"")</f>
        <v/>
      </c>
      <c r="AH90" s="12"/>
    </row>
    <row r="91" customFormat="false" ht="18" hidden="false" customHeight="true" outlineLevel="0" collapsed="false">
      <c r="A91" s="12" t="s">
        <v>469</v>
      </c>
      <c r="B91" s="12" t="s">
        <v>145</v>
      </c>
      <c r="C91" s="12" t="s">
        <v>77</v>
      </c>
      <c r="D91" s="12" t="s">
        <v>78</v>
      </c>
      <c r="E91" s="12" t="s">
        <v>79</v>
      </c>
      <c r="F91" s="12" t="s">
        <v>146</v>
      </c>
      <c r="G91" s="12"/>
      <c r="H91" s="12" t="s">
        <v>381</v>
      </c>
      <c r="I91" s="14" t="n">
        <v>19000</v>
      </c>
      <c r="J91" s="18" t="n">
        <f aca="false">IF($I91="","",ROUND($I91*Dropdowns!$K$5,2))</f>
        <v>49.4</v>
      </c>
      <c r="K91" s="19" t="n">
        <f aca="false">IF($I91="","",ROUND($I91*Dropdowns!$K$6,2))</f>
        <v>45.6</v>
      </c>
      <c r="L91" s="20" t="n">
        <f aca="false">IF($I91="","",ROUND($I91*Dropdowns!$K$7,2))</f>
        <v>3895</v>
      </c>
      <c r="M91" s="15" t="str">
        <f aca="false">IFERROR(IF($B91="","",VLOOKUP($B91,Designs!$A$3:$AP$165,27,FALSE())),"")</f>
        <v/>
      </c>
      <c r="N91" s="16" t="str">
        <f aca="false">IFERROR(IF(OR($I91="",$M91="",$M91=0),"",($I91-$M91)/$I91),"")</f>
        <v/>
      </c>
      <c r="O91" s="13" t="n">
        <v>0</v>
      </c>
      <c r="P91" s="13" t="n">
        <v>0</v>
      </c>
      <c r="Q91" s="21" t="n">
        <f aca="false">IF($O91="","",$O91-IF($P91="",0,$P91))</f>
        <v>0</v>
      </c>
      <c r="R91" s="13" t="n">
        <v>2</v>
      </c>
      <c r="S91" s="21" t="str">
        <f aca="false">IF($O91="","",IF($Q91&lt;=$R91,"⚠ REORDER","OK"))</f>
        <v>⚠ REORDER</v>
      </c>
      <c r="T91" s="13"/>
      <c r="U91" s="13"/>
      <c r="V91" s="13" t="s">
        <v>378</v>
      </c>
      <c r="W91" s="12" t="s">
        <v>379</v>
      </c>
      <c r="X91" s="13"/>
      <c r="Y91" s="13"/>
      <c r="Z91" s="12" t="s">
        <v>88</v>
      </c>
      <c r="AA91" s="12" t="s">
        <v>88</v>
      </c>
      <c r="AB91" s="12" t="s">
        <v>88</v>
      </c>
      <c r="AC91" s="12" t="s">
        <v>88</v>
      </c>
      <c r="AD91" s="12" t="s">
        <v>87</v>
      </c>
      <c r="AE91" s="21" t="n">
        <f aca="false">IFERROR(SUMIFS(Transactions!$F:$F,Transactions!$C:$C,$A91,Transactions!$D:$D,"Sale"),0)</f>
        <v>0</v>
      </c>
      <c r="AF91" s="15" t="n">
        <f aca="false">IFERROR(SUMIFS(Transactions!$H:$H,Transactions!$C:$C,$A91,Transactions!$D:$D,"Sale"),0)</f>
        <v>0</v>
      </c>
      <c r="AG91" s="22" t="str">
        <f aca="false">IFERROR(IF(maxifs(Transactions!$B:$B,Transactions!$C:$C,$A91,Transactions!$D:$D,"Sale")=0,"",maxifs(Transactions!$B:$B,Transactions!$C:$C,$A91,Transactions!$D:$D,"Sale")),"")</f>
        <v/>
      </c>
      <c r="AH91" s="12"/>
    </row>
    <row r="92" customFormat="false" ht="18" hidden="false" customHeight="true" outlineLevel="0" collapsed="false">
      <c r="A92" s="12" t="s">
        <v>470</v>
      </c>
      <c r="B92" s="12" t="s">
        <v>145</v>
      </c>
      <c r="C92" s="12" t="s">
        <v>77</v>
      </c>
      <c r="D92" s="12" t="s">
        <v>78</v>
      </c>
      <c r="E92" s="12" t="s">
        <v>79</v>
      </c>
      <c r="F92" s="12" t="s">
        <v>146</v>
      </c>
      <c r="G92" s="12"/>
      <c r="H92" s="12" t="s">
        <v>383</v>
      </c>
      <c r="I92" s="14" t="n">
        <v>19000</v>
      </c>
      <c r="J92" s="18" t="n">
        <f aca="false">IF($I92="","",ROUND($I92*Dropdowns!$K$5,2))</f>
        <v>49.4</v>
      </c>
      <c r="K92" s="19" t="n">
        <f aca="false">IF($I92="","",ROUND($I92*Dropdowns!$K$6,2))</f>
        <v>45.6</v>
      </c>
      <c r="L92" s="20" t="n">
        <f aca="false">IF($I92="","",ROUND($I92*Dropdowns!$K$7,2))</f>
        <v>3895</v>
      </c>
      <c r="M92" s="15" t="str">
        <f aca="false">IFERROR(IF($B92="","",VLOOKUP($B92,Designs!$A$3:$AP$165,27,FALSE())),"")</f>
        <v/>
      </c>
      <c r="N92" s="16" t="str">
        <f aca="false">IFERROR(IF(OR($I92="",$M92="",$M92=0),"",($I92-$M92)/$I92),"")</f>
        <v/>
      </c>
      <c r="O92" s="13" t="n">
        <v>0</v>
      </c>
      <c r="P92" s="13" t="n">
        <v>0</v>
      </c>
      <c r="Q92" s="21" t="n">
        <f aca="false">IF($O92="","",$O92-IF($P92="",0,$P92))</f>
        <v>0</v>
      </c>
      <c r="R92" s="13" t="n">
        <v>2</v>
      </c>
      <c r="S92" s="21" t="str">
        <f aca="false">IF($O92="","",IF($Q92&lt;=$R92,"⚠ REORDER","OK"))</f>
        <v>⚠ REORDER</v>
      </c>
      <c r="T92" s="13"/>
      <c r="U92" s="13"/>
      <c r="V92" s="13" t="s">
        <v>378</v>
      </c>
      <c r="W92" s="12" t="s">
        <v>379</v>
      </c>
      <c r="X92" s="13"/>
      <c r="Y92" s="13"/>
      <c r="Z92" s="12" t="s">
        <v>88</v>
      </c>
      <c r="AA92" s="12" t="s">
        <v>88</v>
      </c>
      <c r="AB92" s="12" t="s">
        <v>88</v>
      </c>
      <c r="AC92" s="12" t="s">
        <v>88</v>
      </c>
      <c r="AD92" s="12" t="s">
        <v>87</v>
      </c>
      <c r="AE92" s="21" t="n">
        <f aca="false">IFERROR(SUMIFS(Transactions!$F:$F,Transactions!$C:$C,$A92,Transactions!$D:$D,"Sale"),0)</f>
        <v>0</v>
      </c>
      <c r="AF92" s="15" t="n">
        <f aca="false">IFERROR(SUMIFS(Transactions!$H:$H,Transactions!$C:$C,$A92,Transactions!$D:$D,"Sale"),0)</f>
        <v>0</v>
      </c>
      <c r="AG92" s="22" t="str">
        <f aca="false">IFERROR(IF(maxifs(Transactions!$B:$B,Transactions!$C:$C,$A92,Transactions!$D:$D,"Sale")=0,"",maxifs(Transactions!$B:$B,Transactions!$C:$C,$A92,Transactions!$D:$D,"Sale")),"")</f>
        <v/>
      </c>
      <c r="AH92" s="12"/>
    </row>
    <row r="93" customFormat="false" ht="18" hidden="false" customHeight="true" outlineLevel="0" collapsed="false">
      <c r="A93" s="12" t="s">
        <v>471</v>
      </c>
      <c r="B93" s="12" t="s">
        <v>147</v>
      </c>
      <c r="C93" s="12" t="s">
        <v>77</v>
      </c>
      <c r="D93" s="12" t="s">
        <v>78</v>
      </c>
      <c r="E93" s="12" t="s">
        <v>79</v>
      </c>
      <c r="F93" s="12" t="s">
        <v>148</v>
      </c>
      <c r="G93" s="12"/>
      <c r="H93" s="12" t="s">
        <v>377</v>
      </c>
      <c r="I93" s="14" t="n">
        <v>19000</v>
      </c>
      <c r="J93" s="18" t="n">
        <f aca="false">IF($I93="","",ROUND($I93*Dropdowns!$K$5,2))</f>
        <v>49.4</v>
      </c>
      <c r="K93" s="19" t="n">
        <f aca="false">IF($I93="","",ROUND($I93*Dropdowns!$K$6,2))</f>
        <v>45.6</v>
      </c>
      <c r="L93" s="20" t="n">
        <f aca="false">IF($I93="","",ROUND($I93*Dropdowns!$K$7,2))</f>
        <v>3895</v>
      </c>
      <c r="M93" s="15" t="str">
        <f aca="false">IFERROR(IF($B93="","",VLOOKUP($B93,Designs!$A$3:$AP$165,27,FALSE())),"")</f>
        <v/>
      </c>
      <c r="N93" s="16" t="str">
        <f aca="false">IFERROR(IF(OR($I93="",$M93="",$M93=0),"",($I93-$M93)/$I93),"")</f>
        <v/>
      </c>
      <c r="O93" s="13" t="n">
        <v>0</v>
      </c>
      <c r="P93" s="13" t="n">
        <v>0</v>
      </c>
      <c r="Q93" s="21" t="n">
        <f aca="false">IF($O93="","",$O93-IF($P93="",0,$P93))</f>
        <v>0</v>
      </c>
      <c r="R93" s="13" t="n">
        <v>2</v>
      </c>
      <c r="S93" s="21" t="str">
        <f aca="false">IF($O93="","",IF($Q93&lt;=$R93,"⚠ REORDER","OK"))</f>
        <v>⚠ REORDER</v>
      </c>
      <c r="T93" s="13"/>
      <c r="U93" s="13"/>
      <c r="V93" s="13" t="s">
        <v>378</v>
      </c>
      <c r="W93" s="12" t="s">
        <v>379</v>
      </c>
      <c r="X93" s="13"/>
      <c r="Y93" s="13"/>
      <c r="Z93" s="12" t="s">
        <v>88</v>
      </c>
      <c r="AA93" s="12" t="s">
        <v>88</v>
      </c>
      <c r="AB93" s="12" t="s">
        <v>88</v>
      </c>
      <c r="AC93" s="12" t="s">
        <v>88</v>
      </c>
      <c r="AD93" s="12" t="s">
        <v>87</v>
      </c>
      <c r="AE93" s="21" t="n">
        <f aca="false">IFERROR(SUMIFS(Transactions!$F:$F,Transactions!$C:$C,$A93,Transactions!$D:$D,"Sale"),0)</f>
        <v>0</v>
      </c>
      <c r="AF93" s="15" t="n">
        <f aca="false">IFERROR(SUMIFS(Transactions!$H:$H,Transactions!$C:$C,$A93,Transactions!$D:$D,"Sale"),0)</f>
        <v>0</v>
      </c>
      <c r="AG93" s="22" t="str">
        <f aca="false">IFERROR(IF(maxifs(Transactions!$B:$B,Transactions!$C:$C,$A93,Transactions!$D:$D,"Sale")=0,"",maxifs(Transactions!$B:$B,Transactions!$C:$C,$A93,Transactions!$D:$D,"Sale")),"")</f>
        <v/>
      </c>
      <c r="AH93" s="12"/>
    </row>
    <row r="94" customFormat="false" ht="18" hidden="false" customHeight="true" outlineLevel="0" collapsed="false">
      <c r="A94" s="12" t="s">
        <v>472</v>
      </c>
      <c r="B94" s="12" t="s">
        <v>147</v>
      </c>
      <c r="C94" s="12" t="s">
        <v>77</v>
      </c>
      <c r="D94" s="12" t="s">
        <v>78</v>
      </c>
      <c r="E94" s="12" t="s">
        <v>79</v>
      </c>
      <c r="F94" s="12" t="s">
        <v>148</v>
      </c>
      <c r="G94" s="12"/>
      <c r="H94" s="12" t="s">
        <v>381</v>
      </c>
      <c r="I94" s="14" t="n">
        <v>19000</v>
      </c>
      <c r="J94" s="18" t="n">
        <f aca="false">IF($I94="","",ROUND($I94*Dropdowns!$K$5,2))</f>
        <v>49.4</v>
      </c>
      <c r="K94" s="19" t="n">
        <f aca="false">IF($I94="","",ROUND($I94*Dropdowns!$K$6,2))</f>
        <v>45.6</v>
      </c>
      <c r="L94" s="20" t="n">
        <f aca="false">IF($I94="","",ROUND($I94*Dropdowns!$K$7,2))</f>
        <v>3895</v>
      </c>
      <c r="M94" s="15" t="str">
        <f aca="false">IFERROR(IF($B94="","",VLOOKUP($B94,Designs!$A$3:$AP$165,27,FALSE())),"")</f>
        <v/>
      </c>
      <c r="N94" s="16" t="str">
        <f aca="false">IFERROR(IF(OR($I94="",$M94="",$M94=0),"",($I94-$M94)/$I94),"")</f>
        <v/>
      </c>
      <c r="O94" s="13" t="n">
        <v>0</v>
      </c>
      <c r="P94" s="13" t="n">
        <v>0</v>
      </c>
      <c r="Q94" s="21" t="n">
        <f aca="false">IF($O94="","",$O94-IF($P94="",0,$P94))</f>
        <v>0</v>
      </c>
      <c r="R94" s="13" t="n">
        <v>2</v>
      </c>
      <c r="S94" s="21" t="str">
        <f aca="false">IF($O94="","",IF($Q94&lt;=$R94,"⚠ REORDER","OK"))</f>
        <v>⚠ REORDER</v>
      </c>
      <c r="T94" s="13"/>
      <c r="U94" s="13"/>
      <c r="V94" s="13" t="s">
        <v>378</v>
      </c>
      <c r="W94" s="12" t="s">
        <v>379</v>
      </c>
      <c r="X94" s="13"/>
      <c r="Y94" s="13"/>
      <c r="Z94" s="12" t="s">
        <v>88</v>
      </c>
      <c r="AA94" s="12" t="s">
        <v>88</v>
      </c>
      <c r="AB94" s="12" t="s">
        <v>88</v>
      </c>
      <c r="AC94" s="12" t="s">
        <v>88</v>
      </c>
      <c r="AD94" s="12" t="s">
        <v>87</v>
      </c>
      <c r="AE94" s="21" t="n">
        <f aca="false">IFERROR(SUMIFS(Transactions!$F:$F,Transactions!$C:$C,$A94,Transactions!$D:$D,"Sale"),0)</f>
        <v>0</v>
      </c>
      <c r="AF94" s="15" t="n">
        <f aca="false">IFERROR(SUMIFS(Transactions!$H:$H,Transactions!$C:$C,$A94,Transactions!$D:$D,"Sale"),0)</f>
        <v>0</v>
      </c>
      <c r="AG94" s="22" t="str">
        <f aca="false">IFERROR(IF(maxifs(Transactions!$B:$B,Transactions!$C:$C,$A94,Transactions!$D:$D,"Sale")=0,"",maxifs(Transactions!$B:$B,Transactions!$C:$C,$A94,Transactions!$D:$D,"Sale")),"")</f>
        <v/>
      </c>
      <c r="AH94" s="12"/>
    </row>
    <row r="95" customFormat="false" ht="18" hidden="false" customHeight="true" outlineLevel="0" collapsed="false">
      <c r="A95" s="12" t="s">
        <v>473</v>
      </c>
      <c r="B95" s="12" t="s">
        <v>147</v>
      </c>
      <c r="C95" s="12" t="s">
        <v>77</v>
      </c>
      <c r="D95" s="12" t="s">
        <v>78</v>
      </c>
      <c r="E95" s="12" t="s">
        <v>79</v>
      </c>
      <c r="F95" s="12" t="s">
        <v>148</v>
      </c>
      <c r="G95" s="12"/>
      <c r="H95" s="12" t="s">
        <v>383</v>
      </c>
      <c r="I95" s="14" t="n">
        <v>19000</v>
      </c>
      <c r="J95" s="18" t="n">
        <f aca="false">IF($I95="","",ROUND($I95*Dropdowns!$K$5,2))</f>
        <v>49.4</v>
      </c>
      <c r="K95" s="19" t="n">
        <f aca="false">IF($I95="","",ROUND($I95*Dropdowns!$K$6,2))</f>
        <v>45.6</v>
      </c>
      <c r="L95" s="20" t="n">
        <f aca="false">IF($I95="","",ROUND($I95*Dropdowns!$K$7,2))</f>
        <v>3895</v>
      </c>
      <c r="M95" s="15" t="str">
        <f aca="false">IFERROR(IF($B95="","",VLOOKUP($B95,Designs!$A$3:$AP$165,27,FALSE())),"")</f>
        <v/>
      </c>
      <c r="N95" s="16" t="str">
        <f aca="false">IFERROR(IF(OR($I95="",$M95="",$M95=0),"",($I95-$M95)/$I95),"")</f>
        <v/>
      </c>
      <c r="O95" s="13" t="n">
        <v>0</v>
      </c>
      <c r="P95" s="13" t="n">
        <v>0</v>
      </c>
      <c r="Q95" s="21" t="n">
        <f aca="false">IF($O95="","",$O95-IF($P95="",0,$P95))</f>
        <v>0</v>
      </c>
      <c r="R95" s="13" t="n">
        <v>2</v>
      </c>
      <c r="S95" s="21" t="str">
        <f aca="false">IF($O95="","",IF($Q95&lt;=$R95,"⚠ REORDER","OK"))</f>
        <v>⚠ REORDER</v>
      </c>
      <c r="T95" s="13"/>
      <c r="U95" s="13"/>
      <c r="V95" s="13" t="s">
        <v>378</v>
      </c>
      <c r="W95" s="12" t="s">
        <v>379</v>
      </c>
      <c r="X95" s="13"/>
      <c r="Y95" s="13"/>
      <c r="Z95" s="12" t="s">
        <v>88</v>
      </c>
      <c r="AA95" s="12" t="s">
        <v>88</v>
      </c>
      <c r="AB95" s="12" t="s">
        <v>88</v>
      </c>
      <c r="AC95" s="12" t="s">
        <v>88</v>
      </c>
      <c r="AD95" s="12" t="s">
        <v>87</v>
      </c>
      <c r="AE95" s="21" t="n">
        <f aca="false">IFERROR(SUMIFS(Transactions!$F:$F,Transactions!$C:$C,$A95,Transactions!$D:$D,"Sale"),0)</f>
        <v>0</v>
      </c>
      <c r="AF95" s="15" t="n">
        <f aca="false">IFERROR(SUMIFS(Transactions!$H:$H,Transactions!$C:$C,$A95,Transactions!$D:$D,"Sale"),0)</f>
        <v>0</v>
      </c>
      <c r="AG95" s="22" t="str">
        <f aca="false">IFERROR(IF(maxifs(Transactions!$B:$B,Transactions!$C:$C,$A95,Transactions!$D:$D,"Sale")=0,"",maxifs(Transactions!$B:$B,Transactions!$C:$C,$A95,Transactions!$D:$D,"Sale")),"")</f>
        <v/>
      </c>
      <c r="AH95" s="12"/>
    </row>
    <row r="96" customFormat="false" ht="18" hidden="false" customHeight="true" outlineLevel="0" collapsed="false">
      <c r="A96" s="12" t="s">
        <v>474</v>
      </c>
      <c r="B96" s="12" t="s">
        <v>149</v>
      </c>
      <c r="C96" s="12" t="s">
        <v>77</v>
      </c>
      <c r="D96" s="12" t="s">
        <v>78</v>
      </c>
      <c r="E96" s="12" t="s">
        <v>79</v>
      </c>
      <c r="F96" s="12" t="s">
        <v>150</v>
      </c>
      <c r="G96" s="12"/>
      <c r="H96" s="12" t="s">
        <v>377</v>
      </c>
      <c r="I96" s="14" t="n">
        <v>19000</v>
      </c>
      <c r="J96" s="18" t="n">
        <f aca="false">IF($I96="","",ROUND($I96*Dropdowns!$K$5,2))</f>
        <v>49.4</v>
      </c>
      <c r="K96" s="19" t="n">
        <f aca="false">IF($I96="","",ROUND($I96*Dropdowns!$K$6,2))</f>
        <v>45.6</v>
      </c>
      <c r="L96" s="20" t="n">
        <f aca="false">IF($I96="","",ROUND($I96*Dropdowns!$K$7,2))</f>
        <v>3895</v>
      </c>
      <c r="M96" s="15" t="str">
        <f aca="false">IFERROR(IF($B96="","",VLOOKUP($B96,Designs!$A$3:$AP$165,27,FALSE())),"")</f>
        <v/>
      </c>
      <c r="N96" s="16" t="str">
        <f aca="false">IFERROR(IF(OR($I96="",$M96="",$M96=0),"",($I96-$M96)/$I96),"")</f>
        <v/>
      </c>
      <c r="O96" s="13" t="n">
        <v>0</v>
      </c>
      <c r="P96" s="13" t="n">
        <v>0</v>
      </c>
      <c r="Q96" s="21" t="n">
        <f aca="false">IF($O96="","",$O96-IF($P96="",0,$P96))</f>
        <v>0</v>
      </c>
      <c r="R96" s="13" t="n">
        <v>2</v>
      </c>
      <c r="S96" s="21" t="str">
        <f aca="false">IF($O96="","",IF($Q96&lt;=$R96,"⚠ REORDER","OK"))</f>
        <v>⚠ REORDER</v>
      </c>
      <c r="T96" s="13"/>
      <c r="U96" s="13"/>
      <c r="V96" s="13" t="s">
        <v>378</v>
      </c>
      <c r="W96" s="12" t="s">
        <v>379</v>
      </c>
      <c r="X96" s="13"/>
      <c r="Y96" s="13"/>
      <c r="Z96" s="12" t="s">
        <v>88</v>
      </c>
      <c r="AA96" s="12" t="s">
        <v>88</v>
      </c>
      <c r="AB96" s="12" t="s">
        <v>88</v>
      </c>
      <c r="AC96" s="12" t="s">
        <v>88</v>
      </c>
      <c r="AD96" s="12" t="s">
        <v>87</v>
      </c>
      <c r="AE96" s="21" t="n">
        <f aca="false">IFERROR(SUMIFS(Transactions!$F:$F,Transactions!$C:$C,$A96,Transactions!$D:$D,"Sale"),0)</f>
        <v>0</v>
      </c>
      <c r="AF96" s="15" t="n">
        <f aca="false">IFERROR(SUMIFS(Transactions!$H:$H,Transactions!$C:$C,$A96,Transactions!$D:$D,"Sale"),0)</f>
        <v>0</v>
      </c>
      <c r="AG96" s="22" t="str">
        <f aca="false">IFERROR(IF(maxifs(Transactions!$B:$B,Transactions!$C:$C,$A96,Transactions!$D:$D,"Sale")=0,"",maxifs(Transactions!$B:$B,Transactions!$C:$C,$A96,Transactions!$D:$D,"Sale")),"")</f>
        <v/>
      </c>
      <c r="AH96" s="12"/>
    </row>
    <row r="97" customFormat="false" ht="18" hidden="false" customHeight="true" outlineLevel="0" collapsed="false">
      <c r="A97" s="12" t="s">
        <v>475</v>
      </c>
      <c r="B97" s="12" t="s">
        <v>149</v>
      </c>
      <c r="C97" s="12" t="s">
        <v>77</v>
      </c>
      <c r="D97" s="12" t="s">
        <v>78</v>
      </c>
      <c r="E97" s="12" t="s">
        <v>79</v>
      </c>
      <c r="F97" s="12" t="s">
        <v>150</v>
      </c>
      <c r="G97" s="12"/>
      <c r="H97" s="12" t="s">
        <v>381</v>
      </c>
      <c r="I97" s="14" t="n">
        <v>19000</v>
      </c>
      <c r="J97" s="18" t="n">
        <f aca="false">IF($I97="","",ROUND($I97*Dropdowns!$K$5,2))</f>
        <v>49.4</v>
      </c>
      <c r="K97" s="19" t="n">
        <f aca="false">IF($I97="","",ROUND($I97*Dropdowns!$K$6,2))</f>
        <v>45.6</v>
      </c>
      <c r="L97" s="20" t="n">
        <f aca="false">IF($I97="","",ROUND($I97*Dropdowns!$K$7,2))</f>
        <v>3895</v>
      </c>
      <c r="M97" s="15" t="str">
        <f aca="false">IFERROR(IF($B97="","",VLOOKUP($B97,Designs!$A$3:$AP$165,27,FALSE())),"")</f>
        <v/>
      </c>
      <c r="N97" s="16" t="str">
        <f aca="false">IFERROR(IF(OR($I97="",$M97="",$M97=0),"",($I97-$M97)/$I97),"")</f>
        <v/>
      </c>
      <c r="O97" s="13" t="n">
        <v>0</v>
      </c>
      <c r="P97" s="13" t="n">
        <v>0</v>
      </c>
      <c r="Q97" s="21" t="n">
        <f aca="false">IF($O97="","",$O97-IF($P97="",0,$P97))</f>
        <v>0</v>
      </c>
      <c r="R97" s="13" t="n">
        <v>2</v>
      </c>
      <c r="S97" s="21" t="str">
        <f aca="false">IF($O97="","",IF($Q97&lt;=$R97,"⚠ REORDER","OK"))</f>
        <v>⚠ REORDER</v>
      </c>
      <c r="T97" s="13"/>
      <c r="U97" s="13"/>
      <c r="V97" s="13" t="s">
        <v>378</v>
      </c>
      <c r="W97" s="12" t="s">
        <v>379</v>
      </c>
      <c r="X97" s="13"/>
      <c r="Y97" s="13"/>
      <c r="Z97" s="12" t="s">
        <v>88</v>
      </c>
      <c r="AA97" s="12" t="s">
        <v>88</v>
      </c>
      <c r="AB97" s="12" t="s">
        <v>88</v>
      </c>
      <c r="AC97" s="12" t="s">
        <v>88</v>
      </c>
      <c r="AD97" s="12" t="s">
        <v>87</v>
      </c>
      <c r="AE97" s="21" t="n">
        <f aca="false">IFERROR(SUMIFS(Transactions!$F:$F,Transactions!$C:$C,$A97,Transactions!$D:$D,"Sale"),0)</f>
        <v>0</v>
      </c>
      <c r="AF97" s="15" t="n">
        <f aca="false">IFERROR(SUMIFS(Transactions!$H:$H,Transactions!$C:$C,$A97,Transactions!$D:$D,"Sale"),0)</f>
        <v>0</v>
      </c>
      <c r="AG97" s="22" t="str">
        <f aca="false">IFERROR(IF(maxifs(Transactions!$B:$B,Transactions!$C:$C,$A97,Transactions!$D:$D,"Sale")=0,"",maxifs(Transactions!$B:$B,Transactions!$C:$C,$A97,Transactions!$D:$D,"Sale")),"")</f>
        <v/>
      </c>
      <c r="AH97" s="12"/>
    </row>
    <row r="98" customFormat="false" ht="18" hidden="false" customHeight="true" outlineLevel="0" collapsed="false">
      <c r="A98" s="12" t="s">
        <v>476</v>
      </c>
      <c r="B98" s="12" t="s">
        <v>149</v>
      </c>
      <c r="C98" s="12" t="s">
        <v>77</v>
      </c>
      <c r="D98" s="12" t="s">
        <v>78</v>
      </c>
      <c r="E98" s="12" t="s">
        <v>79</v>
      </c>
      <c r="F98" s="12" t="s">
        <v>150</v>
      </c>
      <c r="G98" s="12"/>
      <c r="H98" s="12" t="s">
        <v>383</v>
      </c>
      <c r="I98" s="14" t="n">
        <v>19000</v>
      </c>
      <c r="J98" s="18" t="n">
        <f aca="false">IF($I98="","",ROUND($I98*Dropdowns!$K$5,2))</f>
        <v>49.4</v>
      </c>
      <c r="K98" s="19" t="n">
        <f aca="false">IF($I98="","",ROUND($I98*Dropdowns!$K$6,2))</f>
        <v>45.6</v>
      </c>
      <c r="L98" s="20" t="n">
        <f aca="false">IF($I98="","",ROUND($I98*Dropdowns!$K$7,2))</f>
        <v>3895</v>
      </c>
      <c r="M98" s="15" t="str">
        <f aca="false">IFERROR(IF($B98="","",VLOOKUP($B98,Designs!$A$3:$AP$165,27,FALSE())),"")</f>
        <v/>
      </c>
      <c r="N98" s="16" t="str">
        <f aca="false">IFERROR(IF(OR($I98="",$M98="",$M98=0),"",($I98-$M98)/$I98),"")</f>
        <v/>
      </c>
      <c r="O98" s="13" t="n">
        <v>0</v>
      </c>
      <c r="P98" s="13" t="n">
        <v>0</v>
      </c>
      <c r="Q98" s="21" t="n">
        <f aca="false">IF($O98="","",$O98-IF($P98="",0,$P98))</f>
        <v>0</v>
      </c>
      <c r="R98" s="13" t="n">
        <v>2</v>
      </c>
      <c r="S98" s="21" t="str">
        <f aca="false">IF($O98="","",IF($Q98&lt;=$R98,"⚠ REORDER","OK"))</f>
        <v>⚠ REORDER</v>
      </c>
      <c r="T98" s="13"/>
      <c r="U98" s="13"/>
      <c r="V98" s="13" t="s">
        <v>378</v>
      </c>
      <c r="W98" s="12" t="s">
        <v>379</v>
      </c>
      <c r="X98" s="13"/>
      <c r="Y98" s="13"/>
      <c r="Z98" s="12" t="s">
        <v>88</v>
      </c>
      <c r="AA98" s="12" t="s">
        <v>88</v>
      </c>
      <c r="AB98" s="12" t="s">
        <v>88</v>
      </c>
      <c r="AC98" s="12" t="s">
        <v>88</v>
      </c>
      <c r="AD98" s="12" t="s">
        <v>87</v>
      </c>
      <c r="AE98" s="21" t="n">
        <f aca="false">IFERROR(SUMIFS(Transactions!$F:$F,Transactions!$C:$C,$A98,Transactions!$D:$D,"Sale"),0)</f>
        <v>0</v>
      </c>
      <c r="AF98" s="15" t="n">
        <f aca="false">IFERROR(SUMIFS(Transactions!$H:$H,Transactions!$C:$C,$A98,Transactions!$D:$D,"Sale"),0)</f>
        <v>0</v>
      </c>
      <c r="AG98" s="22" t="str">
        <f aca="false">IFERROR(IF(maxifs(Transactions!$B:$B,Transactions!$C:$C,$A98,Transactions!$D:$D,"Sale")=0,"",maxifs(Transactions!$B:$B,Transactions!$C:$C,$A98,Transactions!$D:$D,"Sale")),"")</f>
        <v/>
      </c>
      <c r="AH98" s="12"/>
    </row>
    <row r="99" customFormat="false" ht="18" hidden="false" customHeight="true" outlineLevel="0" collapsed="false">
      <c r="A99" s="12" t="s">
        <v>477</v>
      </c>
      <c r="B99" s="12" t="s">
        <v>151</v>
      </c>
      <c r="C99" s="12" t="s">
        <v>77</v>
      </c>
      <c r="D99" s="12" t="s">
        <v>78</v>
      </c>
      <c r="E99" s="12" t="s">
        <v>79</v>
      </c>
      <c r="F99" s="12" t="s">
        <v>152</v>
      </c>
      <c r="G99" s="12"/>
      <c r="H99" s="12" t="s">
        <v>377</v>
      </c>
      <c r="I99" s="14" t="n">
        <v>19000</v>
      </c>
      <c r="J99" s="18" t="n">
        <f aca="false">IF($I99="","",ROUND($I99*Dropdowns!$K$5,2))</f>
        <v>49.4</v>
      </c>
      <c r="K99" s="19" t="n">
        <f aca="false">IF($I99="","",ROUND($I99*Dropdowns!$K$6,2))</f>
        <v>45.6</v>
      </c>
      <c r="L99" s="20" t="n">
        <f aca="false">IF($I99="","",ROUND($I99*Dropdowns!$K$7,2))</f>
        <v>3895</v>
      </c>
      <c r="M99" s="15" t="str">
        <f aca="false">IFERROR(IF($B99="","",VLOOKUP($B99,Designs!$A$3:$AP$165,27,FALSE())),"")</f>
        <v/>
      </c>
      <c r="N99" s="16" t="str">
        <f aca="false">IFERROR(IF(OR($I99="",$M99="",$M99=0),"",($I99-$M99)/$I99),"")</f>
        <v/>
      </c>
      <c r="O99" s="13" t="n">
        <v>0</v>
      </c>
      <c r="P99" s="13" t="n">
        <v>0</v>
      </c>
      <c r="Q99" s="21" t="n">
        <f aca="false">IF($O99="","",$O99-IF($P99="",0,$P99))</f>
        <v>0</v>
      </c>
      <c r="R99" s="13" t="n">
        <v>2</v>
      </c>
      <c r="S99" s="21" t="str">
        <f aca="false">IF($O99="","",IF($Q99&lt;=$R99,"⚠ REORDER","OK"))</f>
        <v>⚠ REORDER</v>
      </c>
      <c r="T99" s="13"/>
      <c r="U99" s="13"/>
      <c r="V99" s="13" t="s">
        <v>378</v>
      </c>
      <c r="W99" s="12" t="s">
        <v>379</v>
      </c>
      <c r="X99" s="13"/>
      <c r="Y99" s="13"/>
      <c r="Z99" s="12" t="s">
        <v>88</v>
      </c>
      <c r="AA99" s="12" t="s">
        <v>88</v>
      </c>
      <c r="AB99" s="12" t="s">
        <v>88</v>
      </c>
      <c r="AC99" s="12" t="s">
        <v>88</v>
      </c>
      <c r="AD99" s="12" t="s">
        <v>87</v>
      </c>
      <c r="AE99" s="21" t="n">
        <f aca="false">IFERROR(SUMIFS(Transactions!$F:$F,Transactions!$C:$C,$A99,Transactions!$D:$D,"Sale"),0)</f>
        <v>0</v>
      </c>
      <c r="AF99" s="15" t="n">
        <f aca="false">IFERROR(SUMIFS(Transactions!$H:$H,Transactions!$C:$C,$A99,Transactions!$D:$D,"Sale"),0)</f>
        <v>0</v>
      </c>
      <c r="AG99" s="22" t="str">
        <f aca="false">IFERROR(IF(maxifs(Transactions!$B:$B,Transactions!$C:$C,$A99,Transactions!$D:$D,"Sale")=0,"",maxifs(Transactions!$B:$B,Transactions!$C:$C,$A99,Transactions!$D:$D,"Sale")),"")</f>
        <v/>
      </c>
      <c r="AH99" s="12"/>
    </row>
    <row r="100" customFormat="false" ht="18" hidden="false" customHeight="true" outlineLevel="0" collapsed="false">
      <c r="A100" s="12" t="s">
        <v>478</v>
      </c>
      <c r="B100" s="12" t="s">
        <v>151</v>
      </c>
      <c r="C100" s="12" t="s">
        <v>77</v>
      </c>
      <c r="D100" s="12" t="s">
        <v>78</v>
      </c>
      <c r="E100" s="12" t="s">
        <v>79</v>
      </c>
      <c r="F100" s="12" t="s">
        <v>152</v>
      </c>
      <c r="G100" s="12"/>
      <c r="H100" s="12" t="s">
        <v>381</v>
      </c>
      <c r="I100" s="14" t="n">
        <v>19000</v>
      </c>
      <c r="J100" s="18" t="n">
        <f aca="false">IF($I100="","",ROUND($I100*Dropdowns!$K$5,2))</f>
        <v>49.4</v>
      </c>
      <c r="K100" s="19" t="n">
        <f aca="false">IF($I100="","",ROUND($I100*Dropdowns!$K$6,2))</f>
        <v>45.6</v>
      </c>
      <c r="L100" s="20" t="n">
        <f aca="false">IF($I100="","",ROUND($I100*Dropdowns!$K$7,2))</f>
        <v>3895</v>
      </c>
      <c r="M100" s="15" t="str">
        <f aca="false">IFERROR(IF($B100="","",VLOOKUP($B100,Designs!$A$3:$AP$165,27,FALSE())),"")</f>
        <v/>
      </c>
      <c r="N100" s="16" t="str">
        <f aca="false">IFERROR(IF(OR($I100="",$M100="",$M100=0),"",($I100-$M100)/$I100),"")</f>
        <v/>
      </c>
      <c r="O100" s="13" t="n">
        <v>0</v>
      </c>
      <c r="P100" s="13" t="n">
        <v>0</v>
      </c>
      <c r="Q100" s="21" t="n">
        <f aca="false">IF($O100="","",$O100-IF($P100="",0,$P100))</f>
        <v>0</v>
      </c>
      <c r="R100" s="13" t="n">
        <v>2</v>
      </c>
      <c r="S100" s="21" t="str">
        <f aca="false">IF($O100="","",IF($Q100&lt;=$R100,"⚠ REORDER","OK"))</f>
        <v>⚠ REORDER</v>
      </c>
      <c r="T100" s="13"/>
      <c r="U100" s="13"/>
      <c r="V100" s="13" t="s">
        <v>378</v>
      </c>
      <c r="W100" s="12" t="s">
        <v>379</v>
      </c>
      <c r="X100" s="13"/>
      <c r="Y100" s="13"/>
      <c r="Z100" s="12" t="s">
        <v>88</v>
      </c>
      <c r="AA100" s="12" t="s">
        <v>88</v>
      </c>
      <c r="AB100" s="12" t="s">
        <v>88</v>
      </c>
      <c r="AC100" s="12" t="s">
        <v>88</v>
      </c>
      <c r="AD100" s="12" t="s">
        <v>87</v>
      </c>
      <c r="AE100" s="21" t="n">
        <f aca="false">IFERROR(SUMIFS(Transactions!$F:$F,Transactions!$C:$C,$A100,Transactions!$D:$D,"Sale"),0)</f>
        <v>0</v>
      </c>
      <c r="AF100" s="15" t="n">
        <f aca="false">IFERROR(SUMIFS(Transactions!$H:$H,Transactions!$C:$C,$A100,Transactions!$D:$D,"Sale"),0)</f>
        <v>0</v>
      </c>
      <c r="AG100" s="22" t="str">
        <f aca="false">IFERROR(IF(maxifs(Transactions!$B:$B,Transactions!$C:$C,$A100,Transactions!$D:$D,"Sale")=0,"",maxifs(Transactions!$B:$B,Transactions!$C:$C,$A100,Transactions!$D:$D,"Sale")),"")</f>
        <v/>
      </c>
      <c r="AH100" s="12"/>
    </row>
    <row r="101" customFormat="false" ht="18" hidden="false" customHeight="true" outlineLevel="0" collapsed="false">
      <c r="A101" s="12" t="s">
        <v>479</v>
      </c>
      <c r="B101" s="12" t="s">
        <v>151</v>
      </c>
      <c r="C101" s="12" t="s">
        <v>77</v>
      </c>
      <c r="D101" s="12" t="s">
        <v>78</v>
      </c>
      <c r="E101" s="12" t="s">
        <v>79</v>
      </c>
      <c r="F101" s="12" t="s">
        <v>152</v>
      </c>
      <c r="G101" s="12"/>
      <c r="H101" s="12" t="s">
        <v>383</v>
      </c>
      <c r="I101" s="14" t="n">
        <v>19000</v>
      </c>
      <c r="J101" s="18" t="n">
        <f aca="false">IF($I101="","",ROUND($I101*Dropdowns!$K$5,2))</f>
        <v>49.4</v>
      </c>
      <c r="K101" s="19" t="n">
        <f aca="false">IF($I101="","",ROUND($I101*Dropdowns!$K$6,2))</f>
        <v>45.6</v>
      </c>
      <c r="L101" s="20" t="n">
        <f aca="false">IF($I101="","",ROUND($I101*Dropdowns!$K$7,2))</f>
        <v>3895</v>
      </c>
      <c r="M101" s="15" t="str">
        <f aca="false">IFERROR(IF($B101="","",VLOOKUP($B101,Designs!$A$3:$AP$165,27,FALSE())),"")</f>
        <v/>
      </c>
      <c r="N101" s="16" t="str">
        <f aca="false">IFERROR(IF(OR($I101="",$M101="",$M101=0),"",($I101-$M101)/$I101),"")</f>
        <v/>
      </c>
      <c r="O101" s="13" t="n">
        <v>0</v>
      </c>
      <c r="P101" s="13" t="n">
        <v>0</v>
      </c>
      <c r="Q101" s="21" t="n">
        <f aca="false">IF($O101="","",$O101-IF($P101="",0,$P101))</f>
        <v>0</v>
      </c>
      <c r="R101" s="13" t="n">
        <v>2</v>
      </c>
      <c r="S101" s="21" t="str">
        <f aca="false">IF($O101="","",IF($Q101&lt;=$R101,"⚠ REORDER","OK"))</f>
        <v>⚠ REORDER</v>
      </c>
      <c r="T101" s="13"/>
      <c r="U101" s="13"/>
      <c r="V101" s="13" t="s">
        <v>378</v>
      </c>
      <c r="W101" s="12" t="s">
        <v>379</v>
      </c>
      <c r="X101" s="13"/>
      <c r="Y101" s="13"/>
      <c r="Z101" s="12" t="s">
        <v>88</v>
      </c>
      <c r="AA101" s="12" t="s">
        <v>88</v>
      </c>
      <c r="AB101" s="12" t="s">
        <v>88</v>
      </c>
      <c r="AC101" s="12" t="s">
        <v>88</v>
      </c>
      <c r="AD101" s="12" t="s">
        <v>87</v>
      </c>
      <c r="AE101" s="21" t="n">
        <f aca="false">IFERROR(SUMIFS(Transactions!$F:$F,Transactions!$C:$C,$A101,Transactions!$D:$D,"Sale"),0)</f>
        <v>0</v>
      </c>
      <c r="AF101" s="15" t="n">
        <f aca="false">IFERROR(SUMIFS(Transactions!$H:$H,Transactions!$C:$C,$A101,Transactions!$D:$D,"Sale"),0)</f>
        <v>0</v>
      </c>
      <c r="AG101" s="22" t="str">
        <f aca="false">IFERROR(IF(maxifs(Transactions!$B:$B,Transactions!$C:$C,$A101,Transactions!$D:$D,"Sale")=0,"",maxifs(Transactions!$B:$B,Transactions!$C:$C,$A101,Transactions!$D:$D,"Sale")),"")</f>
        <v/>
      </c>
      <c r="AH101" s="12"/>
    </row>
    <row r="102" customFormat="false" ht="18" hidden="false" customHeight="true" outlineLevel="0" collapsed="false">
      <c r="A102" s="12" t="s">
        <v>480</v>
      </c>
      <c r="B102" s="12" t="s">
        <v>153</v>
      </c>
      <c r="C102" s="12" t="s">
        <v>77</v>
      </c>
      <c r="D102" s="12" t="s">
        <v>78</v>
      </c>
      <c r="E102" s="12" t="s">
        <v>79</v>
      </c>
      <c r="F102" s="12" t="s">
        <v>154</v>
      </c>
      <c r="G102" s="12"/>
      <c r="H102" s="12" t="s">
        <v>377</v>
      </c>
      <c r="I102" s="14" t="n">
        <v>19000</v>
      </c>
      <c r="J102" s="18" t="n">
        <f aca="false">IF($I102="","",ROUND($I102*Dropdowns!$K$5,2))</f>
        <v>49.4</v>
      </c>
      <c r="K102" s="19" t="n">
        <f aca="false">IF($I102="","",ROUND($I102*Dropdowns!$K$6,2))</f>
        <v>45.6</v>
      </c>
      <c r="L102" s="20" t="n">
        <f aca="false">IF($I102="","",ROUND($I102*Dropdowns!$K$7,2))</f>
        <v>3895</v>
      </c>
      <c r="M102" s="15" t="str">
        <f aca="false">IFERROR(IF($B102="","",VLOOKUP($B102,Designs!$A$3:$AP$165,27,FALSE())),"")</f>
        <v/>
      </c>
      <c r="N102" s="16" t="str">
        <f aca="false">IFERROR(IF(OR($I102="",$M102="",$M102=0),"",($I102-$M102)/$I102),"")</f>
        <v/>
      </c>
      <c r="O102" s="13" t="n">
        <v>0</v>
      </c>
      <c r="P102" s="13" t="n">
        <v>0</v>
      </c>
      <c r="Q102" s="21" t="n">
        <f aca="false">IF($O102="","",$O102-IF($P102="",0,$P102))</f>
        <v>0</v>
      </c>
      <c r="R102" s="13" t="n">
        <v>2</v>
      </c>
      <c r="S102" s="21" t="str">
        <f aca="false">IF($O102="","",IF($Q102&lt;=$R102,"⚠ REORDER","OK"))</f>
        <v>⚠ REORDER</v>
      </c>
      <c r="T102" s="13"/>
      <c r="U102" s="13"/>
      <c r="V102" s="13" t="s">
        <v>378</v>
      </c>
      <c r="W102" s="12" t="s">
        <v>379</v>
      </c>
      <c r="X102" s="13"/>
      <c r="Y102" s="13"/>
      <c r="Z102" s="12" t="s">
        <v>88</v>
      </c>
      <c r="AA102" s="12" t="s">
        <v>88</v>
      </c>
      <c r="AB102" s="12" t="s">
        <v>88</v>
      </c>
      <c r="AC102" s="12" t="s">
        <v>88</v>
      </c>
      <c r="AD102" s="12" t="s">
        <v>87</v>
      </c>
      <c r="AE102" s="21" t="n">
        <f aca="false">IFERROR(SUMIFS(Transactions!$F:$F,Transactions!$C:$C,$A102,Transactions!$D:$D,"Sale"),0)</f>
        <v>0</v>
      </c>
      <c r="AF102" s="15" t="n">
        <f aca="false">IFERROR(SUMIFS(Transactions!$H:$H,Transactions!$C:$C,$A102,Transactions!$D:$D,"Sale"),0)</f>
        <v>0</v>
      </c>
      <c r="AG102" s="22" t="str">
        <f aca="false">IFERROR(IF(maxifs(Transactions!$B:$B,Transactions!$C:$C,$A102,Transactions!$D:$D,"Sale")=0,"",maxifs(Transactions!$B:$B,Transactions!$C:$C,$A102,Transactions!$D:$D,"Sale")),"")</f>
        <v/>
      </c>
      <c r="AH102" s="12"/>
    </row>
    <row r="103" customFormat="false" ht="18" hidden="false" customHeight="true" outlineLevel="0" collapsed="false">
      <c r="A103" s="12" t="s">
        <v>481</v>
      </c>
      <c r="B103" s="12" t="s">
        <v>153</v>
      </c>
      <c r="C103" s="12" t="s">
        <v>77</v>
      </c>
      <c r="D103" s="12" t="s">
        <v>78</v>
      </c>
      <c r="E103" s="12" t="s">
        <v>79</v>
      </c>
      <c r="F103" s="12" t="s">
        <v>154</v>
      </c>
      <c r="G103" s="12"/>
      <c r="H103" s="12" t="s">
        <v>381</v>
      </c>
      <c r="I103" s="14" t="n">
        <v>19000</v>
      </c>
      <c r="J103" s="18" t="n">
        <f aca="false">IF($I103="","",ROUND($I103*Dropdowns!$K$5,2))</f>
        <v>49.4</v>
      </c>
      <c r="K103" s="19" t="n">
        <f aca="false">IF($I103="","",ROUND($I103*Dropdowns!$K$6,2))</f>
        <v>45.6</v>
      </c>
      <c r="L103" s="20" t="n">
        <f aca="false">IF($I103="","",ROUND($I103*Dropdowns!$K$7,2))</f>
        <v>3895</v>
      </c>
      <c r="M103" s="15" t="str">
        <f aca="false">IFERROR(IF($B103="","",VLOOKUP($B103,Designs!$A$3:$AP$165,27,FALSE())),"")</f>
        <v/>
      </c>
      <c r="N103" s="16" t="str">
        <f aca="false">IFERROR(IF(OR($I103="",$M103="",$M103=0),"",($I103-$M103)/$I103),"")</f>
        <v/>
      </c>
      <c r="O103" s="13" t="n">
        <v>0</v>
      </c>
      <c r="P103" s="13" t="n">
        <v>0</v>
      </c>
      <c r="Q103" s="21" t="n">
        <f aca="false">IF($O103="","",$O103-IF($P103="",0,$P103))</f>
        <v>0</v>
      </c>
      <c r="R103" s="13" t="n">
        <v>2</v>
      </c>
      <c r="S103" s="21" t="str">
        <f aca="false">IF($O103="","",IF($Q103&lt;=$R103,"⚠ REORDER","OK"))</f>
        <v>⚠ REORDER</v>
      </c>
      <c r="T103" s="13"/>
      <c r="U103" s="13"/>
      <c r="V103" s="13" t="s">
        <v>378</v>
      </c>
      <c r="W103" s="12" t="s">
        <v>379</v>
      </c>
      <c r="X103" s="13"/>
      <c r="Y103" s="13"/>
      <c r="Z103" s="12" t="s">
        <v>88</v>
      </c>
      <c r="AA103" s="12" t="s">
        <v>88</v>
      </c>
      <c r="AB103" s="12" t="s">
        <v>88</v>
      </c>
      <c r="AC103" s="12" t="s">
        <v>88</v>
      </c>
      <c r="AD103" s="12" t="s">
        <v>87</v>
      </c>
      <c r="AE103" s="21" t="n">
        <f aca="false">IFERROR(SUMIFS(Transactions!$F:$F,Transactions!$C:$C,$A103,Transactions!$D:$D,"Sale"),0)</f>
        <v>0</v>
      </c>
      <c r="AF103" s="15" t="n">
        <f aca="false">IFERROR(SUMIFS(Transactions!$H:$H,Transactions!$C:$C,$A103,Transactions!$D:$D,"Sale"),0)</f>
        <v>0</v>
      </c>
      <c r="AG103" s="22" t="str">
        <f aca="false">IFERROR(IF(maxifs(Transactions!$B:$B,Transactions!$C:$C,$A103,Transactions!$D:$D,"Sale")=0,"",maxifs(Transactions!$B:$B,Transactions!$C:$C,$A103,Transactions!$D:$D,"Sale")),"")</f>
        <v/>
      </c>
      <c r="AH103" s="12"/>
    </row>
    <row r="104" customFormat="false" ht="18" hidden="false" customHeight="true" outlineLevel="0" collapsed="false">
      <c r="A104" s="12" t="s">
        <v>482</v>
      </c>
      <c r="B104" s="12" t="s">
        <v>153</v>
      </c>
      <c r="C104" s="12" t="s">
        <v>77</v>
      </c>
      <c r="D104" s="12" t="s">
        <v>78</v>
      </c>
      <c r="E104" s="12" t="s">
        <v>79</v>
      </c>
      <c r="F104" s="12" t="s">
        <v>154</v>
      </c>
      <c r="G104" s="12"/>
      <c r="H104" s="12" t="s">
        <v>383</v>
      </c>
      <c r="I104" s="14" t="n">
        <v>19000</v>
      </c>
      <c r="J104" s="18" t="n">
        <f aca="false">IF($I104="","",ROUND($I104*Dropdowns!$K$5,2))</f>
        <v>49.4</v>
      </c>
      <c r="K104" s="19" t="n">
        <f aca="false">IF($I104="","",ROUND($I104*Dropdowns!$K$6,2))</f>
        <v>45.6</v>
      </c>
      <c r="L104" s="20" t="n">
        <f aca="false">IF($I104="","",ROUND($I104*Dropdowns!$K$7,2))</f>
        <v>3895</v>
      </c>
      <c r="M104" s="15" t="str">
        <f aca="false">IFERROR(IF($B104="","",VLOOKUP($B104,Designs!$A$3:$AP$165,27,FALSE())),"")</f>
        <v/>
      </c>
      <c r="N104" s="16" t="str">
        <f aca="false">IFERROR(IF(OR($I104="",$M104="",$M104=0),"",($I104-$M104)/$I104),"")</f>
        <v/>
      </c>
      <c r="O104" s="13" t="n">
        <v>0</v>
      </c>
      <c r="P104" s="13" t="n">
        <v>0</v>
      </c>
      <c r="Q104" s="21" t="n">
        <f aca="false">IF($O104="","",$O104-IF($P104="",0,$P104))</f>
        <v>0</v>
      </c>
      <c r="R104" s="13" t="n">
        <v>2</v>
      </c>
      <c r="S104" s="21" t="str">
        <f aca="false">IF($O104="","",IF($Q104&lt;=$R104,"⚠ REORDER","OK"))</f>
        <v>⚠ REORDER</v>
      </c>
      <c r="T104" s="13"/>
      <c r="U104" s="13"/>
      <c r="V104" s="13" t="s">
        <v>378</v>
      </c>
      <c r="W104" s="12" t="s">
        <v>379</v>
      </c>
      <c r="X104" s="13"/>
      <c r="Y104" s="13"/>
      <c r="Z104" s="12" t="s">
        <v>88</v>
      </c>
      <c r="AA104" s="12" t="s">
        <v>88</v>
      </c>
      <c r="AB104" s="12" t="s">
        <v>88</v>
      </c>
      <c r="AC104" s="12" t="s">
        <v>88</v>
      </c>
      <c r="AD104" s="12" t="s">
        <v>87</v>
      </c>
      <c r="AE104" s="21" t="n">
        <f aca="false">IFERROR(SUMIFS(Transactions!$F:$F,Transactions!$C:$C,$A104,Transactions!$D:$D,"Sale"),0)</f>
        <v>0</v>
      </c>
      <c r="AF104" s="15" t="n">
        <f aca="false">IFERROR(SUMIFS(Transactions!$H:$H,Transactions!$C:$C,$A104,Transactions!$D:$D,"Sale"),0)</f>
        <v>0</v>
      </c>
      <c r="AG104" s="22" t="str">
        <f aca="false">IFERROR(IF(maxifs(Transactions!$B:$B,Transactions!$C:$C,$A104,Transactions!$D:$D,"Sale")=0,"",maxifs(Transactions!$B:$B,Transactions!$C:$C,$A104,Transactions!$D:$D,"Sale")),"")</f>
        <v/>
      </c>
      <c r="AH104" s="12"/>
    </row>
    <row r="105" customFormat="false" ht="18" hidden="false" customHeight="true" outlineLevel="0" collapsed="false">
      <c r="A105" s="12" t="s">
        <v>483</v>
      </c>
      <c r="B105" s="12" t="s">
        <v>155</v>
      </c>
      <c r="C105" s="12" t="s">
        <v>77</v>
      </c>
      <c r="D105" s="12" t="s">
        <v>78</v>
      </c>
      <c r="E105" s="12" t="s">
        <v>79</v>
      </c>
      <c r="F105" s="12" t="s">
        <v>156</v>
      </c>
      <c r="G105" s="12"/>
      <c r="H105" s="12" t="s">
        <v>377</v>
      </c>
      <c r="I105" s="14" t="n">
        <v>19000</v>
      </c>
      <c r="J105" s="18" t="n">
        <f aca="false">IF($I105="","",ROUND($I105*Dropdowns!$K$5,2))</f>
        <v>49.4</v>
      </c>
      <c r="K105" s="19" t="n">
        <f aca="false">IF($I105="","",ROUND($I105*Dropdowns!$K$6,2))</f>
        <v>45.6</v>
      </c>
      <c r="L105" s="20" t="n">
        <f aca="false">IF($I105="","",ROUND($I105*Dropdowns!$K$7,2))</f>
        <v>3895</v>
      </c>
      <c r="M105" s="15" t="str">
        <f aca="false">IFERROR(IF($B105="","",VLOOKUP($B105,Designs!$A$3:$AP$165,27,FALSE())),"")</f>
        <v/>
      </c>
      <c r="N105" s="16" t="str">
        <f aca="false">IFERROR(IF(OR($I105="",$M105="",$M105=0),"",($I105-$M105)/$I105),"")</f>
        <v/>
      </c>
      <c r="O105" s="13" t="n">
        <v>0</v>
      </c>
      <c r="P105" s="13" t="n">
        <v>0</v>
      </c>
      <c r="Q105" s="21" t="n">
        <f aca="false">IF($O105="","",$O105-IF($P105="",0,$P105))</f>
        <v>0</v>
      </c>
      <c r="R105" s="13" t="n">
        <v>2</v>
      </c>
      <c r="S105" s="21" t="str">
        <f aca="false">IF($O105="","",IF($Q105&lt;=$R105,"⚠ REORDER","OK"))</f>
        <v>⚠ REORDER</v>
      </c>
      <c r="T105" s="13"/>
      <c r="U105" s="13"/>
      <c r="V105" s="13" t="s">
        <v>378</v>
      </c>
      <c r="W105" s="12" t="s">
        <v>379</v>
      </c>
      <c r="X105" s="13"/>
      <c r="Y105" s="13"/>
      <c r="Z105" s="12" t="s">
        <v>88</v>
      </c>
      <c r="AA105" s="12" t="s">
        <v>88</v>
      </c>
      <c r="AB105" s="12" t="s">
        <v>88</v>
      </c>
      <c r="AC105" s="12" t="s">
        <v>88</v>
      </c>
      <c r="AD105" s="12" t="s">
        <v>87</v>
      </c>
      <c r="AE105" s="21" t="n">
        <f aca="false">IFERROR(SUMIFS(Transactions!$F:$F,Transactions!$C:$C,$A105,Transactions!$D:$D,"Sale"),0)</f>
        <v>0</v>
      </c>
      <c r="AF105" s="15" t="n">
        <f aca="false">IFERROR(SUMIFS(Transactions!$H:$H,Transactions!$C:$C,$A105,Transactions!$D:$D,"Sale"),0)</f>
        <v>0</v>
      </c>
      <c r="AG105" s="22" t="str">
        <f aca="false">IFERROR(IF(maxifs(Transactions!$B:$B,Transactions!$C:$C,$A105,Transactions!$D:$D,"Sale")=0,"",maxifs(Transactions!$B:$B,Transactions!$C:$C,$A105,Transactions!$D:$D,"Sale")),"")</f>
        <v/>
      </c>
      <c r="AH105" s="12"/>
    </row>
    <row r="106" customFormat="false" ht="18" hidden="false" customHeight="true" outlineLevel="0" collapsed="false">
      <c r="A106" s="12" t="s">
        <v>484</v>
      </c>
      <c r="B106" s="12" t="s">
        <v>155</v>
      </c>
      <c r="C106" s="12" t="s">
        <v>77</v>
      </c>
      <c r="D106" s="12" t="s">
        <v>78</v>
      </c>
      <c r="E106" s="12" t="s">
        <v>79</v>
      </c>
      <c r="F106" s="12" t="s">
        <v>156</v>
      </c>
      <c r="G106" s="12"/>
      <c r="H106" s="12" t="s">
        <v>381</v>
      </c>
      <c r="I106" s="14" t="n">
        <v>19000</v>
      </c>
      <c r="J106" s="18" t="n">
        <f aca="false">IF($I106="","",ROUND($I106*Dropdowns!$K$5,2))</f>
        <v>49.4</v>
      </c>
      <c r="K106" s="19" t="n">
        <f aca="false">IF($I106="","",ROUND($I106*Dropdowns!$K$6,2))</f>
        <v>45.6</v>
      </c>
      <c r="L106" s="20" t="n">
        <f aca="false">IF($I106="","",ROUND($I106*Dropdowns!$K$7,2))</f>
        <v>3895</v>
      </c>
      <c r="M106" s="15" t="str">
        <f aca="false">IFERROR(IF($B106="","",VLOOKUP($B106,Designs!$A$3:$AP$165,27,FALSE())),"")</f>
        <v/>
      </c>
      <c r="N106" s="16" t="str">
        <f aca="false">IFERROR(IF(OR($I106="",$M106="",$M106=0),"",($I106-$M106)/$I106),"")</f>
        <v/>
      </c>
      <c r="O106" s="13" t="n">
        <v>0</v>
      </c>
      <c r="P106" s="13" t="n">
        <v>0</v>
      </c>
      <c r="Q106" s="21" t="n">
        <f aca="false">IF($O106="","",$O106-IF($P106="",0,$P106))</f>
        <v>0</v>
      </c>
      <c r="R106" s="13" t="n">
        <v>2</v>
      </c>
      <c r="S106" s="21" t="str">
        <f aca="false">IF($O106="","",IF($Q106&lt;=$R106,"⚠ REORDER","OK"))</f>
        <v>⚠ REORDER</v>
      </c>
      <c r="T106" s="13"/>
      <c r="U106" s="13"/>
      <c r="V106" s="13" t="s">
        <v>378</v>
      </c>
      <c r="W106" s="12" t="s">
        <v>379</v>
      </c>
      <c r="X106" s="13"/>
      <c r="Y106" s="13"/>
      <c r="Z106" s="12" t="s">
        <v>88</v>
      </c>
      <c r="AA106" s="12" t="s">
        <v>88</v>
      </c>
      <c r="AB106" s="12" t="s">
        <v>88</v>
      </c>
      <c r="AC106" s="12" t="s">
        <v>88</v>
      </c>
      <c r="AD106" s="12" t="s">
        <v>87</v>
      </c>
      <c r="AE106" s="21" t="n">
        <f aca="false">IFERROR(SUMIFS(Transactions!$F:$F,Transactions!$C:$C,$A106,Transactions!$D:$D,"Sale"),0)</f>
        <v>0</v>
      </c>
      <c r="AF106" s="15" t="n">
        <f aca="false">IFERROR(SUMIFS(Transactions!$H:$H,Transactions!$C:$C,$A106,Transactions!$D:$D,"Sale"),0)</f>
        <v>0</v>
      </c>
      <c r="AG106" s="22" t="str">
        <f aca="false">IFERROR(IF(maxifs(Transactions!$B:$B,Transactions!$C:$C,$A106,Transactions!$D:$D,"Sale")=0,"",maxifs(Transactions!$B:$B,Transactions!$C:$C,$A106,Transactions!$D:$D,"Sale")),"")</f>
        <v/>
      </c>
      <c r="AH106" s="12"/>
    </row>
    <row r="107" customFormat="false" ht="18" hidden="false" customHeight="true" outlineLevel="0" collapsed="false">
      <c r="A107" s="12" t="s">
        <v>485</v>
      </c>
      <c r="B107" s="12" t="s">
        <v>155</v>
      </c>
      <c r="C107" s="12" t="s">
        <v>77</v>
      </c>
      <c r="D107" s="12" t="s">
        <v>78</v>
      </c>
      <c r="E107" s="12" t="s">
        <v>79</v>
      </c>
      <c r="F107" s="12" t="s">
        <v>156</v>
      </c>
      <c r="G107" s="12"/>
      <c r="H107" s="12" t="s">
        <v>383</v>
      </c>
      <c r="I107" s="14" t="n">
        <v>19000</v>
      </c>
      <c r="J107" s="18" t="n">
        <f aca="false">IF($I107="","",ROUND($I107*Dropdowns!$K$5,2))</f>
        <v>49.4</v>
      </c>
      <c r="K107" s="19" t="n">
        <f aca="false">IF($I107="","",ROUND($I107*Dropdowns!$K$6,2))</f>
        <v>45.6</v>
      </c>
      <c r="L107" s="20" t="n">
        <f aca="false">IF($I107="","",ROUND($I107*Dropdowns!$K$7,2))</f>
        <v>3895</v>
      </c>
      <c r="M107" s="15" t="str">
        <f aca="false">IFERROR(IF($B107="","",VLOOKUP($B107,Designs!$A$3:$AP$165,27,FALSE())),"")</f>
        <v/>
      </c>
      <c r="N107" s="16" t="str">
        <f aca="false">IFERROR(IF(OR($I107="",$M107="",$M107=0),"",($I107-$M107)/$I107),"")</f>
        <v/>
      </c>
      <c r="O107" s="13" t="n">
        <v>0</v>
      </c>
      <c r="P107" s="13" t="n">
        <v>0</v>
      </c>
      <c r="Q107" s="21" t="n">
        <f aca="false">IF($O107="","",$O107-IF($P107="",0,$P107))</f>
        <v>0</v>
      </c>
      <c r="R107" s="13" t="n">
        <v>2</v>
      </c>
      <c r="S107" s="21" t="str">
        <f aca="false">IF($O107="","",IF($Q107&lt;=$R107,"⚠ REORDER","OK"))</f>
        <v>⚠ REORDER</v>
      </c>
      <c r="T107" s="13"/>
      <c r="U107" s="13"/>
      <c r="V107" s="13" t="s">
        <v>378</v>
      </c>
      <c r="W107" s="12" t="s">
        <v>379</v>
      </c>
      <c r="X107" s="13"/>
      <c r="Y107" s="13"/>
      <c r="Z107" s="12" t="s">
        <v>88</v>
      </c>
      <c r="AA107" s="12" t="s">
        <v>88</v>
      </c>
      <c r="AB107" s="12" t="s">
        <v>88</v>
      </c>
      <c r="AC107" s="12" t="s">
        <v>88</v>
      </c>
      <c r="AD107" s="12" t="s">
        <v>87</v>
      </c>
      <c r="AE107" s="21" t="n">
        <f aca="false">IFERROR(SUMIFS(Transactions!$F:$F,Transactions!$C:$C,$A107,Transactions!$D:$D,"Sale"),0)</f>
        <v>0</v>
      </c>
      <c r="AF107" s="15" t="n">
        <f aca="false">IFERROR(SUMIFS(Transactions!$H:$H,Transactions!$C:$C,$A107,Transactions!$D:$D,"Sale"),0)</f>
        <v>0</v>
      </c>
      <c r="AG107" s="22" t="str">
        <f aca="false">IFERROR(IF(maxifs(Transactions!$B:$B,Transactions!$C:$C,$A107,Transactions!$D:$D,"Sale")=0,"",maxifs(Transactions!$B:$B,Transactions!$C:$C,$A107,Transactions!$D:$D,"Sale")),"")</f>
        <v/>
      </c>
      <c r="AH107" s="12"/>
    </row>
    <row r="108" customFormat="false" ht="18" hidden="false" customHeight="true" outlineLevel="0" collapsed="false">
      <c r="A108" s="12" t="s">
        <v>486</v>
      </c>
      <c r="B108" s="12" t="s">
        <v>157</v>
      </c>
      <c r="C108" s="12" t="s">
        <v>77</v>
      </c>
      <c r="D108" s="12" t="s">
        <v>78</v>
      </c>
      <c r="E108" s="12" t="s">
        <v>79</v>
      </c>
      <c r="F108" s="12" t="s">
        <v>158</v>
      </c>
      <c r="G108" s="12"/>
      <c r="H108" s="12" t="s">
        <v>377</v>
      </c>
      <c r="I108" s="14" t="n">
        <v>19000</v>
      </c>
      <c r="J108" s="18" t="n">
        <f aca="false">IF($I108="","",ROUND($I108*Dropdowns!$K$5,2))</f>
        <v>49.4</v>
      </c>
      <c r="K108" s="19" t="n">
        <f aca="false">IF($I108="","",ROUND($I108*Dropdowns!$K$6,2))</f>
        <v>45.6</v>
      </c>
      <c r="L108" s="20" t="n">
        <f aca="false">IF($I108="","",ROUND($I108*Dropdowns!$K$7,2))</f>
        <v>3895</v>
      </c>
      <c r="M108" s="15" t="str">
        <f aca="false">IFERROR(IF($B108="","",VLOOKUP($B108,Designs!$A$3:$AP$165,27,FALSE())),"")</f>
        <v/>
      </c>
      <c r="N108" s="16" t="str">
        <f aca="false">IFERROR(IF(OR($I108="",$M108="",$M108=0),"",($I108-$M108)/$I108),"")</f>
        <v/>
      </c>
      <c r="O108" s="13" t="n">
        <v>0</v>
      </c>
      <c r="P108" s="13" t="n">
        <v>0</v>
      </c>
      <c r="Q108" s="21" t="n">
        <f aca="false">IF($O108="","",$O108-IF($P108="",0,$P108))</f>
        <v>0</v>
      </c>
      <c r="R108" s="13" t="n">
        <v>2</v>
      </c>
      <c r="S108" s="21" t="str">
        <f aca="false">IF($O108="","",IF($Q108&lt;=$R108,"⚠ REORDER","OK"))</f>
        <v>⚠ REORDER</v>
      </c>
      <c r="T108" s="13"/>
      <c r="U108" s="13"/>
      <c r="V108" s="13" t="s">
        <v>378</v>
      </c>
      <c r="W108" s="12" t="s">
        <v>379</v>
      </c>
      <c r="X108" s="13"/>
      <c r="Y108" s="13"/>
      <c r="Z108" s="12" t="s">
        <v>88</v>
      </c>
      <c r="AA108" s="12" t="s">
        <v>88</v>
      </c>
      <c r="AB108" s="12" t="s">
        <v>88</v>
      </c>
      <c r="AC108" s="12" t="s">
        <v>88</v>
      </c>
      <c r="AD108" s="12" t="s">
        <v>87</v>
      </c>
      <c r="AE108" s="21" t="n">
        <f aca="false">IFERROR(SUMIFS(Transactions!$F:$F,Transactions!$C:$C,$A108,Transactions!$D:$D,"Sale"),0)</f>
        <v>0</v>
      </c>
      <c r="AF108" s="15" t="n">
        <f aca="false">IFERROR(SUMIFS(Transactions!$H:$H,Transactions!$C:$C,$A108,Transactions!$D:$D,"Sale"),0)</f>
        <v>0</v>
      </c>
      <c r="AG108" s="22" t="str">
        <f aca="false">IFERROR(IF(maxifs(Transactions!$B:$B,Transactions!$C:$C,$A108,Transactions!$D:$D,"Sale")=0,"",maxifs(Transactions!$B:$B,Transactions!$C:$C,$A108,Transactions!$D:$D,"Sale")),"")</f>
        <v/>
      </c>
      <c r="AH108" s="12"/>
    </row>
    <row r="109" customFormat="false" ht="18" hidden="false" customHeight="true" outlineLevel="0" collapsed="false">
      <c r="A109" s="12" t="s">
        <v>487</v>
      </c>
      <c r="B109" s="12" t="s">
        <v>157</v>
      </c>
      <c r="C109" s="12" t="s">
        <v>77</v>
      </c>
      <c r="D109" s="12" t="s">
        <v>78</v>
      </c>
      <c r="E109" s="12" t="s">
        <v>79</v>
      </c>
      <c r="F109" s="12" t="s">
        <v>158</v>
      </c>
      <c r="G109" s="12"/>
      <c r="H109" s="12" t="s">
        <v>381</v>
      </c>
      <c r="I109" s="14" t="n">
        <v>19000</v>
      </c>
      <c r="J109" s="18" t="n">
        <f aca="false">IF($I109="","",ROUND($I109*Dropdowns!$K$5,2))</f>
        <v>49.4</v>
      </c>
      <c r="K109" s="19" t="n">
        <f aca="false">IF($I109="","",ROUND($I109*Dropdowns!$K$6,2))</f>
        <v>45.6</v>
      </c>
      <c r="L109" s="20" t="n">
        <f aca="false">IF($I109="","",ROUND($I109*Dropdowns!$K$7,2))</f>
        <v>3895</v>
      </c>
      <c r="M109" s="15" t="str">
        <f aca="false">IFERROR(IF($B109="","",VLOOKUP($B109,Designs!$A$3:$AP$165,27,FALSE())),"")</f>
        <v/>
      </c>
      <c r="N109" s="16" t="str">
        <f aca="false">IFERROR(IF(OR($I109="",$M109="",$M109=0),"",($I109-$M109)/$I109),"")</f>
        <v/>
      </c>
      <c r="O109" s="13" t="n">
        <v>0</v>
      </c>
      <c r="P109" s="13" t="n">
        <v>0</v>
      </c>
      <c r="Q109" s="21" t="n">
        <f aca="false">IF($O109="","",$O109-IF($P109="",0,$P109))</f>
        <v>0</v>
      </c>
      <c r="R109" s="13" t="n">
        <v>2</v>
      </c>
      <c r="S109" s="21" t="str">
        <f aca="false">IF($O109="","",IF($Q109&lt;=$R109,"⚠ REORDER","OK"))</f>
        <v>⚠ REORDER</v>
      </c>
      <c r="T109" s="13"/>
      <c r="U109" s="13"/>
      <c r="V109" s="13" t="s">
        <v>378</v>
      </c>
      <c r="W109" s="12" t="s">
        <v>379</v>
      </c>
      <c r="X109" s="13"/>
      <c r="Y109" s="13"/>
      <c r="Z109" s="12" t="s">
        <v>88</v>
      </c>
      <c r="AA109" s="12" t="s">
        <v>88</v>
      </c>
      <c r="AB109" s="12" t="s">
        <v>88</v>
      </c>
      <c r="AC109" s="12" t="s">
        <v>88</v>
      </c>
      <c r="AD109" s="12" t="s">
        <v>87</v>
      </c>
      <c r="AE109" s="21" t="n">
        <f aca="false">IFERROR(SUMIFS(Transactions!$F:$F,Transactions!$C:$C,$A109,Transactions!$D:$D,"Sale"),0)</f>
        <v>0</v>
      </c>
      <c r="AF109" s="15" t="n">
        <f aca="false">IFERROR(SUMIFS(Transactions!$H:$H,Transactions!$C:$C,$A109,Transactions!$D:$D,"Sale"),0)</f>
        <v>0</v>
      </c>
      <c r="AG109" s="22" t="str">
        <f aca="false">IFERROR(IF(maxifs(Transactions!$B:$B,Transactions!$C:$C,$A109,Transactions!$D:$D,"Sale")=0,"",maxifs(Transactions!$B:$B,Transactions!$C:$C,$A109,Transactions!$D:$D,"Sale")),"")</f>
        <v/>
      </c>
      <c r="AH109" s="12"/>
    </row>
    <row r="110" customFormat="false" ht="18" hidden="false" customHeight="true" outlineLevel="0" collapsed="false">
      <c r="A110" s="12" t="s">
        <v>488</v>
      </c>
      <c r="B110" s="12" t="s">
        <v>157</v>
      </c>
      <c r="C110" s="12" t="s">
        <v>77</v>
      </c>
      <c r="D110" s="12" t="s">
        <v>78</v>
      </c>
      <c r="E110" s="12" t="s">
        <v>79</v>
      </c>
      <c r="F110" s="12" t="s">
        <v>158</v>
      </c>
      <c r="G110" s="12"/>
      <c r="H110" s="12" t="s">
        <v>383</v>
      </c>
      <c r="I110" s="14" t="n">
        <v>19000</v>
      </c>
      <c r="J110" s="18" t="n">
        <f aca="false">IF($I110="","",ROUND($I110*Dropdowns!$K$5,2))</f>
        <v>49.4</v>
      </c>
      <c r="K110" s="19" t="n">
        <f aca="false">IF($I110="","",ROUND($I110*Dropdowns!$K$6,2))</f>
        <v>45.6</v>
      </c>
      <c r="L110" s="20" t="n">
        <f aca="false">IF($I110="","",ROUND($I110*Dropdowns!$K$7,2))</f>
        <v>3895</v>
      </c>
      <c r="M110" s="15" t="str">
        <f aca="false">IFERROR(IF($B110="","",VLOOKUP($B110,Designs!$A$3:$AP$165,27,FALSE())),"")</f>
        <v/>
      </c>
      <c r="N110" s="16" t="str">
        <f aca="false">IFERROR(IF(OR($I110="",$M110="",$M110=0),"",($I110-$M110)/$I110),"")</f>
        <v/>
      </c>
      <c r="O110" s="13" t="n">
        <v>0</v>
      </c>
      <c r="P110" s="13" t="n">
        <v>0</v>
      </c>
      <c r="Q110" s="21" t="n">
        <f aca="false">IF($O110="","",$O110-IF($P110="",0,$P110))</f>
        <v>0</v>
      </c>
      <c r="R110" s="13" t="n">
        <v>2</v>
      </c>
      <c r="S110" s="21" t="str">
        <f aca="false">IF($O110="","",IF($Q110&lt;=$R110,"⚠ REORDER","OK"))</f>
        <v>⚠ REORDER</v>
      </c>
      <c r="T110" s="13"/>
      <c r="U110" s="13"/>
      <c r="V110" s="13" t="s">
        <v>378</v>
      </c>
      <c r="W110" s="12" t="s">
        <v>379</v>
      </c>
      <c r="X110" s="13"/>
      <c r="Y110" s="13"/>
      <c r="Z110" s="12" t="s">
        <v>88</v>
      </c>
      <c r="AA110" s="12" t="s">
        <v>88</v>
      </c>
      <c r="AB110" s="12" t="s">
        <v>88</v>
      </c>
      <c r="AC110" s="12" t="s">
        <v>88</v>
      </c>
      <c r="AD110" s="12" t="s">
        <v>87</v>
      </c>
      <c r="AE110" s="21" t="n">
        <f aca="false">IFERROR(SUMIFS(Transactions!$F:$F,Transactions!$C:$C,$A110,Transactions!$D:$D,"Sale"),0)</f>
        <v>0</v>
      </c>
      <c r="AF110" s="15" t="n">
        <f aca="false">IFERROR(SUMIFS(Transactions!$H:$H,Transactions!$C:$C,$A110,Transactions!$D:$D,"Sale"),0)</f>
        <v>0</v>
      </c>
      <c r="AG110" s="22" t="str">
        <f aca="false">IFERROR(IF(maxifs(Transactions!$B:$B,Transactions!$C:$C,$A110,Transactions!$D:$D,"Sale")=0,"",maxifs(Transactions!$B:$B,Transactions!$C:$C,$A110,Transactions!$D:$D,"Sale")),"")</f>
        <v/>
      </c>
      <c r="AH110" s="12"/>
    </row>
    <row r="111" customFormat="false" ht="18" hidden="false" customHeight="true" outlineLevel="0" collapsed="false">
      <c r="A111" s="12" t="s">
        <v>489</v>
      </c>
      <c r="B111" s="12" t="s">
        <v>159</v>
      </c>
      <c r="C111" s="12" t="s">
        <v>77</v>
      </c>
      <c r="D111" s="12" t="s">
        <v>78</v>
      </c>
      <c r="E111" s="12" t="s">
        <v>79</v>
      </c>
      <c r="F111" s="12" t="s">
        <v>160</v>
      </c>
      <c r="G111" s="12"/>
      <c r="H111" s="12" t="s">
        <v>377</v>
      </c>
      <c r="I111" s="14" t="n">
        <v>19000</v>
      </c>
      <c r="J111" s="18" t="n">
        <f aca="false">IF($I111="","",ROUND($I111*Dropdowns!$K$5,2))</f>
        <v>49.4</v>
      </c>
      <c r="K111" s="19" t="n">
        <f aca="false">IF($I111="","",ROUND($I111*Dropdowns!$K$6,2))</f>
        <v>45.6</v>
      </c>
      <c r="L111" s="20" t="n">
        <f aca="false">IF($I111="","",ROUND($I111*Dropdowns!$K$7,2))</f>
        <v>3895</v>
      </c>
      <c r="M111" s="15" t="str">
        <f aca="false">IFERROR(IF($B111="","",VLOOKUP($B111,Designs!$A$3:$AP$165,27,FALSE())),"")</f>
        <v/>
      </c>
      <c r="N111" s="16" t="str">
        <f aca="false">IFERROR(IF(OR($I111="",$M111="",$M111=0),"",($I111-$M111)/$I111),"")</f>
        <v/>
      </c>
      <c r="O111" s="13" t="n">
        <v>0</v>
      </c>
      <c r="P111" s="13" t="n">
        <v>0</v>
      </c>
      <c r="Q111" s="21" t="n">
        <f aca="false">IF($O111="","",$O111-IF($P111="",0,$P111))</f>
        <v>0</v>
      </c>
      <c r="R111" s="13" t="n">
        <v>2</v>
      </c>
      <c r="S111" s="21" t="str">
        <f aca="false">IF($O111="","",IF($Q111&lt;=$R111,"⚠ REORDER","OK"))</f>
        <v>⚠ REORDER</v>
      </c>
      <c r="T111" s="13"/>
      <c r="U111" s="13"/>
      <c r="V111" s="13" t="s">
        <v>378</v>
      </c>
      <c r="W111" s="12" t="s">
        <v>379</v>
      </c>
      <c r="X111" s="13"/>
      <c r="Y111" s="13"/>
      <c r="Z111" s="12" t="s">
        <v>88</v>
      </c>
      <c r="AA111" s="12" t="s">
        <v>88</v>
      </c>
      <c r="AB111" s="12" t="s">
        <v>88</v>
      </c>
      <c r="AC111" s="12" t="s">
        <v>88</v>
      </c>
      <c r="AD111" s="12" t="s">
        <v>87</v>
      </c>
      <c r="AE111" s="21" t="n">
        <f aca="false">IFERROR(SUMIFS(Transactions!$F:$F,Transactions!$C:$C,$A111,Transactions!$D:$D,"Sale"),0)</f>
        <v>0</v>
      </c>
      <c r="AF111" s="15" t="n">
        <f aca="false">IFERROR(SUMIFS(Transactions!$H:$H,Transactions!$C:$C,$A111,Transactions!$D:$D,"Sale"),0)</f>
        <v>0</v>
      </c>
      <c r="AG111" s="22" t="str">
        <f aca="false">IFERROR(IF(maxifs(Transactions!$B:$B,Transactions!$C:$C,$A111,Transactions!$D:$D,"Sale")=0,"",maxifs(Transactions!$B:$B,Transactions!$C:$C,$A111,Transactions!$D:$D,"Sale")),"")</f>
        <v/>
      </c>
      <c r="AH111" s="12"/>
    </row>
    <row r="112" customFormat="false" ht="18" hidden="false" customHeight="true" outlineLevel="0" collapsed="false">
      <c r="A112" s="12" t="s">
        <v>490</v>
      </c>
      <c r="B112" s="12" t="s">
        <v>159</v>
      </c>
      <c r="C112" s="12" t="s">
        <v>77</v>
      </c>
      <c r="D112" s="12" t="s">
        <v>78</v>
      </c>
      <c r="E112" s="12" t="s">
        <v>79</v>
      </c>
      <c r="F112" s="12" t="s">
        <v>160</v>
      </c>
      <c r="G112" s="12"/>
      <c r="H112" s="12" t="s">
        <v>381</v>
      </c>
      <c r="I112" s="14" t="n">
        <v>19000</v>
      </c>
      <c r="J112" s="18" t="n">
        <f aca="false">IF($I112="","",ROUND($I112*Dropdowns!$K$5,2))</f>
        <v>49.4</v>
      </c>
      <c r="K112" s="19" t="n">
        <f aca="false">IF($I112="","",ROUND($I112*Dropdowns!$K$6,2))</f>
        <v>45.6</v>
      </c>
      <c r="L112" s="20" t="n">
        <f aca="false">IF($I112="","",ROUND($I112*Dropdowns!$K$7,2))</f>
        <v>3895</v>
      </c>
      <c r="M112" s="15" t="str">
        <f aca="false">IFERROR(IF($B112="","",VLOOKUP($B112,Designs!$A$3:$AP$165,27,FALSE())),"")</f>
        <v/>
      </c>
      <c r="N112" s="16" t="str">
        <f aca="false">IFERROR(IF(OR($I112="",$M112="",$M112=0),"",($I112-$M112)/$I112),"")</f>
        <v/>
      </c>
      <c r="O112" s="13" t="n">
        <v>0</v>
      </c>
      <c r="P112" s="13" t="n">
        <v>0</v>
      </c>
      <c r="Q112" s="21" t="n">
        <f aca="false">IF($O112="","",$O112-IF($P112="",0,$P112))</f>
        <v>0</v>
      </c>
      <c r="R112" s="13" t="n">
        <v>2</v>
      </c>
      <c r="S112" s="21" t="str">
        <f aca="false">IF($O112="","",IF($Q112&lt;=$R112,"⚠ REORDER","OK"))</f>
        <v>⚠ REORDER</v>
      </c>
      <c r="T112" s="13"/>
      <c r="U112" s="13"/>
      <c r="V112" s="13" t="s">
        <v>378</v>
      </c>
      <c r="W112" s="12" t="s">
        <v>379</v>
      </c>
      <c r="X112" s="13"/>
      <c r="Y112" s="13"/>
      <c r="Z112" s="12" t="s">
        <v>88</v>
      </c>
      <c r="AA112" s="12" t="s">
        <v>88</v>
      </c>
      <c r="AB112" s="12" t="s">
        <v>88</v>
      </c>
      <c r="AC112" s="12" t="s">
        <v>88</v>
      </c>
      <c r="AD112" s="12" t="s">
        <v>87</v>
      </c>
      <c r="AE112" s="21" t="n">
        <f aca="false">IFERROR(SUMIFS(Transactions!$F:$F,Transactions!$C:$C,$A112,Transactions!$D:$D,"Sale"),0)</f>
        <v>0</v>
      </c>
      <c r="AF112" s="15" t="n">
        <f aca="false">IFERROR(SUMIFS(Transactions!$H:$H,Transactions!$C:$C,$A112,Transactions!$D:$D,"Sale"),0)</f>
        <v>0</v>
      </c>
      <c r="AG112" s="22" t="str">
        <f aca="false">IFERROR(IF(maxifs(Transactions!$B:$B,Transactions!$C:$C,$A112,Transactions!$D:$D,"Sale")=0,"",maxifs(Transactions!$B:$B,Transactions!$C:$C,$A112,Transactions!$D:$D,"Sale")),"")</f>
        <v/>
      </c>
      <c r="AH112" s="12"/>
    </row>
    <row r="113" customFormat="false" ht="18" hidden="false" customHeight="true" outlineLevel="0" collapsed="false">
      <c r="A113" s="12" t="s">
        <v>491</v>
      </c>
      <c r="B113" s="12" t="s">
        <v>159</v>
      </c>
      <c r="C113" s="12" t="s">
        <v>77</v>
      </c>
      <c r="D113" s="12" t="s">
        <v>78</v>
      </c>
      <c r="E113" s="12" t="s">
        <v>79</v>
      </c>
      <c r="F113" s="12" t="s">
        <v>160</v>
      </c>
      <c r="G113" s="12"/>
      <c r="H113" s="12" t="s">
        <v>383</v>
      </c>
      <c r="I113" s="14" t="n">
        <v>19000</v>
      </c>
      <c r="J113" s="18" t="n">
        <f aca="false">IF($I113="","",ROUND($I113*Dropdowns!$K$5,2))</f>
        <v>49.4</v>
      </c>
      <c r="K113" s="19" t="n">
        <f aca="false">IF($I113="","",ROUND($I113*Dropdowns!$K$6,2))</f>
        <v>45.6</v>
      </c>
      <c r="L113" s="20" t="n">
        <f aca="false">IF($I113="","",ROUND($I113*Dropdowns!$K$7,2))</f>
        <v>3895</v>
      </c>
      <c r="M113" s="15" t="str">
        <f aca="false">IFERROR(IF($B113="","",VLOOKUP($B113,Designs!$A$3:$AP$165,27,FALSE())),"")</f>
        <v/>
      </c>
      <c r="N113" s="16" t="str">
        <f aca="false">IFERROR(IF(OR($I113="",$M113="",$M113=0),"",($I113-$M113)/$I113),"")</f>
        <v/>
      </c>
      <c r="O113" s="13" t="n">
        <v>0</v>
      </c>
      <c r="P113" s="13" t="n">
        <v>0</v>
      </c>
      <c r="Q113" s="21" t="n">
        <f aca="false">IF($O113="","",$O113-IF($P113="",0,$P113))</f>
        <v>0</v>
      </c>
      <c r="R113" s="13" t="n">
        <v>2</v>
      </c>
      <c r="S113" s="21" t="str">
        <f aca="false">IF($O113="","",IF($Q113&lt;=$R113,"⚠ REORDER","OK"))</f>
        <v>⚠ REORDER</v>
      </c>
      <c r="T113" s="13"/>
      <c r="U113" s="13"/>
      <c r="V113" s="13" t="s">
        <v>378</v>
      </c>
      <c r="W113" s="12" t="s">
        <v>379</v>
      </c>
      <c r="X113" s="13"/>
      <c r="Y113" s="13"/>
      <c r="Z113" s="12" t="s">
        <v>88</v>
      </c>
      <c r="AA113" s="12" t="s">
        <v>88</v>
      </c>
      <c r="AB113" s="12" t="s">
        <v>88</v>
      </c>
      <c r="AC113" s="12" t="s">
        <v>88</v>
      </c>
      <c r="AD113" s="12" t="s">
        <v>87</v>
      </c>
      <c r="AE113" s="21" t="n">
        <f aca="false">IFERROR(SUMIFS(Transactions!$F:$F,Transactions!$C:$C,$A113,Transactions!$D:$D,"Sale"),0)</f>
        <v>0</v>
      </c>
      <c r="AF113" s="15" t="n">
        <f aca="false">IFERROR(SUMIFS(Transactions!$H:$H,Transactions!$C:$C,$A113,Transactions!$D:$D,"Sale"),0)</f>
        <v>0</v>
      </c>
      <c r="AG113" s="22" t="str">
        <f aca="false">IFERROR(IF(maxifs(Transactions!$B:$B,Transactions!$C:$C,$A113,Transactions!$D:$D,"Sale")=0,"",maxifs(Transactions!$B:$B,Transactions!$C:$C,$A113,Transactions!$D:$D,"Sale")),"")</f>
        <v/>
      </c>
      <c r="AH113" s="12"/>
    </row>
    <row r="114" customFormat="false" ht="18" hidden="false" customHeight="true" outlineLevel="0" collapsed="false">
      <c r="A114" s="12" t="s">
        <v>492</v>
      </c>
      <c r="B114" s="12" t="s">
        <v>161</v>
      </c>
      <c r="C114" s="12" t="s">
        <v>77</v>
      </c>
      <c r="D114" s="12" t="s">
        <v>78</v>
      </c>
      <c r="E114" s="12" t="s">
        <v>79</v>
      </c>
      <c r="F114" s="12" t="s">
        <v>162</v>
      </c>
      <c r="G114" s="12"/>
      <c r="H114" s="12" t="s">
        <v>377</v>
      </c>
      <c r="I114" s="14" t="n">
        <v>19000</v>
      </c>
      <c r="J114" s="18" t="n">
        <f aca="false">IF($I114="","",ROUND($I114*Dropdowns!$K$5,2))</f>
        <v>49.4</v>
      </c>
      <c r="K114" s="19" t="n">
        <f aca="false">IF($I114="","",ROUND($I114*Dropdowns!$K$6,2))</f>
        <v>45.6</v>
      </c>
      <c r="L114" s="20" t="n">
        <f aca="false">IF($I114="","",ROUND($I114*Dropdowns!$K$7,2))</f>
        <v>3895</v>
      </c>
      <c r="M114" s="15" t="str">
        <f aca="false">IFERROR(IF($B114="","",VLOOKUP($B114,Designs!$A$3:$AP$165,27,FALSE())),"")</f>
        <v/>
      </c>
      <c r="N114" s="16" t="str">
        <f aca="false">IFERROR(IF(OR($I114="",$M114="",$M114=0),"",($I114-$M114)/$I114),"")</f>
        <v/>
      </c>
      <c r="O114" s="13" t="n">
        <v>0</v>
      </c>
      <c r="P114" s="13" t="n">
        <v>0</v>
      </c>
      <c r="Q114" s="21" t="n">
        <f aca="false">IF($O114="","",$O114-IF($P114="",0,$P114))</f>
        <v>0</v>
      </c>
      <c r="R114" s="13" t="n">
        <v>2</v>
      </c>
      <c r="S114" s="21" t="str">
        <f aca="false">IF($O114="","",IF($Q114&lt;=$R114,"⚠ REORDER","OK"))</f>
        <v>⚠ REORDER</v>
      </c>
      <c r="T114" s="13"/>
      <c r="U114" s="13"/>
      <c r="V114" s="13" t="s">
        <v>378</v>
      </c>
      <c r="W114" s="12" t="s">
        <v>379</v>
      </c>
      <c r="X114" s="13"/>
      <c r="Y114" s="13"/>
      <c r="Z114" s="12" t="s">
        <v>88</v>
      </c>
      <c r="AA114" s="12" t="s">
        <v>88</v>
      </c>
      <c r="AB114" s="12" t="s">
        <v>88</v>
      </c>
      <c r="AC114" s="12" t="s">
        <v>88</v>
      </c>
      <c r="AD114" s="12" t="s">
        <v>87</v>
      </c>
      <c r="AE114" s="21" t="n">
        <f aca="false">IFERROR(SUMIFS(Transactions!$F:$F,Transactions!$C:$C,$A114,Transactions!$D:$D,"Sale"),0)</f>
        <v>0</v>
      </c>
      <c r="AF114" s="15" t="n">
        <f aca="false">IFERROR(SUMIFS(Transactions!$H:$H,Transactions!$C:$C,$A114,Transactions!$D:$D,"Sale"),0)</f>
        <v>0</v>
      </c>
      <c r="AG114" s="22" t="str">
        <f aca="false">IFERROR(IF(maxifs(Transactions!$B:$B,Transactions!$C:$C,$A114,Transactions!$D:$D,"Sale")=0,"",maxifs(Transactions!$B:$B,Transactions!$C:$C,$A114,Transactions!$D:$D,"Sale")),"")</f>
        <v/>
      </c>
      <c r="AH114" s="12"/>
    </row>
    <row r="115" customFormat="false" ht="18" hidden="false" customHeight="true" outlineLevel="0" collapsed="false">
      <c r="A115" s="12" t="s">
        <v>493</v>
      </c>
      <c r="B115" s="12" t="s">
        <v>161</v>
      </c>
      <c r="C115" s="12" t="s">
        <v>77</v>
      </c>
      <c r="D115" s="12" t="s">
        <v>78</v>
      </c>
      <c r="E115" s="12" t="s">
        <v>79</v>
      </c>
      <c r="F115" s="12" t="s">
        <v>162</v>
      </c>
      <c r="G115" s="12"/>
      <c r="H115" s="12" t="s">
        <v>381</v>
      </c>
      <c r="I115" s="14" t="n">
        <v>19000</v>
      </c>
      <c r="J115" s="18" t="n">
        <f aca="false">IF($I115="","",ROUND($I115*Dropdowns!$K$5,2))</f>
        <v>49.4</v>
      </c>
      <c r="K115" s="19" t="n">
        <f aca="false">IF($I115="","",ROUND($I115*Dropdowns!$K$6,2))</f>
        <v>45.6</v>
      </c>
      <c r="L115" s="20" t="n">
        <f aca="false">IF($I115="","",ROUND($I115*Dropdowns!$K$7,2))</f>
        <v>3895</v>
      </c>
      <c r="M115" s="15" t="str">
        <f aca="false">IFERROR(IF($B115="","",VLOOKUP($B115,Designs!$A$3:$AP$165,27,FALSE())),"")</f>
        <v/>
      </c>
      <c r="N115" s="16" t="str">
        <f aca="false">IFERROR(IF(OR($I115="",$M115="",$M115=0),"",($I115-$M115)/$I115),"")</f>
        <v/>
      </c>
      <c r="O115" s="13" t="n">
        <v>0</v>
      </c>
      <c r="P115" s="13" t="n">
        <v>0</v>
      </c>
      <c r="Q115" s="21" t="n">
        <f aca="false">IF($O115="","",$O115-IF($P115="",0,$P115))</f>
        <v>0</v>
      </c>
      <c r="R115" s="13" t="n">
        <v>2</v>
      </c>
      <c r="S115" s="21" t="str">
        <f aca="false">IF($O115="","",IF($Q115&lt;=$R115,"⚠ REORDER","OK"))</f>
        <v>⚠ REORDER</v>
      </c>
      <c r="T115" s="13"/>
      <c r="U115" s="13"/>
      <c r="V115" s="13" t="s">
        <v>378</v>
      </c>
      <c r="W115" s="12" t="s">
        <v>379</v>
      </c>
      <c r="X115" s="13"/>
      <c r="Y115" s="13"/>
      <c r="Z115" s="12" t="s">
        <v>88</v>
      </c>
      <c r="AA115" s="12" t="s">
        <v>88</v>
      </c>
      <c r="AB115" s="12" t="s">
        <v>88</v>
      </c>
      <c r="AC115" s="12" t="s">
        <v>88</v>
      </c>
      <c r="AD115" s="12" t="s">
        <v>87</v>
      </c>
      <c r="AE115" s="21" t="n">
        <f aca="false">IFERROR(SUMIFS(Transactions!$F:$F,Transactions!$C:$C,$A115,Transactions!$D:$D,"Sale"),0)</f>
        <v>0</v>
      </c>
      <c r="AF115" s="15" t="n">
        <f aca="false">IFERROR(SUMIFS(Transactions!$H:$H,Transactions!$C:$C,$A115,Transactions!$D:$D,"Sale"),0)</f>
        <v>0</v>
      </c>
      <c r="AG115" s="22" t="str">
        <f aca="false">IFERROR(IF(maxifs(Transactions!$B:$B,Transactions!$C:$C,$A115,Transactions!$D:$D,"Sale")=0,"",maxifs(Transactions!$B:$B,Transactions!$C:$C,$A115,Transactions!$D:$D,"Sale")),"")</f>
        <v/>
      </c>
      <c r="AH115" s="12"/>
    </row>
    <row r="116" customFormat="false" ht="18" hidden="false" customHeight="true" outlineLevel="0" collapsed="false">
      <c r="A116" s="12" t="s">
        <v>494</v>
      </c>
      <c r="B116" s="12" t="s">
        <v>161</v>
      </c>
      <c r="C116" s="12" t="s">
        <v>77</v>
      </c>
      <c r="D116" s="12" t="s">
        <v>78</v>
      </c>
      <c r="E116" s="12" t="s">
        <v>79</v>
      </c>
      <c r="F116" s="12" t="s">
        <v>162</v>
      </c>
      <c r="G116" s="12"/>
      <c r="H116" s="12" t="s">
        <v>383</v>
      </c>
      <c r="I116" s="14" t="n">
        <v>19000</v>
      </c>
      <c r="J116" s="18" t="n">
        <f aca="false">IF($I116="","",ROUND($I116*Dropdowns!$K$5,2))</f>
        <v>49.4</v>
      </c>
      <c r="K116" s="19" t="n">
        <f aca="false">IF($I116="","",ROUND($I116*Dropdowns!$K$6,2))</f>
        <v>45.6</v>
      </c>
      <c r="L116" s="20" t="n">
        <f aca="false">IF($I116="","",ROUND($I116*Dropdowns!$K$7,2))</f>
        <v>3895</v>
      </c>
      <c r="M116" s="15" t="str">
        <f aca="false">IFERROR(IF($B116="","",VLOOKUP($B116,Designs!$A$3:$AP$165,27,FALSE())),"")</f>
        <v/>
      </c>
      <c r="N116" s="16" t="str">
        <f aca="false">IFERROR(IF(OR($I116="",$M116="",$M116=0),"",($I116-$M116)/$I116),"")</f>
        <v/>
      </c>
      <c r="O116" s="13" t="n">
        <v>0</v>
      </c>
      <c r="P116" s="13" t="n">
        <v>0</v>
      </c>
      <c r="Q116" s="21" t="n">
        <f aca="false">IF($O116="","",$O116-IF($P116="",0,$P116))</f>
        <v>0</v>
      </c>
      <c r="R116" s="13" t="n">
        <v>2</v>
      </c>
      <c r="S116" s="21" t="str">
        <f aca="false">IF($O116="","",IF($Q116&lt;=$R116,"⚠ REORDER","OK"))</f>
        <v>⚠ REORDER</v>
      </c>
      <c r="T116" s="13"/>
      <c r="U116" s="13"/>
      <c r="V116" s="13" t="s">
        <v>378</v>
      </c>
      <c r="W116" s="12" t="s">
        <v>379</v>
      </c>
      <c r="X116" s="13"/>
      <c r="Y116" s="13"/>
      <c r="Z116" s="12" t="s">
        <v>88</v>
      </c>
      <c r="AA116" s="12" t="s">
        <v>88</v>
      </c>
      <c r="AB116" s="12" t="s">
        <v>88</v>
      </c>
      <c r="AC116" s="12" t="s">
        <v>88</v>
      </c>
      <c r="AD116" s="12" t="s">
        <v>87</v>
      </c>
      <c r="AE116" s="21" t="n">
        <f aca="false">IFERROR(SUMIFS(Transactions!$F:$F,Transactions!$C:$C,$A116,Transactions!$D:$D,"Sale"),0)</f>
        <v>0</v>
      </c>
      <c r="AF116" s="15" t="n">
        <f aca="false">IFERROR(SUMIFS(Transactions!$H:$H,Transactions!$C:$C,$A116,Transactions!$D:$D,"Sale"),0)</f>
        <v>0</v>
      </c>
      <c r="AG116" s="22" t="str">
        <f aca="false">IFERROR(IF(maxifs(Transactions!$B:$B,Transactions!$C:$C,$A116,Transactions!$D:$D,"Sale")=0,"",maxifs(Transactions!$B:$B,Transactions!$C:$C,$A116,Transactions!$D:$D,"Sale")),"")</f>
        <v/>
      </c>
      <c r="AH116" s="12"/>
    </row>
    <row r="117" customFormat="false" ht="18" hidden="false" customHeight="true" outlineLevel="0" collapsed="false">
      <c r="A117" s="12" t="s">
        <v>495</v>
      </c>
      <c r="B117" s="12" t="s">
        <v>163</v>
      </c>
      <c r="C117" s="12" t="s">
        <v>164</v>
      </c>
      <c r="D117" s="12" t="s">
        <v>165</v>
      </c>
      <c r="E117" s="12" t="s">
        <v>79</v>
      </c>
      <c r="F117" s="12" t="s">
        <v>80</v>
      </c>
      <c r="G117" s="12"/>
      <c r="H117" s="12" t="s">
        <v>377</v>
      </c>
      <c r="I117" s="14" t="n">
        <v>19000</v>
      </c>
      <c r="J117" s="18" t="n">
        <f aca="false">IF($I117="","",ROUND($I117*Dropdowns!$K$5,2))</f>
        <v>49.4</v>
      </c>
      <c r="K117" s="19" t="n">
        <f aca="false">IF($I117="","",ROUND($I117*Dropdowns!$K$6,2))</f>
        <v>45.6</v>
      </c>
      <c r="L117" s="20" t="n">
        <f aca="false">IF($I117="","",ROUND($I117*Dropdowns!$K$7,2))</f>
        <v>3895</v>
      </c>
      <c r="M117" s="15" t="str">
        <f aca="false">IFERROR(IF($B117="","",VLOOKUP($B117,Designs!$A$3:$AP$165,27,FALSE())),"")</f>
        <v/>
      </c>
      <c r="N117" s="16" t="str">
        <f aca="false">IFERROR(IF(OR($I117="",$M117="",$M117=0),"",($I117-$M117)/$I117),"")</f>
        <v/>
      </c>
      <c r="O117" s="13" t="n">
        <v>0</v>
      </c>
      <c r="P117" s="13" t="n">
        <v>0</v>
      </c>
      <c r="Q117" s="21" t="n">
        <f aca="false">IF($O117="","",$O117-IF($P117="",0,$P117))</f>
        <v>0</v>
      </c>
      <c r="R117" s="13" t="n">
        <v>2</v>
      </c>
      <c r="S117" s="21" t="str">
        <f aca="false">IF($O117="","",IF($Q117&lt;=$R117,"⚠ REORDER","OK"))</f>
        <v>⚠ REORDER</v>
      </c>
      <c r="T117" s="13"/>
      <c r="U117" s="13"/>
      <c r="V117" s="13" t="s">
        <v>378</v>
      </c>
      <c r="W117" s="12" t="s">
        <v>379</v>
      </c>
      <c r="X117" s="13"/>
      <c r="Y117" s="13"/>
      <c r="Z117" s="12" t="s">
        <v>88</v>
      </c>
      <c r="AA117" s="12" t="s">
        <v>88</v>
      </c>
      <c r="AB117" s="12" t="s">
        <v>88</v>
      </c>
      <c r="AC117" s="12" t="s">
        <v>88</v>
      </c>
      <c r="AD117" s="12" t="s">
        <v>87</v>
      </c>
      <c r="AE117" s="21" t="n">
        <f aca="false">IFERROR(SUMIFS(Transactions!$F:$F,Transactions!$C:$C,$A117,Transactions!$D:$D,"Sale"),0)</f>
        <v>0</v>
      </c>
      <c r="AF117" s="15" t="n">
        <f aca="false">IFERROR(SUMIFS(Transactions!$H:$H,Transactions!$C:$C,$A117,Transactions!$D:$D,"Sale"),0)</f>
        <v>0</v>
      </c>
      <c r="AG117" s="22" t="str">
        <f aca="false">IFERROR(IF(maxifs(Transactions!$B:$B,Transactions!$C:$C,$A117,Transactions!$D:$D,"Sale")=0,"",maxifs(Transactions!$B:$B,Transactions!$C:$C,$A117,Transactions!$D:$D,"Sale")),"")</f>
        <v/>
      </c>
      <c r="AH117" s="12"/>
    </row>
    <row r="118" customFormat="false" ht="18" hidden="false" customHeight="true" outlineLevel="0" collapsed="false">
      <c r="A118" s="12" t="s">
        <v>496</v>
      </c>
      <c r="B118" s="12" t="s">
        <v>163</v>
      </c>
      <c r="C118" s="12" t="s">
        <v>164</v>
      </c>
      <c r="D118" s="12" t="s">
        <v>165</v>
      </c>
      <c r="E118" s="12" t="s">
        <v>79</v>
      </c>
      <c r="F118" s="12" t="s">
        <v>80</v>
      </c>
      <c r="G118" s="12"/>
      <c r="H118" s="12" t="s">
        <v>381</v>
      </c>
      <c r="I118" s="14" t="n">
        <v>19000</v>
      </c>
      <c r="J118" s="18" t="n">
        <f aca="false">IF($I118="","",ROUND($I118*Dropdowns!$K$5,2))</f>
        <v>49.4</v>
      </c>
      <c r="K118" s="19" t="n">
        <f aca="false">IF($I118="","",ROUND($I118*Dropdowns!$K$6,2))</f>
        <v>45.6</v>
      </c>
      <c r="L118" s="20" t="n">
        <f aca="false">IF($I118="","",ROUND($I118*Dropdowns!$K$7,2))</f>
        <v>3895</v>
      </c>
      <c r="M118" s="15" t="str">
        <f aca="false">IFERROR(IF($B118="","",VLOOKUP($B118,Designs!$A$3:$AP$165,27,FALSE())),"")</f>
        <v/>
      </c>
      <c r="N118" s="16" t="str">
        <f aca="false">IFERROR(IF(OR($I118="",$M118="",$M118=0),"",($I118-$M118)/$I118),"")</f>
        <v/>
      </c>
      <c r="O118" s="13" t="n">
        <v>0</v>
      </c>
      <c r="P118" s="13" t="n">
        <v>0</v>
      </c>
      <c r="Q118" s="21" t="n">
        <f aca="false">IF($O118="","",$O118-IF($P118="",0,$P118))</f>
        <v>0</v>
      </c>
      <c r="R118" s="13" t="n">
        <v>2</v>
      </c>
      <c r="S118" s="21" t="str">
        <f aca="false">IF($O118="","",IF($Q118&lt;=$R118,"⚠ REORDER","OK"))</f>
        <v>⚠ REORDER</v>
      </c>
      <c r="T118" s="13"/>
      <c r="U118" s="13"/>
      <c r="V118" s="13" t="s">
        <v>378</v>
      </c>
      <c r="W118" s="12" t="s">
        <v>379</v>
      </c>
      <c r="X118" s="13"/>
      <c r="Y118" s="13"/>
      <c r="Z118" s="12" t="s">
        <v>88</v>
      </c>
      <c r="AA118" s="12" t="s">
        <v>88</v>
      </c>
      <c r="AB118" s="12" t="s">
        <v>88</v>
      </c>
      <c r="AC118" s="12" t="s">
        <v>88</v>
      </c>
      <c r="AD118" s="12" t="s">
        <v>87</v>
      </c>
      <c r="AE118" s="21" t="n">
        <f aca="false">IFERROR(SUMIFS(Transactions!$F:$F,Transactions!$C:$C,$A118,Transactions!$D:$D,"Sale"),0)</f>
        <v>0</v>
      </c>
      <c r="AF118" s="15" t="n">
        <f aca="false">IFERROR(SUMIFS(Transactions!$H:$H,Transactions!$C:$C,$A118,Transactions!$D:$D,"Sale"),0)</f>
        <v>0</v>
      </c>
      <c r="AG118" s="22" t="str">
        <f aca="false">IFERROR(IF(maxifs(Transactions!$B:$B,Transactions!$C:$C,$A118,Transactions!$D:$D,"Sale")=0,"",maxifs(Transactions!$B:$B,Transactions!$C:$C,$A118,Transactions!$D:$D,"Sale")),"")</f>
        <v/>
      </c>
      <c r="AH118" s="12"/>
    </row>
    <row r="119" customFormat="false" ht="18" hidden="false" customHeight="true" outlineLevel="0" collapsed="false">
      <c r="A119" s="12" t="s">
        <v>497</v>
      </c>
      <c r="B119" s="12" t="s">
        <v>163</v>
      </c>
      <c r="C119" s="12" t="s">
        <v>164</v>
      </c>
      <c r="D119" s="12" t="s">
        <v>165</v>
      </c>
      <c r="E119" s="12" t="s">
        <v>79</v>
      </c>
      <c r="F119" s="12" t="s">
        <v>80</v>
      </c>
      <c r="G119" s="12"/>
      <c r="H119" s="12" t="s">
        <v>383</v>
      </c>
      <c r="I119" s="14" t="n">
        <v>19000</v>
      </c>
      <c r="J119" s="18" t="n">
        <f aca="false">IF($I119="","",ROUND($I119*Dropdowns!$K$5,2))</f>
        <v>49.4</v>
      </c>
      <c r="K119" s="19" t="n">
        <f aca="false">IF($I119="","",ROUND($I119*Dropdowns!$K$6,2))</f>
        <v>45.6</v>
      </c>
      <c r="L119" s="20" t="n">
        <f aca="false">IF($I119="","",ROUND($I119*Dropdowns!$K$7,2))</f>
        <v>3895</v>
      </c>
      <c r="M119" s="15" t="str">
        <f aca="false">IFERROR(IF($B119="","",VLOOKUP($B119,Designs!$A$3:$AP$165,27,FALSE())),"")</f>
        <v/>
      </c>
      <c r="N119" s="16" t="str">
        <f aca="false">IFERROR(IF(OR($I119="",$M119="",$M119=0),"",($I119-$M119)/$I119),"")</f>
        <v/>
      </c>
      <c r="O119" s="13" t="n">
        <v>0</v>
      </c>
      <c r="P119" s="13" t="n">
        <v>0</v>
      </c>
      <c r="Q119" s="21" t="n">
        <f aca="false">IF($O119="","",$O119-IF($P119="",0,$P119))</f>
        <v>0</v>
      </c>
      <c r="R119" s="13" t="n">
        <v>2</v>
      </c>
      <c r="S119" s="21" t="str">
        <f aca="false">IF($O119="","",IF($Q119&lt;=$R119,"⚠ REORDER","OK"))</f>
        <v>⚠ REORDER</v>
      </c>
      <c r="T119" s="13"/>
      <c r="U119" s="13"/>
      <c r="V119" s="13" t="s">
        <v>378</v>
      </c>
      <c r="W119" s="12" t="s">
        <v>379</v>
      </c>
      <c r="X119" s="13"/>
      <c r="Y119" s="13"/>
      <c r="Z119" s="12" t="s">
        <v>88</v>
      </c>
      <c r="AA119" s="12" t="s">
        <v>88</v>
      </c>
      <c r="AB119" s="12" t="s">
        <v>88</v>
      </c>
      <c r="AC119" s="12" t="s">
        <v>88</v>
      </c>
      <c r="AD119" s="12" t="s">
        <v>87</v>
      </c>
      <c r="AE119" s="21" t="n">
        <f aca="false">IFERROR(SUMIFS(Transactions!$F:$F,Transactions!$C:$C,$A119,Transactions!$D:$D,"Sale"),0)</f>
        <v>0</v>
      </c>
      <c r="AF119" s="15" t="n">
        <f aca="false">IFERROR(SUMIFS(Transactions!$H:$H,Transactions!$C:$C,$A119,Transactions!$D:$D,"Sale"),0)</f>
        <v>0</v>
      </c>
      <c r="AG119" s="22" t="str">
        <f aca="false">IFERROR(IF(maxifs(Transactions!$B:$B,Transactions!$C:$C,$A119,Transactions!$D:$D,"Sale")=0,"",maxifs(Transactions!$B:$B,Transactions!$C:$C,$A119,Transactions!$D:$D,"Sale")),"")</f>
        <v/>
      </c>
      <c r="AH119" s="12"/>
    </row>
    <row r="120" customFormat="false" ht="18" hidden="false" customHeight="true" outlineLevel="0" collapsed="false">
      <c r="A120" s="12" t="s">
        <v>498</v>
      </c>
      <c r="B120" s="12" t="s">
        <v>166</v>
      </c>
      <c r="C120" s="12" t="s">
        <v>164</v>
      </c>
      <c r="D120" s="12" t="s">
        <v>165</v>
      </c>
      <c r="E120" s="12" t="s">
        <v>79</v>
      </c>
      <c r="F120" s="12" t="s">
        <v>90</v>
      </c>
      <c r="G120" s="12"/>
      <c r="H120" s="12" t="s">
        <v>377</v>
      </c>
      <c r="I120" s="14" t="n">
        <v>19000</v>
      </c>
      <c r="J120" s="18" t="n">
        <f aca="false">IF($I120="","",ROUND($I120*Dropdowns!$K$5,2))</f>
        <v>49.4</v>
      </c>
      <c r="K120" s="19" t="n">
        <f aca="false">IF($I120="","",ROUND($I120*Dropdowns!$K$6,2))</f>
        <v>45.6</v>
      </c>
      <c r="L120" s="20" t="n">
        <f aca="false">IF($I120="","",ROUND($I120*Dropdowns!$K$7,2))</f>
        <v>3895</v>
      </c>
      <c r="M120" s="15" t="str">
        <f aca="false">IFERROR(IF($B120="","",VLOOKUP($B120,Designs!$A$3:$AP$165,27,FALSE())),"")</f>
        <v/>
      </c>
      <c r="N120" s="16" t="str">
        <f aca="false">IFERROR(IF(OR($I120="",$M120="",$M120=0),"",($I120-$M120)/$I120),"")</f>
        <v/>
      </c>
      <c r="O120" s="13" t="n">
        <v>0</v>
      </c>
      <c r="P120" s="13" t="n">
        <v>0</v>
      </c>
      <c r="Q120" s="21" t="n">
        <f aca="false">IF($O120="","",$O120-IF($P120="",0,$P120))</f>
        <v>0</v>
      </c>
      <c r="R120" s="13" t="n">
        <v>2</v>
      </c>
      <c r="S120" s="21" t="str">
        <f aca="false">IF($O120="","",IF($Q120&lt;=$R120,"⚠ REORDER","OK"))</f>
        <v>⚠ REORDER</v>
      </c>
      <c r="T120" s="13"/>
      <c r="U120" s="13"/>
      <c r="V120" s="13" t="s">
        <v>378</v>
      </c>
      <c r="W120" s="12" t="s">
        <v>379</v>
      </c>
      <c r="X120" s="13"/>
      <c r="Y120" s="13"/>
      <c r="Z120" s="12" t="s">
        <v>88</v>
      </c>
      <c r="AA120" s="12" t="s">
        <v>88</v>
      </c>
      <c r="AB120" s="12" t="s">
        <v>88</v>
      </c>
      <c r="AC120" s="12" t="s">
        <v>88</v>
      </c>
      <c r="AD120" s="12" t="s">
        <v>87</v>
      </c>
      <c r="AE120" s="21" t="n">
        <f aca="false">IFERROR(SUMIFS(Transactions!$F:$F,Transactions!$C:$C,$A120,Transactions!$D:$D,"Sale"),0)</f>
        <v>0</v>
      </c>
      <c r="AF120" s="15" t="n">
        <f aca="false">IFERROR(SUMIFS(Transactions!$H:$H,Transactions!$C:$C,$A120,Transactions!$D:$D,"Sale"),0)</f>
        <v>0</v>
      </c>
      <c r="AG120" s="22" t="str">
        <f aca="false">IFERROR(IF(maxifs(Transactions!$B:$B,Transactions!$C:$C,$A120,Transactions!$D:$D,"Sale")=0,"",maxifs(Transactions!$B:$B,Transactions!$C:$C,$A120,Transactions!$D:$D,"Sale")),"")</f>
        <v/>
      </c>
      <c r="AH120" s="12"/>
    </row>
    <row r="121" customFormat="false" ht="18" hidden="false" customHeight="true" outlineLevel="0" collapsed="false">
      <c r="A121" s="12" t="s">
        <v>499</v>
      </c>
      <c r="B121" s="12" t="s">
        <v>166</v>
      </c>
      <c r="C121" s="12" t="s">
        <v>164</v>
      </c>
      <c r="D121" s="12" t="s">
        <v>165</v>
      </c>
      <c r="E121" s="12" t="s">
        <v>79</v>
      </c>
      <c r="F121" s="12" t="s">
        <v>90</v>
      </c>
      <c r="G121" s="12"/>
      <c r="H121" s="12" t="s">
        <v>381</v>
      </c>
      <c r="I121" s="14" t="n">
        <v>19000</v>
      </c>
      <c r="J121" s="18" t="n">
        <f aca="false">IF($I121="","",ROUND($I121*Dropdowns!$K$5,2))</f>
        <v>49.4</v>
      </c>
      <c r="K121" s="19" t="n">
        <f aca="false">IF($I121="","",ROUND($I121*Dropdowns!$K$6,2))</f>
        <v>45.6</v>
      </c>
      <c r="L121" s="20" t="n">
        <f aca="false">IF($I121="","",ROUND($I121*Dropdowns!$K$7,2))</f>
        <v>3895</v>
      </c>
      <c r="M121" s="15" t="str">
        <f aca="false">IFERROR(IF($B121="","",VLOOKUP($B121,Designs!$A$3:$AP$165,27,FALSE())),"")</f>
        <v/>
      </c>
      <c r="N121" s="16" t="str">
        <f aca="false">IFERROR(IF(OR($I121="",$M121="",$M121=0),"",($I121-$M121)/$I121),"")</f>
        <v/>
      </c>
      <c r="O121" s="13" t="n">
        <v>0</v>
      </c>
      <c r="P121" s="13" t="n">
        <v>0</v>
      </c>
      <c r="Q121" s="21" t="n">
        <f aca="false">IF($O121="","",$O121-IF($P121="",0,$P121))</f>
        <v>0</v>
      </c>
      <c r="R121" s="13" t="n">
        <v>2</v>
      </c>
      <c r="S121" s="21" t="str">
        <f aca="false">IF($O121="","",IF($Q121&lt;=$R121,"⚠ REORDER","OK"))</f>
        <v>⚠ REORDER</v>
      </c>
      <c r="T121" s="13"/>
      <c r="U121" s="13"/>
      <c r="V121" s="13" t="s">
        <v>378</v>
      </c>
      <c r="W121" s="12" t="s">
        <v>379</v>
      </c>
      <c r="X121" s="13"/>
      <c r="Y121" s="13"/>
      <c r="Z121" s="12" t="s">
        <v>88</v>
      </c>
      <c r="AA121" s="12" t="s">
        <v>88</v>
      </c>
      <c r="AB121" s="12" t="s">
        <v>88</v>
      </c>
      <c r="AC121" s="12" t="s">
        <v>88</v>
      </c>
      <c r="AD121" s="12" t="s">
        <v>87</v>
      </c>
      <c r="AE121" s="21" t="n">
        <f aca="false">IFERROR(SUMIFS(Transactions!$F:$F,Transactions!$C:$C,$A121,Transactions!$D:$D,"Sale"),0)</f>
        <v>0</v>
      </c>
      <c r="AF121" s="15" t="n">
        <f aca="false">IFERROR(SUMIFS(Transactions!$H:$H,Transactions!$C:$C,$A121,Transactions!$D:$D,"Sale"),0)</f>
        <v>0</v>
      </c>
      <c r="AG121" s="22" t="str">
        <f aca="false">IFERROR(IF(maxifs(Transactions!$B:$B,Transactions!$C:$C,$A121,Transactions!$D:$D,"Sale")=0,"",maxifs(Transactions!$B:$B,Transactions!$C:$C,$A121,Transactions!$D:$D,"Sale")),"")</f>
        <v/>
      </c>
      <c r="AH121" s="12"/>
    </row>
    <row r="122" customFormat="false" ht="18" hidden="false" customHeight="true" outlineLevel="0" collapsed="false">
      <c r="A122" s="12" t="s">
        <v>500</v>
      </c>
      <c r="B122" s="12" t="s">
        <v>166</v>
      </c>
      <c r="C122" s="12" t="s">
        <v>164</v>
      </c>
      <c r="D122" s="12" t="s">
        <v>165</v>
      </c>
      <c r="E122" s="12" t="s">
        <v>79</v>
      </c>
      <c r="F122" s="12" t="s">
        <v>90</v>
      </c>
      <c r="G122" s="12"/>
      <c r="H122" s="12" t="s">
        <v>383</v>
      </c>
      <c r="I122" s="14" t="n">
        <v>19000</v>
      </c>
      <c r="J122" s="18" t="n">
        <f aca="false">IF($I122="","",ROUND($I122*Dropdowns!$K$5,2))</f>
        <v>49.4</v>
      </c>
      <c r="K122" s="19" t="n">
        <f aca="false">IF($I122="","",ROUND($I122*Dropdowns!$K$6,2))</f>
        <v>45.6</v>
      </c>
      <c r="L122" s="20" t="n">
        <f aca="false">IF($I122="","",ROUND($I122*Dropdowns!$K$7,2))</f>
        <v>3895</v>
      </c>
      <c r="M122" s="15" t="str">
        <f aca="false">IFERROR(IF($B122="","",VLOOKUP($B122,Designs!$A$3:$AP$165,27,FALSE())),"")</f>
        <v/>
      </c>
      <c r="N122" s="16" t="str">
        <f aca="false">IFERROR(IF(OR($I122="",$M122="",$M122=0),"",($I122-$M122)/$I122),"")</f>
        <v/>
      </c>
      <c r="O122" s="13" t="n">
        <v>0</v>
      </c>
      <c r="P122" s="13" t="n">
        <v>0</v>
      </c>
      <c r="Q122" s="21" t="n">
        <f aca="false">IF($O122="","",$O122-IF($P122="",0,$P122))</f>
        <v>0</v>
      </c>
      <c r="R122" s="13" t="n">
        <v>2</v>
      </c>
      <c r="S122" s="21" t="str">
        <f aca="false">IF($O122="","",IF($Q122&lt;=$R122,"⚠ REORDER","OK"))</f>
        <v>⚠ REORDER</v>
      </c>
      <c r="T122" s="13"/>
      <c r="U122" s="13"/>
      <c r="V122" s="13" t="s">
        <v>378</v>
      </c>
      <c r="W122" s="12" t="s">
        <v>379</v>
      </c>
      <c r="X122" s="13"/>
      <c r="Y122" s="13"/>
      <c r="Z122" s="12" t="s">
        <v>88</v>
      </c>
      <c r="AA122" s="12" t="s">
        <v>88</v>
      </c>
      <c r="AB122" s="12" t="s">
        <v>88</v>
      </c>
      <c r="AC122" s="12" t="s">
        <v>88</v>
      </c>
      <c r="AD122" s="12" t="s">
        <v>87</v>
      </c>
      <c r="AE122" s="21" t="n">
        <f aca="false">IFERROR(SUMIFS(Transactions!$F:$F,Transactions!$C:$C,$A122,Transactions!$D:$D,"Sale"),0)</f>
        <v>0</v>
      </c>
      <c r="AF122" s="15" t="n">
        <f aca="false">IFERROR(SUMIFS(Transactions!$H:$H,Transactions!$C:$C,$A122,Transactions!$D:$D,"Sale"),0)</f>
        <v>0</v>
      </c>
      <c r="AG122" s="22" t="str">
        <f aca="false">IFERROR(IF(maxifs(Transactions!$B:$B,Transactions!$C:$C,$A122,Transactions!$D:$D,"Sale")=0,"",maxifs(Transactions!$B:$B,Transactions!$C:$C,$A122,Transactions!$D:$D,"Sale")),"")</f>
        <v/>
      </c>
      <c r="AH122" s="12"/>
    </row>
    <row r="123" customFormat="false" ht="18" hidden="false" customHeight="true" outlineLevel="0" collapsed="false">
      <c r="A123" s="12" t="s">
        <v>501</v>
      </c>
      <c r="B123" s="12" t="s">
        <v>167</v>
      </c>
      <c r="C123" s="12" t="s">
        <v>164</v>
      </c>
      <c r="D123" s="12" t="s">
        <v>165</v>
      </c>
      <c r="E123" s="12" t="s">
        <v>79</v>
      </c>
      <c r="F123" s="12" t="s">
        <v>92</v>
      </c>
      <c r="G123" s="12"/>
      <c r="H123" s="12" t="s">
        <v>377</v>
      </c>
      <c r="I123" s="14" t="n">
        <v>19000</v>
      </c>
      <c r="J123" s="18" t="n">
        <f aca="false">IF($I123="","",ROUND($I123*Dropdowns!$K$5,2))</f>
        <v>49.4</v>
      </c>
      <c r="K123" s="19" t="n">
        <f aca="false">IF($I123="","",ROUND($I123*Dropdowns!$K$6,2))</f>
        <v>45.6</v>
      </c>
      <c r="L123" s="20" t="n">
        <f aca="false">IF($I123="","",ROUND($I123*Dropdowns!$K$7,2))</f>
        <v>3895</v>
      </c>
      <c r="M123" s="15" t="str">
        <f aca="false">IFERROR(IF($B123="","",VLOOKUP($B123,Designs!$A$3:$AP$165,27,FALSE())),"")</f>
        <v/>
      </c>
      <c r="N123" s="16" t="str">
        <f aca="false">IFERROR(IF(OR($I123="",$M123="",$M123=0),"",($I123-$M123)/$I123),"")</f>
        <v/>
      </c>
      <c r="O123" s="13" t="n">
        <v>0</v>
      </c>
      <c r="P123" s="13" t="n">
        <v>0</v>
      </c>
      <c r="Q123" s="21" t="n">
        <f aca="false">IF($O123="","",$O123-IF($P123="",0,$P123))</f>
        <v>0</v>
      </c>
      <c r="R123" s="13" t="n">
        <v>2</v>
      </c>
      <c r="S123" s="21" t="str">
        <f aca="false">IF($O123="","",IF($Q123&lt;=$R123,"⚠ REORDER","OK"))</f>
        <v>⚠ REORDER</v>
      </c>
      <c r="T123" s="13"/>
      <c r="U123" s="13"/>
      <c r="V123" s="13" t="s">
        <v>378</v>
      </c>
      <c r="W123" s="12" t="s">
        <v>379</v>
      </c>
      <c r="X123" s="13"/>
      <c r="Y123" s="13"/>
      <c r="Z123" s="12" t="s">
        <v>88</v>
      </c>
      <c r="AA123" s="12" t="s">
        <v>88</v>
      </c>
      <c r="AB123" s="12" t="s">
        <v>88</v>
      </c>
      <c r="AC123" s="12" t="s">
        <v>88</v>
      </c>
      <c r="AD123" s="12" t="s">
        <v>87</v>
      </c>
      <c r="AE123" s="21" t="n">
        <f aca="false">IFERROR(SUMIFS(Transactions!$F:$F,Transactions!$C:$C,$A123,Transactions!$D:$D,"Sale"),0)</f>
        <v>0</v>
      </c>
      <c r="AF123" s="15" t="n">
        <f aca="false">IFERROR(SUMIFS(Transactions!$H:$H,Transactions!$C:$C,$A123,Transactions!$D:$D,"Sale"),0)</f>
        <v>0</v>
      </c>
      <c r="AG123" s="22" t="str">
        <f aca="false">IFERROR(IF(maxifs(Transactions!$B:$B,Transactions!$C:$C,$A123,Transactions!$D:$D,"Sale")=0,"",maxifs(Transactions!$B:$B,Transactions!$C:$C,$A123,Transactions!$D:$D,"Sale")),"")</f>
        <v/>
      </c>
      <c r="AH123" s="12"/>
    </row>
    <row r="124" customFormat="false" ht="18" hidden="false" customHeight="true" outlineLevel="0" collapsed="false">
      <c r="A124" s="12" t="s">
        <v>502</v>
      </c>
      <c r="B124" s="12" t="s">
        <v>167</v>
      </c>
      <c r="C124" s="12" t="s">
        <v>164</v>
      </c>
      <c r="D124" s="12" t="s">
        <v>165</v>
      </c>
      <c r="E124" s="12" t="s">
        <v>79</v>
      </c>
      <c r="F124" s="12" t="s">
        <v>92</v>
      </c>
      <c r="G124" s="12"/>
      <c r="H124" s="12" t="s">
        <v>381</v>
      </c>
      <c r="I124" s="14" t="n">
        <v>19000</v>
      </c>
      <c r="J124" s="18" t="n">
        <f aca="false">IF($I124="","",ROUND($I124*Dropdowns!$K$5,2))</f>
        <v>49.4</v>
      </c>
      <c r="K124" s="19" t="n">
        <f aca="false">IF($I124="","",ROUND($I124*Dropdowns!$K$6,2))</f>
        <v>45.6</v>
      </c>
      <c r="L124" s="20" t="n">
        <f aca="false">IF($I124="","",ROUND($I124*Dropdowns!$K$7,2))</f>
        <v>3895</v>
      </c>
      <c r="M124" s="15" t="str">
        <f aca="false">IFERROR(IF($B124="","",VLOOKUP($B124,Designs!$A$3:$AP$165,27,FALSE())),"")</f>
        <v/>
      </c>
      <c r="N124" s="16" t="str">
        <f aca="false">IFERROR(IF(OR($I124="",$M124="",$M124=0),"",($I124-$M124)/$I124),"")</f>
        <v/>
      </c>
      <c r="O124" s="13" t="n">
        <v>0</v>
      </c>
      <c r="P124" s="13" t="n">
        <v>0</v>
      </c>
      <c r="Q124" s="21" t="n">
        <f aca="false">IF($O124="","",$O124-IF($P124="",0,$P124))</f>
        <v>0</v>
      </c>
      <c r="R124" s="13" t="n">
        <v>2</v>
      </c>
      <c r="S124" s="21" t="str">
        <f aca="false">IF($O124="","",IF($Q124&lt;=$R124,"⚠ REORDER","OK"))</f>
        <v>⚠ REORDER</v>
      </c>
      <c r="T124" s="13"/>
      <c r="U124" s="13"/>
      <c r="V124" s="13" t="s">
        <v>378</v>
      </c>
      <c r="W124" s="12" t="s">
        <v>379</v>
      </c>
      <c r="X124" s="13"/>
      <c r="Y124" s="13"/>
      <c r="Z124" s="12" t="s">
        <v>88</v>
      </c>
      <c r="AA124" s="12" t="s">
        <v>88</v>
      </c>
      <c r="AB124" s="12" t="s">
        <v>88</v>
      </c>
      <c r="AC124" s="12" t="s">
        <v>88</v>
      </c>
      <c r="AD124" s="12" t="s">
        <v>87</v>
      </c>
      <c r="AE124" s="21" t="n">
        <f aca="false">IFERROR(SUMIFS(Transactions!$F:$F,Transactions!$C:$C,$A124,Transactions!$D:$D,"Sale"),0)</f>
        <v>0</v>
      </c>
      <c r="AF124" s="15" t="n">
        <f aca="false">IFERROR(SUMIFS(Transactions!$H:$H,Transactions!$C:$C,$A124,Transactions!$D:$D,"Sale"),0)</f>
        <v>0</v>
      </c>
      <c r="AG124" s="22" t="str">
        <f aca="false">IFERROR(IF(maxifs(Transactions!$B:$B,Transactions!$C:$C,$A124,Transactions!$D:$D,"Sale")=0,"",maxifs(Transactions!$B:$B,Transactions!$C:$C,$A124,Transactions!$D:$D,"Sale")),"")</f>
        <v/>
      </c>
      <c r="AH124" s="12"/>
    </row>
    <row r="125" customFormat="false" ht="18" hidden="false" customHeight="true" outlineLevel="0" collapsed="false">
      <c r="A125" s="12" t="s">
        <v>503</v>
      </c>
      <c r="B125" s="12" t="s">
        <v>167</v>
      </c>
      <c r="C125" s="12" t="s">
        <v>164</v>
      </c>
      <c r="D125" s="12" t="s">
        <v>165</v>
      </c>
      <c r="E125" s="12" t="s">
        <v>79</v>
      </c>
      <c r="F125" s="12" t="s">
        <v>92</v>
      </c>
      <c r="G125" s="12"/>
      <c r="H125" s="12" t="s">
        <v>383</v>
      </c>
      <c r="I125" s="14" t="n">
        <v>19000</v>
      </c>
      <c r="J125" s="18" t="n">
        <f aca="false">IF($I125="","",ROUND($I125*Dropdowns!$K$5,2))</f>
        <v>49.4</v>
      </c>
      <c r="K125" s="19" t="n">
        <f aca="false">IF($I125="","",ROUND($I125*Dropdowns!$K$6,2))</f>
        <v>45.6</v>
      </c>
      <c r="L125" s="20" t="n">
        <f aca="false">IF($I125="","",ROUND($I125*Dropdowns!$K$7,2))</f>
        <v>3895</v>
      </c>
      <c r="M125" s="15" t="str">
        <f aca="false">IFERROR(IF($B125="","",VLOOKUP($B125,Designs!$A$3:$AP$165,27,FALSE())),"")</f>
        <v/>
      </c>
      <c r="N125" s="16" t="str">
        <f aca="false">IFERROR(IF(OR($I125="",$M125="",$M125=0),"",($I125-$M125)/$I125),"")</f>
        <v/>
      </c>
      <c r="O125" s="13" t="n">
        <v>0</v>
      </c>
      <c r="P125" s="13" t="n">
        <v>0</v>
      </c>
      <c r="Q125" s="21" t="n">
        <f aca="false">IF($O125="","",$O125-IF($P125="",0,$P125))</f>
        <v>0</v>
      </c>
      <c r="R125" s="13" t="n">
        <v>2</v>
      </c>
      <c r="S125" s="21" t="str">
        <f aca="false">IF($O125="","",IF($Q125&lt;=$R125,"⚠ REORDER","OK"))</f>
        <v>⚠ REORDER</v>
      </c>
      <c r="T125" s="13"/>
      <c r="U125" s="13"/>
      <c r="V125" s="13" t="s">
        <v>378</v>
      </c>
      <c r="W125" s="12" t="s">
        <v>379</v>
      </c>
      <c r="X125" s="13"/>
      <c r="Y125" s="13"/>
      <c r="Z125" s="12" t="s">
        <v>88</v>
      </c>
      <c r="AA125" s="12" t="s">
        <v>88</v>
      </c>
      <c r="AB125" s="12" t="s">
        <v>88</v>
      </c>
      <c r="AC125" s="12" t="s">
        <v>88</v>
      </c>
      <c r="AD125" s="12" t="s">
        <v>87</v>
      </c>
      <c r="AE125" s="21" t="n">
        <f aca="false">IFERROR(SUMIFS(Transactions!$F:$F,Transactions!$C:$C,$A125,Transactions!$D:$D,"Sale"),0)</f>
        <v>0</v>
      </c>
      <c r="AF125" s="15" t="n">
        <f aca="false">IFERROR(SUMIFS(Transactions!$H:$H,Transactions!$C:$C,$A125,Transactions!$D:$D,"Sale"),0)</f>
        <v>0</v>
      </c>
      <c r="AG125" s="22" t="str">
        <f aca="false">IFERROR(IF(maxifs(Transactions!$B:$B,Transactions!$C:$C,$A125,Transactions!$D:$D,"Sale")=0,"",maxifs(Transactions!$B:$B,Transactions!$C:$C,$A125,Transactions!$D:$D,"Sale")),"")</f>
        <v/>
      </c>
      <c r="AH125" s="12"/>
    </row>
    <row r="126" customFormat="false" ht="18" hidden="false" customHeight="true" outlineLevel="0" collapsed="false">
      <c r="A126" s="12" t="s">
        <v>504</v>
      </c>
      <c r="B126" s="12" t="s">
        <v>168</v>
      </c>
      <c r="C126" s="12" t="s">
        <v>164</v>
      </c>
      <c r="D126" s="12" t="s">
        <v>165</v>
      </c>
      <c r="E126" s="12" t="s">
        <v>79</v>
      </c>
      <c r="F126" s="12" t="s">
        <v>94</v>
      </c>
      <c r="G126" s="12"/>
      <c r="H126" s="12" t="s">
        <v>377</v>
      </c>
      <c r="I126" s="14" t="n">
        <v>19000</v>
      </c>
      <c r="J126" s="18" t="n">
        <f aca="false">IF($I126="","",ROUND($I126*Dropdowns!$K$5,2))</f>
        <v>49.4</v>
      </c>
      <c r="K126" s="19" t="n">
        <f aca="false">IF($I126="","",ROUND($I126*Dropdowns!$K$6,2))</f>
        <v>45.6</v>
      </c>
      <c r="L126" s="20" t="n">
        <f aca="false">IF($I126="","",ROUND($I126*Dropdowns!$K$7,2))</f>
        <v>3895</v>
      </c>
      <c r="M126" s="15" t="str">
        <f aca="false">IFERROR(IF($B126="","",VLOOKUP($B126,Designs!$A$3:$AP$165,27,FALSE())),"")</f>
        <v/>
      </c>
      <c r="N126" s="16" t="str">
        <f aca="false">IFERROR(IF(OR($I126="",$M126="",$M126=0),"",($I126-$M126)/$I126),"")</f>
        <v/>
      </c>
      <c r="O126" s="13" t="n">
        <v>0</v>
      </c>
      <c r="P126" s="13" t="n">
        <v>0</v>
      </c>
      <c r="Q126" s="21" t="n">
        <f aca="false">IF($O126="","",$O126-IF($P126="",0,$P126))</f>
        <v>0</v>
      </c>
      <c r="R126" s="13" t="n">
        <v>2</v>
      </c>
      <c r="S126" s="21" t="str">
        <f aca="false">IF($O126="","",IF($Q126&lt;=$R126,"⚠ REORDER","OK"))</f>
        <v>⚠ REORDER</v>
      </c>
      <c r="T126" s="13"/>
      <c r="U126" s="13"/>
      <c r="V126" s="13" t="s">
        <v>378</v>
      </c>
      <c r="W126" s="12" t="s">
        <v>379</v>
      </c>
      <c r="X126" s="13"/>
      <c r="Y126" s="13"/>
      <c r="Z126" s="12" t="s">
        <v>88</v>
      </c>
      <c r="AA126" s="12" t="s">
        <v>88</v>
      </c>
      <c r="AB126" s="12" t="s">
        <v>88</v>
      </c>
      <c r="AC126" s="12" t="s">
        <v>88</v>
      </c>
      <c r="AD126" s="12" t="s">
        <v>87</v>
      </c>
      <c r="AE126" s="21" t="n">
        <f aca="false">IFERROR(SUMIFS(Transactions!$F:$F,Transactions!$C:$C,$A126,Transactions!$D:$D,"Sale"),0)</f>
        <v>0</v>
      </c>
      <c r="AF126" s="15" t="n">
        <f aca="false">IFERROR(SUMIFS(Transactions!$H:$H,Transactions!$C:$C,$A126,Transactions!$D:$D,"Sale"),0)</f>
        <v>0</v>
      </c>
      <c r="AG126" s="22" t="str">
        <f aca="false">IFERROR(IF(maxifs(Transactions!$B:$B,Transactions!$C:$C,$A126,Transactions!$D:$D,"Sale")=0,"",maxifs(Transactions!$B:$B,Transactions!$C:$C,$A126,Transactions!$D:$D,"Sale")),"")</f>
        <v/>
      </c>
      <c r="AH126" s="12"/>
    </row>
    <row r="127" customFormat="false" ht="18" hidden="false" customHeight="true" outlineLevel="0" collapsed="false">
      <c r="A127" s="12" t="s">
        <v>505</v>
      </c>
      <c r="B127" s="12" t="s">
        <v>168</v>
      </c>
      <c r="C127" s="12" t="s">
        <v>164</v>
      </c>
      <c r="D127" s="12" t="s">
        <v>165</v>
      </c>
      <c r="E127" s="12" t="s">
        <v>79</v>
      </c>
      <c r="F127" s="12" t="s">
        <v>94</v>
      </c>
      <c r="G127" s="12"/>
      <c r="H127" s="12" t="s">
        <v>381</v>
      </c>
      <c r="I127" s="14" t="n">
        <v>19000</v>
      </c>
      <c r="J127" s="18" t="n">
        <f aca="false">IF($I127="","",ROUND($I127*Dropdowns!$K$5,2))</f>
        <v>49.4</v>
      </c>
      <c r="K127" s="19" t="n">
        <f aca="false">IF($I127="","",ROUND($I127*Dropdowns!$K$6,2))</f>
        <v>45.6</v>
      </c>
      <c r="L127" s="20" t="n">
        <f aca="false">IF($I127="","",ROUND($I127*Dropdowns!$K$7,2))</f>
        <v>3895</v>
      </c>
      <c r="M127" s="15" t="str">
        <f aca="false">IFERROR(IF($B127="","",VLOOKUP($B127,Designs!$A$3:$AP$165,27,FALSE())),"")</f>
        <v/>
      </c>
      <c r="N127" s="16" t="str">
        <f aca="false">IFERROR(IF(OR($I127="",$M127="",$M127=0),"",($I127-$M127)/$I127),"")</f>
        <v/>
      </c>
      <c r="O127" s="13" t="n">
        <v>0</v>
      </c>
      <c r="P127" s="13" t="n">
        <v>0</v>
      </c>
      <c r="Q127" s="21" t="n">
        <f aca="false">IF($O127="","",$O127-IF($P127="",0,$P127))</f>
        <v>0</v>
      </c>
      <c r="R127" s="13" t="n">
        <v>2</v>
      </c>
      <c r="S127" s="21" t="str">
        <f aca="false">IF($O127="","",IF($Q127&lt;=$R127,"⚠ REORDER","OK"))</f>
        <v>⚠ REORDER</v>
      </c>
      <c r="T127" s="13"/>
      <c r="U127" s="13"/>
      <c r="V127" s="13" t="s">
        <v>378</v>
      </c>
      <c r="W127" s="12" t="s">
        <v>379</v>
      </c>
      <c r="X127" s="13"/>
      <c r="Y127" s="13"/>
      <c r="Z127" s="12" t="s">
        <v>88</v>
      </c>
      <c r="AA127" s="12" t="s">
        <v>88</v>
      </c>
      <c r="AB127" s="12" t="s">
        <v>88</v>
      </c>
      <c r="AC127" s="12" t="s">
        <v>88</v>
      </c>
      <c r="AD127" s="12" t="s">
        <v>87</v>
      </c>
      <c r="AE127" s="21" t="n">
        <f aca="false">IFERROR(SUMIFS(Transactions!$F:$F,Transactions!$C:$C,$A127,Transactions!$D:$D,"Sale"),0)</f>
        <v>0</v>
      </c>
      <c r="AF127" s="15" t="n">
        <f aca="false">IFERROR(SUMIFS(Transactions!$H:$H,Transactions!$C:$C,$A127,Transactions!$D:$D,"Sale"),0)</f>
        <v>0</v>
      </c>
      <c r="AG127" s="22" t="str">
        <f aca="false">IFERROR(IF(maxifs(Transactions!$B:$B,Transactions!$C:$C,$A127,Transactions!$D:$D,"Sale")=0,"",maxifs(Transactions!$B:$B,Transactions!$C:$C,$A127,Transactions!$D:$D,"Sale")),"")</f>
        <v/>
      </c>
      <c r="AH127" s="12"/>
    </row>
    <row r="128" customFormat="false" ht="18" hidden="false" customHeight="true" outlineLevel="0" collapsed="false">
      <c r="A128" s="12" t="s">
        <v>506</v>
      </c>
      <c r="B128" s="12" t="s">
        <v>168</v>
      </c>
      <c r="C128" s="12" t="s">
        <v>164</v>
      </c>
      <c r="D128" s="12" t="s">
        <v>165</v>
      </c>
      <c r="E128" s="12" t="s">
        <v>79</v>
      </c>
      <c r="F128" s="12" t="s">
        <v>94</v>
      </c>
      <c r="G128" s="12"/>
      <c r="H128" s="12" t="s">
        <v>383</v>
      </c>
      <c r="I128" s="14" t="n">
        <v>19000</v>
      </c>
      <c r="J128" s="18" t="n">
        <f aca="false">IF($I128="","",ROUND($I128*Dropdowns!$K$5,2))</f>
        <v>49.4</v>
      </c>
      <c r="K128" s="19" t="n">
        <f aca="false">IF($I128="","",ROUND($I128*Dropdowns!$K$6,2))</f>
        <v>45.6</v>
      </c>
      <c r="L128" s="20" t="n">
        <f aca="false">IF($I128="","",ROUND($I128*Dropdowns!$K$7,2))</f>
        <v>3895</v>
      </c>
      <c r="M128" s="15" t="str">
        <f aca="false">IFERROR(IF($B128="","",VLOOKUP($B128,Designs!$A$3:$AP$165,27,FALSE())),"")</f>
        <v/>
      </c>
      <c r="N128" s="16" t="str">
        <f aca="false">IFERROR(IF(OR($I128="",$M128="",$M128=0),"",($I128-$M128)/$I128),"")</f>
        <v/>
      </c>
      <c r="O128" s="13" t="n">
        <v>0</v>
      </c>
      <c r="P128" s="13" t="n">
        <v>0</v>
      </c>
      <c r="Q128" s="21" t="n">
        <f aca="false">IF($O128="","",$O128-IF($P128="",0,$P128))</f>
        <v>0</v>
      </c>
      <c r="R128" s="13" t="n">
        <v>2</v>
      </c>
      <c r="S128" s="21" t="str">
        <f aca="false">IF($O128="","",IF($Q128&lt;=$R128,"⚠ REORDER","OK"))</f>
        <v>⚠ REORDER</v>
      </c>
      <c r="T128" s="13"/>
      <c r="U128" s="13"/>
      <c r="V128" s="13" t="s">
        <v>378</v>
      </c>
      <c r="W128" s="12" t="s">
        <v>379</v>
      </c>
      <c r="X128" s="13"/>
      <c r="Y128" s="13"/>
      <c r="Z128" s="12" t="s">
        <v>88</v>
      </c>
      <c r="AA128" s="12" t="s">
        <v>88</v>
      </c>
      <c r="AB128" s="12" t="s">
        <v>88</v>
      </c>
      <c r="AC128" s="12" t="s">
        <v>88</v>
      </c>
      <c r="AD128" s="12" t="s">
        <v>87</v>
      </c>
      <c r="AE128" s="21" t="n">
        <f aca="false">IFERROR(SUMIFS(Transactions!$F:$F,Transactions!$C:$C,$A128,Transactions!$D:$D,"Sale"),0)</f>
        <v>0</v>
      </c>
      <c r="AF128" s="15" t="n">
        <f aca="false">IFERROR(SUMIFS(Transactions!$H:$H,Transactions!$C:$C,$A128,Transactions!$D:$D,"Sale"),0)</f>
        <v>0</v>
      </c>
      <c r="AG128" s="22" t="str">
        <f aca="false">IFERROR(IF(maxifs(Transactions!$B:$B,Transactions!$C:$C,$A128,Transactions!$D:$D,"Sale")=0,"",maxifs(Transactions!$B:$B,Transactions!$C:$C,$A128,Transactions!$D:$D,"Sale")),"")</f>
        <v/>
      </c>
      <c r="AH128" s="12"/>
    </row>
    <row r="129" customFormat="false" ht="18" hidden="false" customHeight="true" outlineLevel="0" collapsed="false">
      <c r="A129" s="12" t="s">
        <v>507</v>
      </c>
      <c r="B129" s="12" t="s">
        <v>169</v>
      </c>
      <c r="C129" s="12" t="s">
        <v>164</v>
      </c>
      <c r="D129" s="12" t="s">
        <v>165</v>
      </c>
      <c r="E129" s="12" t="s">
        <v>79</v>
      </c>
      <c r="F129" s="12" t="s">
        <v>96</v>
      </c>
      <c r="G129" s="12"/>
      <c r="H129" s="12" t="s">
        <v>377</v>
      </c>
      <c r="I129" s="14" t="n">
        <v>19000</v>
      </c>
      <c r="J129" s="18" t="n">
        <f aca="false">IF($I129="","",ROUND($I129*Dropdowns!$K$5,2))</f>
        <v>49.4</v>
      </c>
      <c r="K129" s="19" t="n">
        <f aca="false">IF($I129="","",ROUND($I129*Dropdowns!$K$6,2))</f>
        <v>45.6</v>
      </c>
      <c r="L129" s="20" t="n">
        <f aca="false">IF($I129="","",ROUND($I129*Dropdowns!$K$7,2))</f>
        <v>3895</v>
      </c>
      <c r="M129" s="15" t="str">
        <f aca="false">IFERROR(IF($B129="","",VLOOKUP($B129,Designs!$A$3:$AP$165,27,FALSE())),"")</f>
        <v/>
      </c>
      <c r="N129" s="16" t="str">
        <f aca="false">IFERROR(IF(OR($I129="",$M129="",$M129=0),"",($I129-$M129)/$I129),"")</f>
        <v/>
      </c>
      <c r="O129" s="13" t="n">
        <v>0</v>
      </c>
      <c r="P129" s="13" t="n">
        <v>0</v>
      </c>
      <c r="Q129" s="21" t="n">
        <f aca="false">IF($O129="","",$O129-IF($P129="",0,$P129))</f>
        <v>0</v>
      </c>
      <c r="R129" s="13" t="n">
        <v>2</v>
      </c>
      <c r="S129" s="21" t="str">
        <f aca="false">IF($O129="","",IF($Q129&lt;=$R129,"⚠ REORDER","OK"))</f>
        <v>⚠ REORDER</v>
      </c>
      <c r="T129" s="13"/>
      <c r="U129" s="13"/>
      <c r="V129" s="13" t="s">
        <v>378</v>
      </c>
      <c r="W129" s="12" t="s">
        <v>379</v>
      </c>
      <c r="X129" s="13"/>
      <c r="Y129" s="13"/>
      <c r="Z129" s="12" t="s">
        <v>88</v>
      </c>
      <c r="AA129" s="12" t="s">
        <v>88</v>
      </c>
      <c r="AB129" s="12" t="s">
        <v>88</v>
      </c>
      <c r="AC129" s="12" t="s">
        <v>88</v>
      </c>
      <c r="AD129" s="12" t="s">
        <v>87</v>
      </c>
      <c r="AE129" s="21" t="n">
        <f aca="false">IFERROR(SUMIFS(Transactions!$F:$F,Transactions!$C:$C,$A129,Transactions!$D:$D,"Sale"),0)</f>
        <v>0</v>
      </c>
      <c r="AF129" s="15" t="n">
        <f aca="false">IFERROR(SUMIFS(Transactions!$H:$H,Transactions!$C:$C,$A129,Transactions!$D:$D,"Sale"),0)</f>
        <v>0</v>
      </c>
      <c r="AG129" s="22" t="str">
        <f aca="false">IFERROR(IF(maxifs(Transactions!$B:$B,Transactions!$C:$C,$A129,Transactions!$D:$D,"Sale")=0,"",maxifs(Transactions!$B:$B,Transactions!$C:$C,$A129,Transactions!$D:$D,"Sale")),"")</f>
        <v/>
      </c>
      <c r="AH129" s="12"/>
    </row>
    <row r="130" customFormat="false" ht="18" hidden="false" customHeight="true" outlineLevel="0" collapsed="false">
      <c r="A130" s="12" t="s">
        <v>508</v>
      </c>
      <c r="B130" s="12" t="s">
        <v>169</v>
      </c>
      <c r="C130" s="12" t="s">
        <v>164</v>
      </c>
      <c r="D130" s="12" t="s">
        <v>165</v>
      </c>
      <c r="E130" s="12" t="s">
        <v>79</v>
      </c>
      <c r="F130" s="12" t="s">
        <v>96</v>
      </c>
      <c r="G130" s="12"/>
      <c r="H130" s="12" t="s">
        <v>381</v>
      </c>
      <c r="I130" s="14" t="n">
        <v>19000</v>
      </c>
      <c r="J130" s="18" t="n">
        <f aca="false">IF($I130="","",ROUND($I130*Dropdowns!$K$5,2))</f>
        <v>49.4</v>
      </c>
      <c r="K130" s="19" t="n">
        <f aca="false">IF($I130="","",ROUND($I130*Dropdowns!$K$6,2))</f>
        <v>45.6</v>
      </c>
      <c r="L130" s="20" t="n">
        <f aca="false">IF($I130="","",ROUND($I130*Dropdowns!$K$7,2))</f>
        <v>3895</v>
      </c>
      <c r="M130" s="15" t="str">
        <f aca="false">IFERROR(IF($B130="","",VLOOKUP($B130,Designs!$A$3:$AP$165,27,FALSE())),"")</f>
        <v/>
      </c>
      <c r="N130" s="16" t="str">
        <f aca="false">IFERROR(IF(OR($I130="",$M130="",$M130=0),"",($I130-$M130)/$I130),"")</f>
        <v/>
      </c>
      <c r="O130" s="13" t="n">
        <v>0</v>
      </c>
      <c r="P130" s="13" t="n">
        <v>0</v>
      </c>
      <c r="Q130" s="21" t="n">
        <f aca="false">IF($O130="","",$O130-IF($P130="",0,$P130))</f>
        <v>0</v>
      </c>
      <c r="R130" s="13" t="n">
        <v>2</v>
      </c>
      <c r="S130" s="21" t="str">
        <f aca="false">IF($O130="","",IF($Q130&lt;=$R130,"⚠ REORDER","OK"))</f>
        <v>⚠ REORDER</v>
      </c>
      <c r="T130" s="13"/>
      <c r="U130" s="13"/>
      <c r="V130" s="13" t="s">
        <v>378</v>
      </c>
      <c r="W130" s="12" t="s">
        <v>379</v>
      </c>
      <c r="X130" s="13"/>
      <c r="Y130" s="13"/>
      <c r="Z130" s="12" t="s">
        <v>88</v>
      </c>
      <c r="AA130" s="12" t="s">
        <v>88</v>
      </c>
      <c r="AB130" s="12" t="s">
        <v>88</v>
      </c>
      <c r="AC130" s="12" t="s">
        <v>88</v>
      </c>
      <c r="AD130" s="12" t="s">
        <v>87</v>
      </c>
      <c r="AE130" s="21" t="n">
        <f aca="false">IFERROR(SUMIFS(Transactions!$F:$F,Transactions!$C:$C,$A130,Transactions!$D:$D,"Sale"),0)</f>
        <v>0</v>
      </c>
      <c r="AF130" s="15" t="n">
        <f aca="false">IFERROR(SUMIFS(Transactions!$H:$H,Transactions!$C:$C,$A130,Transactions!$D:$D,"Sale"),0)</f>
        <v>0</v>
      </c>
      <c r="AG130" s="22" t="str">
        <f aca="false">IFERROR(IF(maxifs(Transactions!$B:$B,Transactions!$C:$C,$A130,Transactions!$D:$D,"Sale")=0,"",maxifs(Transactions!$B:$B,Transactions!$C:$C,$A130,Transactions!$D:$D,"Sale")),"")</f>
        <v/>
      </c>
      <c r="AH130" s="12"/>
    </row>
    <row r="131" customFormat="false" ht="18" hidden="false" customHeight="true" outlineLevel="0" collapsed="false">
      <c r="A131" s="12" t="s">
        <v>509</v>
      </c>
      <c r="B131" s="12" t="s">
        <v>169</v>
      </c>
      <c r="C131" s="12" t="s">
        <v>164</v>
      </c>
      <c r="D131" s="12" t="s">
        <v>165</v>
      </c>
      <c r="E131" s="12" t="s">
        <v>79</v>
      </c>
      <c r="F131" s="12" t="s">
        <v>96</v>
      </c>
      <c r="G131" s="12"/>
      <c r="H131" s="12" t="s">
        <v>383</v>
      </c>
      <c r="I131" s="14" t="n">
        <v>19000</v>
      </c>
      <c r="J131" s="18" t="n">
        <f aca="false">IF($I131="","",ROUND($I131*Dropdowns!$K$5,2))</f>
        <v>49.4</v>
      </c>
      <c r="K131" s="19" t="n">
        <f aca="false">IF($I131="","",ROUND($I131*Dropdowns!$K$6,2))</f>
        <v>45.6</v>
      </c>
      <c r="L131" s="20" t="n">
        <f aca="false">IF($I131="","",ROUND($I131*Dropdowns!$K$7,2))</f>
        <v>3895</v>
      </c>
      <c r="M131" s="15" t="str">
        <f aca="false">IFERROR(IF($B131="","",VLOOKUP($B131,Designs!$A$3:$AP$165,27,FALSE())),"")</f>
        <v/>
      </c>
      <c r="N131" s="16" t="str">
        <f aca="false">IFERROR(IF(OR($I131="",$M131="",$M131=0),"",($I131-$M131)/$I131),"")</f>
        <v/>
      </c>
      <c r="O131" s="13" t="n">
        <v>0</v>
      </c>
      <c r="P131" s="13" t="n">
        <v>0</v>
      </c>
      <c r="Q131" s="21" t="n">
        <f aca="false">IF($O131="","",$O131-IF($P131="",0,$P131))</f>
        <v>0</v>
      </c>
      <c r="R131" s="13" t="n">
        <v>2</v>
      </c>
      <c r="S131" s="21" t="str">
        <f aca="false">IF($O131="","",IF($Q131&lt;=$R131,"⚠ REORDER","OK"))</f>
        <v>⚠ REORDER</v>
      </c>
      <c r="T131" s="13"/>
      <c r="U131" s="13"/>
      <c r="V131" s="13" t="s">
        <v>378</v>
      </c>
      <c r="W131" s="12" t="s">
        <v>379</v>
      </c>
      <c r="X131" s="13"/>
      <c r="Y131" s="13"/>
      <c r="Z131" s="12" t="s">
        <v>88</v>
      </c>
      <c r="AA131" s="12" t="s">
        <v>88</v>
      </c>
      <c r="AB131" s="12" t="s">
        <v>88</v>
      </c>
      <c r="AC131" s="12" t="s">
        <v>88</v>
      </c>
      <c r="AD131" s="12" t="s">
        <v>87</v>
      </c>
      <c r="AE131" s="21" t="n">
        <f aca="false">IFERROR(SUMIFS(Transactions!$F:$F,Transactions!$C:$C,$A131,Transactions!$D:$D,"Sale"),0)</f>
        <v>0</v>
      </c>
      <c r="AF131" s="15" t="n">
        <f aca="false">IFERROR(SUMIFS(Transactions!$H:$H,Transactions!$C:$C,$A131,Transactions!$D:$D,"Sale"),0)</f>
        <v>0</v>
      </c>
      <c r="AG131" s="22" t="str">
        <f aca="false">IFERROR(IF(maxifs(Transactions!$B:$B,Transactions!$C:$C,$A131,Transactions!$D:$D,"Sale")=0,"",maxifs(Transactions!$B:$B,Transactions!$C:$C,$A131,Transactions!$D:$D,"Sale")),"")</f>
        <v/>
      </c>
      <c r="AH131" s="12"/>
    </row>
    <row r="132" customFormat="false" ht="18" hidden="false" customHeight="true" outlineLevel="0" collapsed="false">
      <c r="A132" s="12" t="s">
        <v>510</v>
      </c>
      <c r="B132" s="12" t="s">
        <v>170</v>
      </c>
      <c r="C132" s="12" t="s">
        <v>164</v>
      </c>
      <c r="D132" s="12" t="s">
        <v>165</v>
      </c>
      <c r="E132" s="12" t="s">
        <v>79</v>
      </c>
      <c r="F132" s="12" t="s">
        <v>98</v>
      </c>
      <c r="G132" s="12"/>
      <c r="H132" s="12" t="s">
        <v>377</v>
      </c>
      <c r="I132" s="14" t="n">
        <v>19000</v>
      </c>
      <c r="J132" s="18" t="n">
        <f aca="false">IF($I132="","",ROUND($I132*Dropdowns!$K$5,2))</f>
        <v>49.4</v>
      </c>
      <c r="K132" s="19" t="n">
        <f aca="false">IF($I132="","",ROUND($I132*Dropdowns!$K$6,2))</f>
        <v>45.6</v>
      </c>
      <c r="L132" s="20" t="n">
        <f aca="false">IF($I132="","",ROUND($I132*Dropdowns!$K$7,2))</f>
        <v>3895</v>
      </c>
      <c r="M132" s="15" t="str">
        <f aca="false">IFERROR(IF($B132="","",VLOOKUP($B132,Designs!$A$3:$AP$165,27,FALSE())),"")</f>
        <v/>
      </c>
      <c r="N132" s="16" t="str">
        <f aca="false">IFERROR(IF(OR($I132="",$M132="",$M132=0),"",($I132-$M132)/$I132),"")</f>
        <v/>
      </c>
      <c r="O132" s="13" t="n">
        <v>0</v>
      </c>
      <c r="P132" s="13" t="n">
        <v>0</v>
      </c>
      <c r="Q132" s="21" t="n">
        <f aca="false">IF($O132="","",$O132-IF($P132="",0,$P132))</f>
        <v>0</v>
      </c>
      <c r="R132" s="13" t="n">
        <v>2</v>
      </c>
      <c r="S132" s="21" t="str">
        <f aca="false">IF($O132="","",IF($Q132&lt;=$R132,"⚠ REORDER","OK"))</f>
        <v>⚠ REORDER</v>
      </c>
      <c r="T132" s="13"/>
      <c r="U132" s="13"/>
      <c r="V132" s="13" t="s">
        <v>378</v>
      </c>
      <c r="W132" s="12" t="s">
        <v>379</v>
      </c>
      <c r="X132" s="13"/>
      <c r="Y132" s="13"/>
      <c r="Z132" s="12" t="s">
        <v>88</v>
      </c>
      <c r="AA132" s="12" t="s">
        <v>88</v>
      </c>
      <c r="AB132" s="12" t="s">
        <v>88</v>
      </c>
      <c r="AC132" s="12" t="s">
        <v>88</v>
      </c>
      <c r="AD132" s="12" t="s">
        <v>87</v>
      </c>
      <c r="AE132" s="21" t="n">
        <f aca="false">IFERROR(SUMIFS(Transactions!$F:$F,Transactions!$C:$C,$A132,Transactions!$D:$D,"Sale"),0)</f>
        <v>0</v>
      </c>
      <c r="AF132" s="15" t="n">
        <f aca="false">IFERROR(SUMIFS(Transactions!$H:$H,Transactions!$C:$C,$A132,Transactions!$D:$D,"Sale"),0)</f>
        <v>0</v>
      </c>
      <c r="AG132" s="22" t="str">
        <f aca="false">IFERROR(IF(maxifs(Transactions!$B:$B,Transactions!$C:$C,$A132,Transactions!$D:$D,"Sale")=0,"",maxifs(Transactions!$B:$B,Transactions!$C:$C,$A132,Transactions!$D:$D,"Sale")),"")</f>
        <v/>
      </c>
      <c r="AH132" s="12"/>
    </row>
    <row r="133" customFormat="false" ht="18" hidden="false" customHeight="true" outlineLevel="0" collapsed="false">
      <c r="A133" s="12" t="s">
        <v>511</v>
      </c>
      <c r="B133" s="12" t="s">
        <v>170</v>
      </c>
      <c r="C133" s="12" t="s">
        <v>164</v>
      </c>
      <c r="D133" s="12" t="s">
        <v>165</v>
      </c>
      <c r="E133" s="12" t="s">
        <v>79</v>
      </c>
      <c r="F133" s="12" t="s">
        <v>98</v>
      </c>
      <c r="G133" s="12"/>
      <c r="H133" s="12" t="s">
        <v>381</v>
      </c>
      <c r="I133" s="14" t="n">
        <v>19000</v>
      </c>
      <c r="J133" s="18" t="n">
        <f aca="false">IF($I133="","",ROUND($I133*Dropdowns!$K$5,2))</f>
        <v>49.4</v>
      </c>
      <c r="K133" s="19" t="n">
        <f aca="false">IF($I133="","",ROUND($I133*Dropdowns!$K$6,2))</f>
        <v>45.6</v>
      </c>
      <c r="L133" s="20" t="n">
        <f aca="false">IF($I133="","",ROUND($I133*Dropdowns!$K$7,2))</f>
        <v>3895</v>
      </c>
      <c r="M133" s="15" t="str">
        <f aca="false">IFERROR(IF($B133="","",VLOOKUP($B133,Designs!$A$3:$AP$165,27,FALSE())),"")</f>
        <v/>
      </c>
      <c r="N133" s="16" t="str">
        <f aca="false">IFERROR(IF(OR($I133="",$M133="",$M133=0),"",($I133-$M133)/$I133),"")</f>
        <v/>
      </c>
      <c r="O133" s="13" t="n">
        <v>0</v>
      </c>
      <c r="P133" s="13" t="n">
        <v>0</v>
      </c>
      <c r="Q133" s="21" t="n">
        <f aca="false">IF($O133="","",$O133-IF($P133="",0,$P133))</f>
        <v>0</v>
      </c>
      <c r="R133" s="13" t="n">
        <v>2</v>
      </c>
      <c r="S133" s="21" t="str">
        <f aca="false">IF($O133="","",IF($Q133&lt;=$R133,"⚠ REORDER","OK"))</f>
        <v>⚠ REORDER</v>
      </c>
      <c r="T133" s="13"/>
      <c r="U133" s="13"/>
      <c r="V133" s="13" t="s">
        <v>378</v>
      </c>
      <c r="W133" s="12" t="s">
        <v>379</v>
      </c>
      <c r="X133" s="13"/>
      <c r="Y133" s="13"/>
      <c r="Z133" s="12" t="s">
        <v>88</v>
      </c>
      <c r="AA133" s="12" t="s">
        <v>88</v>
      </c>
      <c r="AB133" s="12" t="s">
        <v>88</v>
      </c>
      <c r="AC133" s="12" t="s">
        <v>88</v>
      </c>
      <c r="AD133" s="12" t="s">
        <v>87</v>
      </c>
      <c r="AE133" s="21" t="n">
        <f aca="false">IFERROR(SUMIFS(Transactions!$F:$F,Transactions!$C:$C,$A133,Transactions!$D:$D,"Sale"),0)</f>
        <v>0</v>
      </c>
      <c r="AF133" s="15" t="n">
        <f aca="false">IFERROR(SUMIFS(Transactions!$H:$H,Transactions!$C:$C,$A133,Transactions!$D:$D,"Sale"),0)</f>
        <v>0</v>
      </c>
      <c r="AG133" s="22" t="str">
        <f aca="false">IFERROR(IF(maxifs(Transactions!$B:$B,Transactions!$C:$C,$A133,Transactions!$D:$D,"Sale")=0,"",maxifs(Transactions!$B:$B,Transactions!$C:$C,$A133,Transactions!$D:$D,"Sale")),"")</f>
        <v/>
      </c>
      <c r="AH133" s="12"/>
    </row>
    <row r="134" customFormat="false" ht="18" hidden="false" customHeight="true" outlineLevel="0" collapsed="false">
      <c r="A134" s="12" t="s">
        <v>512</v>
      </c>
      <c r="B134" s="12" t="s">
        <v>170</v>
      </c>
      <c r="C134" s="12" t="s">
        <v>164</v>
      </c>
      <c r="D134" s="12" t="s">
        <v>165</v>
      </c>
      <c r="E134" s="12" t="s">
        <v>79</v>
      </c>
      <c r="F134" s="12" t="s">
        <v>98</v>
      </c>
      <c r="G134" s="12"/>
      <c r="H134" s="12" t="s">
        <v>383</v>
      </c>
      <c r="I134" s="14" t="n">
        <v>19000</v>
      </c>
      <c r="J134" s="18" t="n">
        <f aca="false">IF($I134="","",ROUND($I134*Dropdowns!$K$5,2))</f>
        <v>49.4</v>
      </c>
      <c r="K134" s="19" t="n">
        <f aca="false">IF($I134="","",ROUND($I134*Dropdowns!$K$6,2))</f>
        <v>45.6</v>
      </c>
      <c r="L134" s="20" t="n">
        <f aca="false">IF($I134="","",ROUND($I134*Dropdowns!$K$7,2))</f>
        <v>3895</v>
      </c>
      <c r="M134" s="15" t="str">
        <f aca="false">IFERROR(IF($B134="","",VLOOKUP($B134,Designs!$A$3:$AP$165,27,FALSE())),"")</f>
        <v/>
      </c>
      <c r="N134" s="16" t="str">
        <f aca="false">IFERROR(IF(OR($I134="",$M134="",$M134=0),"",($I134-$M134)/$I134),"")</f>
        <v/>
      </c>
      <c r="O134" s="13" t="n">
        <v>0</v>
      </c>
      <c r="P134" s="13" t="n">
        <v>0</v>
      </c>
      <c r="Q134" s="21" t="n">
        <f aca="false">IF($O134="","",$O134-IF($P134="",0,$P134))</f>
        <v>0</v>
      </c>
      <c r="R134" s="13" t="n">
        <v>2</v>
      </c>
      <c r="S134" s="21" t="str">
        <f aca="false">IF($O134="","",IF($Q134&lt;=$R134,"⚠ REORDER","OK"))</f>
        <v>⚠ REORDER</v>
      </c>
      <c r="T134" s="13"/>
      <c r="U134" s="13"/>
      <c r="V134" s="13" t="s">
        <v>378</v>
      </c>
      <c r="W134" s="12" t="s">
        <v>379</v>
      </c>
      <c r="X134" s="13"/>
      <c r="Y134" s="13"/>
      <c r="Z134" s="12" t="s">
        <v>88</v>
      </c>
      <c r="AA134" s="12" t="s">
        <v>88</v>
      </c>
      <c r="AB134" s="12" t="s">
        <v>88</v>
      </c>
      <c r="AC134" s="12" t="s">
        <v>88</v>
      </c>
      <c r="AD134" s="12" t="s">
        <v>87</v>
      </c>
      <c r="AE134" s="21" t="n">
        <f aca="false">IFERROR(SUMIFS(Transactions!$F:$F,Transactions!$C:$C,$A134,Transactions!$D:$D,"Sale"),0)</f>
        <v>0</v>
      </c>
      <c r="AF134" s="15" t="n">
        <f aca="false">IFERROR(SUMIFS(Transactions!$H:$H,Transactions!$C:$C,$A134,Transactions!$D:$D,"Sale"),0)</f>
        <v>0</v>
      </c>
      <c r="AG134" s="22" t="str">
        <f aca="false">IFERROR(IF(maxifs(Transactions!$B:$B,Transactions!$C:$C,$A134,Transactions!$D:$D,"Sale")=0,"",maxifs(Transactions!$B:$B,Transactions!$C:$C,$A134,Transactions!$D:$D,"Sale")),"")</f>
        <v/>
      </c>
      <c r="AH134" s="12"/>
    </row>
    <row r="135" customFormat="false" ht="18" hidden="false" customHeight="true" outlineLevel="0" collapsed="false">
      <c r="A135" s="12" t="s">
        <v>513</v>
      </c>
      <c r="B135" s="12" t="s">
        <v>171</v>
      </c>
      <c r="C135" s="12" t="s">
        <v>164</v>
      </c>
      <c r="D135" s="12" t="s">
        <v>165</v>
      </c>
      <c r="E135" s="12" t="s">
        <v>79</v>
      </c>
      <c r="F135" s="12" t="s">
        <v>100</v>
      </c>
      <c r="G135" s="12"/>
      <c r="H135" s="12" t="s">
        <v>377</v>
      </c>
      <c r="I135" s="14" t="n">
        <v>19000</v>
      </c>
      <c r="J135" s="18" t="n">
        <f aca="false">IF($I135="","",ROUND($I135*Dropdowns!$K$5,2))</f>
        <v>49.4</v>
      </c>
      <c r="K135" s="19" t="n">
        <f aca="false">IF($I135="","",ROUND($I135*Dropdowns!$K$6,2))</f>
        <v>45.6</v>
      </c>
      <c r="L135" s="20" t="n">
        <f aca="false">IF($I135="","",ROUND($I135*Dropdowns!$K$7,2))</f>
        <v>3895</v>
      </c>
      <c r="M135" s="15" t="str">
        <f aca="false">IFERROR(IF($B135="","",VLOOKUP($B135,Designs!$A$3:$AP$165,27,FALSE())),"")</f>
        <v/>
      </c>
      <c r="N135" s="16" t="str">
        <f aca="false">IFERROR(IF(OR($I135="",$M135="",$M135=0),"",($I135-$M135)/$I135),"")</f>
        <v/>
      </c>
      <c r="O135" s="13" t="n">
        <v>0</v>
      </c>
      <c r="P135" s="13" t="n">
        <v>0</v>
      </c>
      <c r="Q135" s="21" t="n">
        <f aca="false">IF($O135="","",$O135-IF($P135="",0,$P135))</f>
        <v>0</v>
      </c>
      <c r="R135" s="13" t="n">
        <v>2</v>
      </c>
      <c r="S135" s="21" t="str">
        <f aca="false">IF($O135="","",IF($Q135&lt;=$R135,"⚠ REORDER","OK"))</f>
        <v>⚠ REORDER</v>
      </c>
      <c r="T135" s="13"/>
      <c r="U135" s="13"/>
      <c r="V135" s="13" t="s">
        <v>378</v>
      </c>
      <c r="W135" s="12" t="s">
        <v>379</v>
      </c>
      <c r="X135" s="13"/>
      <c r="Y135" s="13"/>
      <c r="Z135" s="12" t="s">
        <v>88</v>
      </c>
      <c r="AA135" s="12" t="s">
        <v>88</v>
      </c>
      <c r="AB135" s="12" t="s">
        <v>88</v>
      </c>
      <c r="AC135" s="12" t="s">
        <v>88</v>
      </c>
      <c r="AD135" s="12" t="s">
        <v>87</v>
      </c>
      <c r="AE135" s="21" t="n">
        <f aca="false">IFERROR(SUMIFS(Transactions!$F:$F,Transactions!$C:$C,$A135,Transactions!$D:$D,"Sale"),0)</f>
        <v>0</v>
      </c>
      <c r="AF135" s="15" t="n">
        <f aca="false">IFERROR(SUMIFS(Transactions!$H:$H,Transactions!$C:$C,$A135,Transactions!$D:$D,"Sale"),0)</f>
        <v>0</v>
      </c>
      <c r="AG135" s="22" t="str">
        <f aca="false">IFERROR(IF(maxifs(Transactions!$B:$B,Transactions!$C:$C,$A135,Transactions!$D:$D,"Sale")=0,"",maxifs(Transactions!$B:$B,Transactions!$C:$C,$A135,Transactions!$D:$D,"Sale")),"")</f>
        <v/>
      </c>
      <c r="AH135" s="12"/>
    </row>
    <row r="136" customFormat="false" ht="18" hidden="false" customHeight="true" outlineLevel="0" collapsed="false">
      <c r="A136" s="12" t="s">
        <v>514</v>
      </c>
      <c r="B136" s="12" t="s">
        <v>171</v>
      </c>
      <c r="C136" s="12" t="s">
        <v>164</v>
      </c>
      <c r="D136" s="12" t="s">
        <v>165</v>
      </c>
      <c r="E136" s="12" t="s">
        <v>79</v>
      </c>
      <c r="F136" s="12" t="s">
        <v>100</v>
      </c>
      <c r="G136" s="12"/>
      <c r="H136" s="12" t="s">
        <v>381</v>
      </c>
      <c r="I136" s="14" t="n">
        <v>19000</v>
      </c>
      <c r="J136" s="18" t="n">
        <f aca="false">IF($I136="","",ROUND($I136*Dropdowns!$K$5,2))</f>
        <v>49.4</v>
      </c>
      <c r="K136" s="19" t="n">
        <f aca="false">IF($I136="","",ROUND($I136*Dropdowns!$K$6,2))</f>
        <v>45.6</v>
      </c>
      <c r="L136" s="20" t="n">
        <f aca="false">IF($I136="","",ROUND($I136*Dropdowns!$K$7,2))</f>
        <v>3895</v>
      </c>
      <c r="M136" s="15" t="str">
        <f aca="false">IFERROR(IF($B136="","",VLOOKUP($B136,Designs!$A$3:$AP$165,27,FALSE())),"")</f>
        <v/>
      </c>
      <c r="N136" s="16" t="str">
        <f aca="false">IFERROR(IF(OR($I136="",$M136="",$M136=0),"",($I136-$M136)/$I136),"")</f>
        <v/>
      </c>
      <c r="O136" s="13" t="n">
        <v>0</v>
      </c>
      <c r="P136" s="13" t="n">
        <v>0</v>
      </c>
      <c r="Q136" s="21" t="n">
        <f aca="false">IF($O136="","",$O136-IF($P136="",0,$P136))</f>
        <v>0</v>
      </c>
      <c r="R136" s="13" t="n">
        <v>2</v>
      </c>
      <c r="S136" s="21" t="str">
        <f aca="false">IF($O136="","",IF($Q136&lt;=$R136,"⚠ REORDER","OK"))</f>
        <v>⚠ REORDER</v>
      </c>
      <c r="T136" s="13"/>
      <c r="U136" s="13"/>
      <c r="V136" s="13" t="s">
        <v>378</v>
      </c>
      <c r="W136" s="12" t="s">
        <v>379</v>
      </c>
      <c r="X136" s="13"/>
      <c r="Y136" s="13"/>
      <c r="Z136" s="12" t="s">
        <v>88</v>
      </c>
      <c r="AA136" s="12" t="s">
        <v>88</v>
      </c>
      <c r="AB136" s="12" t="s">
        <v>88</v>
      </c>
      <c r="AC136" s="12" t="s">
        <v>88</v>
      </c>
      <c r="AD136" s="12" t="s">
        <v>87</v>
      </c>
      <c r="AE136" s="21" t="n">
        <f aca="false">IFERROR(SUMIFS(Transactions!$F:$F,Transactions!$C:$C,$A136,Transactions!$D:$D,"Sale"),0)</f>
        <v>0</v>
      </c>
      <c r="AF136" s="15" t="n">
        <f aca="false">IFERROR(SUMIFS(Transactions!$H:$H,Transactions!$C:$C,$A136,Transactions!$D:$D,"Sale"),0)</f>
        <v>0</v>
      </c>
      <c r="AG136" s="22" t="str">
        <f aca="false">IFERROR(IF(maxifs(Transactions!$B:$B,Transactions!$C:$C,$A136,Transactions!$D:$D,"Sale")=0,"",maxifs(Transactions!$B:$B,Transactions!$C:$C,$A136,Transactions!$D:$D,"Sale")),"")</f>
        <v/>
      </c>
      <c r="AH136" s="12"/>
    </row>
    <row r="137" customFormat="false" ht="18" hidden="false" customHeight="true" outlineLevel="0" collapsed="false">
      <c r="A137" s="12" t="s">
        <v>515</v>
      </c>
      <c r="B137" s="12" t="s">
        <v>171</v>
      </c>
      <c r="C137" s="12" t="s">
        <v>164</v>
      </c>
      <c r="D137" s="12" t="s">
        <v>165</v>
      </c>
      <c r="E137" s="12" t="s">
        <v>79</v>
      </c>
      <c r="F137" s="12" t="s">
        <v>100</v>
      </c>
      <c r="G137" s="12"/>
      <c r="H137" s="12" t="s">
        <v>383</v>
      </c>
      <c r="I137" s="14" t="n">
        <v>19000</v>
      </c>
      <c r="J137" s="18" t="n">
        <f aca="false">IF($I137="","",ROUND($I137*Dropdowns!$K$5,2))</f>
        <v>49.4</v>
      </c>
      <c r="K137" s="19" t="n">
        <f aca="false">IF($I137="","",ROUND($I137*Dropdowns!$K$6,2))</f>
        <v>45.6</v>
      </c>
      <c r="L137" s="20" t="n">
        <f aca="false">IF($I137="","",ROUND($I137*Dropdowns!$K$7,2))</f>
        <v>3895</v>
      </c>
      <c r="M137" s="15" t="str">
        <f aca="false">IFERROR(IF($B137="","",VLOOKUP($B137,Designs!$A$3:$AP$165,27,FALSE())),"")</f>
        <v/>
      </c>
      <c r="N137" s="16" t="str">
        <f aca="false">IFERROR(IF(OR($I137="",$M137="",$M137=0),"",($I137-$M137)/$I137),"")</f>
        <v/>
      </c>
      <c r="O137" s="13" t="n">
        <v>0</v>
      </c>
      <c r="P137" s="13" t="n">
        <v>0</v>
      </c>
      <c r="Q137" s="21" t="n">
        <f aca="false">IF($O137="","",$O137-IF($P137="",0,$P137))</f>
        <v>0</v>
      </c>
      <c r="R137" s="13" t="n">
        <v>2</v>
      </c>
      <c r="S137" s="21" t="str">
        <f aca="false">IF($O137="","",IF($Q137&lt;=$R137,"⚠ REORDER","OK"))</f>
        <v>⚠ REORDER</v>
      </c>
      <c r="T137" s="13"/>
      <c r="U137" s="13"/>
      <c r="V137" s="13" t="s">
        <v>378</v>
      </c>
      <c r="W137" s="12" t="s">
        <v>379</v>
      </c>
      <c r="X137" s="13"/>
      <c r="Y137" s="13"/>
      <c r="Z137" s="12" t="s">
        <v>88</v>
      </c>
      <c r="AA137" s="12" t="s">
        <v>88</v>
      </c>
      <c r="AB137" s="12" t="s">
        <v>88</v>
      </c>
      <c r="AC137" s="12" t="s">
        <v>88</v>
      </c>
      <c r="AD137" s="12" t="s">
        <v>87</v>
      </c>
      <c r="AE137" s="21" t="n">
        <f aca="false">IFERROR(SUMIFS(Transactions!$F:$F,Transactions!$C:$C,$A137,Transactions!$D:$D,"Sale"),0)</f>
        <v>0</v>
      </c>
      <c r="AF137" s="15" t="n">
        <f aca="false">IFERROR(SUMIFS(Transactions!$H:$H,Transactions!$C:$C,$A137,Transactions!$D:$D,"Sale"),0)</f>
        <v>0</v>
      </c>
      <c r="AG137" s="22" t="str">
        <f aca="false">IFERROR(IF(maxifs(Transactions!$B:$B,Transactions!$C:$C,$A137,Transactions!$D:$D,"Sale")=0,"",maxifs(Transactions!$B:$B,Transactions!$C:$C,$A137,Transactions!$D:$D,"Sale")),"")</f>
        <v/>
      </c>
      <c r="AH137" s="12"/>
    </row>
    <row r="138" customFormat="false" ht="18" hidden="false" customHeight="true" outlineLevel="0" collapsed="false">
      <c r="A138" s="12" t="s">
        <v>516</v>
      </c>
      <c r="B138" s="12" t="s">
        <v>172</v>
      </c>
      <c r="C138" s="12" t="s">
        <v>164</v>
      </c>
      <c r="D138" s="12" t="s">
        <v>165</v>
      </c>
      <c r="E138" s="12" t="s">
        <v>79</v>
      </c>
      <c r="F138" s="12" t="s">
        <v>102</v>
      </c>
      <c r="G138" s="12"/>
      <c r="H138" s="12" t="s">
        <v>377</v>
      </c>
      <c r="I138" s="14" t="n">
        <v>19000</v>
      </c>
      <c r="J138" s="18" t="n">
        <f aca="false">IF($I138="","",ROUND($I138*Dropdowns!$K$5,2))</f>
        <v>49.4</v>
      </c>
      <c r="K138" s="19" t="n">
        <f aca="false">IF($I138="","",ROUND($I138*Dropdowns!$K$6,2))</f>
        <v>45.6</v>
      </c>
      <c r="L138" s="20" t="n">
        <f aca="false">IF($I138="","",ROUND($I138*Dropdowns!$K$7,2))</f>
        <v>3895</v>
      </c>
      <c r="M138" s="15" t="str">
        <f aca="false">IFERROR(IF($B138="","",VLOOKUP($B138,Designs!$A$3:$AP$165,27,FALSE())),"")</f>
        <v/>
      </c>
      <c r="N138" s="16" t="str">
        <f aca="false">IFERROR(IF(OR($I138="",$M138="",$M138=0),"",($I138-$M138)/$I138),"")</f>
        <v/>
      </c>
      <c r="O138" s="13" t="n">
        <v>0</v>
      </c>
      <c r="P138" s="13" t="n">
        <v>0</v>
      </c>
      <c r="Q138" s="21" t="n">
        <f aca="false">IF($O138="","",$O138-IF($P138="",0,$P138))</f>
        <v>0</v>
      </c>
      <c r="R138" s="13" t="n">
        <v>2</v>
      </c>
      <c r="S138" s="21" t="str">
        <f aca="false">IF($O138="","",IF($Q138&lt;=$R138,"⚠ REORDER","OK"))</f>
        <v>⚠ REORDER</v>
      </c>
      <c r="T138" s="13"/>
      <c r="U138" s="13"/>
      <c r="V138" s="13" t="s">
        <v>378</v>
      </c>
      <c r="W138" s="12" t="s">
        <v>379</v>
      </c>
      <c r="X138" s="13"/>
      <c r="Y138" s="13"/>
      <c r="Z138" s="12" t="s">
        <v>88</v>
      </c>
      <c r="AA138" s="12" t="s">
        <v>88</v>
      </c>
      <c r="AB138" s="12" t="s">
        <v>88</v>
      </c>
      <c r="AC138" s="12" t="s">
        <v>88</v>
      </c>
      <c r="AD138" s="12" t="s">
        <v>87</v>
      </c>
      <c r="AE138" s="21" t="n">
        <f aca="false">IFERROR(SUMIFS(Transactions!$F:$F,Transactions!$C:$C,$A138,Transactions!$D:$D,"Sale"),0)</f>
        <v>0</v>
      </c>
      <c r="AF138" s="15" t="n">
        <f aca="false">IFERROR(SUMIFS(Transactions!$H:$H,Transactions!$C:$C,$A138,Transactions!$D:$D,"Sale"),0)</f>
        <v>0</v>
      </c>
      <c r="AG138" s="22" t="str">
        <f aca="false">IFERROR(IF(maxifs(Transactions!$B:$B,Transactions!$C:$C,$A138,Transactions!$D:$D,"Sale")=0,"",maxifs(Transactions!$B:$B,Transactions!$C:$C,$A138,Transactions!$D:$D,"Sale")),"")</f>
        <v/>
      </c>
      <c r="AH138" s="12"/>
    </row>
    <row r="139" customFormat="false" ht="18" hidden="false" customHeight="true" outlineLevel="0" collapsed="false">
      <c r="A139" s="12" t="s">
        <v>517</v>
      </c>
      <c r="B139" s="12" t="s">
        <v>172</v>
      </c>
      <c r="C139" s="12" t="s">
        <v>164</v>
      </c>
      <c r="D139" s="12" t="s">
        <v>165</v>
      </c>
      <c r="E139" s="12" t="s">
        <v>79</v>
      </c>
      <c r="F139" s="12" t="s">
        <v>102</v>
      </c>
      <c r="G139" s="12"/>
      <c r="H139" s="12" t="s">
        <v>381</v>
      </c>
      <c r="I139" s="14" t="n">
        <v>19000</v>
      </c>
      <c r="J139" s="18" t="n">
        <f aca="false">IF($I139="","",ROUND($I139*Dropdowns!$K$5,2))</f>
        <v>49.4</v>
      </c>
      <c r="K139" s="19" t="n">
        <f aca="false">IF($I139="","",ROUND($I139*Dropdowns!$K$6,2))</f>
        <v>45.6</v>
      </c>
      <c r="L139" s="20" t="n">
        <f aca="false">IF($I139="","",ROUND($I139*Dropdowns!$K$7,2))</f>
        <v>3895</v>
      </c>
      <c r="M139" s="15" t="str">
        <f aca="false">IFERROR(IF($B139="","",VLOOKUP($B139,Designs!$A$3:$AP$165,27,FALSE())),"")</f>
        <v/>
      </c>
      <c r="N139" s="16" t="str">
        <f aca="false">IFERROR(IF(OR($I139="",$M139="",$M139=0),"",($I139-$M139)/$I139),"")</f>
        <v/>
      </c>
      <c r="O139" s="13" t="n">
        <v>0</v>
      </c>
      <c r="P139" s="13" t="n">
        <v>0</v>
      </c>
      <c r="Q139" s="21" t="n">
        <f aca="false">IF($O139="","",$O139-IF($P139="",0,$P139))</f>
        <v>0</v>
      </c>
      <c r="R139" s="13" t="n">
        <v>2</v>
      </c>
      <c r="S139" s="21" t="str">
        <f aca="false">IF($O139="","",IF($Q139&lt;=$R139,"⚠ REORDER","OK"))</f>
        <v>⚠ REORDER</v>
      </c>
      <c r="T139" s="13"/>
      <c r="U139" s="13"/>
      <c r="V139" s="13" t="s">
        <v>378</v>
      </c>
      <c r="W139" s="12" t="s">
        <v>379</v>
      </c>
      <c r="X139" s="13"/>
      <c r="Y139" s="13"/>
      <c r="Z139" s="12" t="s">
        <v>88</v>
      </c>
      <c r="AA139" s="12" t="s">
        <v>88</v>
      </c>
      <c r="AB139" s="12" t="s">
        <v>88</v>
      </c>
      <c r="AC139" s="12" t="s">
        <v>88</v>
      </c>
      <c r="AD139" s="12" t="s">
        <v>87</v>
      </c>
      <c r="AE139" s="21" t="n">
        <f aca="false">IFERROR(SUMIFS(Transactions!$F:$F,Transactions!$C:$C,$A139,Transactions!$D:$D,"Sale"),0)</f>
        <v>0</v>
      </c>
      <c r="AF139" s="15" t="n">
        <f aca="false">IFERROR(SUMIFS(Transactions!$H:$H,Transactions!$C:$C,$A139,Transactions!$D:$D,"Sale"),0)</f>
        <v>0</v>
      </c>
      <c r="AG139" s="22" t="str">
        <f aca="false">IFERROR(IF(maxifs(Transactions!$B:$B,Transactions!$C:$C,$A139,Transactions!$D:$D,"Sale")=0,"",maxifs(Transactions!$B:$B,Transactions!$C:$C,$A139,Transactions!$D:$D,"Sale")),"")</f>
        <v/>
      </c>
      <c r="AH139" s="12"/>
    </row>
    <row r="140" customFormat="false" ht="18" hidden="false" customHeight="true" outlineLevel="0" collapsed="false">
      <c r="A140" s="12" t="s">
        <v>518</v>
      </c>
      <c r="B140" s="12" t="s">
        <v>172</v>
      </c>
      <c r="C140" s="12" t="s">
        <v>164</v>
      </c>
      <c r="D140" s="12" t="s">
        <v>165</v>
      </c>
      <c r="E140" s="12" t="s">
        <v>79</v>
      </c>
      <c r="F140" s="12" t="s">
        <v>102</v>
      </c>
      <c r="G140" s="12"/>
      <c r="H140" s="12" t="s">
        <v>383</v>
      </c>
      <c r="I140" s="14" t="n">
        <v>19000</v>
      </c>
      <c r="J140" s="18" t="n">
        <f aca="false">IF($I140="","",ROUND($I140*Dropdowns!$K$5,2))</f>
        <v>49.4</v>
      </c>
      <c r="K140" s="19" t="n">
        <f aca="false">IF($I140="","",ROUND($I140*Dropdowns!$K$6,2))</f>
        <v>45.6</v>
      </c>
      <c r="L140" s="20" t="n">
        <f aca="false">IF($I140="","",ROUND($I140*Dropdowns!$K$7,2))</f>
        <v>3895</v>
      </c>
      <c r="M140" s="15" t="str">
        <f aca="false">IFERROR(IF($B140="","",VLOOKUP($B140,Designs!$A$3:$AP$165,27,FALSE())),"")</f>
        <v/>
      </c>
      <c r="N140" s="16" t="str">
        <f aca="false">IFERROR(IF(OR($I140="",$M140="",$M140=0),"",($I140-$M140)/$I140),"")</f>
        <v/>
      </c>
      <c r="O140" s="13" t="n">
        <v>0</v>
      </c>
      <c r="P140" s="13" t="n">
        <v>0</v>
      </c>
      <c r="Q140" s="21" t="n">
        <f aca="false">IF($O140="","",$O140-IF($P140="",0,$P140))</f>
        <v>0</v>
      </c>
      <c r="R140" s="13" t="n">
        <v>2</v>
      </c>
      <c r="S140" s="21" t="str">
        <f aca="false">IF($O140="","",IF($Q140&lt;=$R140,"⚠ REORDER","OK"))</f>
        <v>⚠ REORDER</v>
      </c>
      <c r="T140" s="13"/>
      <c r="U140" s="13"/>
      <c r="V140" s="13" t="s">
        <v>378</v>
      </c>
      <c r="W140" s="12" t="s">
        <v>379</v>
      </c>
      <c r="X140" s="13"/>
      <c r="Y140" s="13"/>
      <c r="Z140" s="12" t="s">
        <v>88</v>
      </c>
      <c r="AA140" s="12" t="s">
        <v>88</v>
      </c>
      <c r="AB140" s="12" t="s">
        <v>88</v>
      </c>
      <c r="AC140" s="12" t="s">
        <v>88</v>
      </c>
      <c r="AD140" s="12" t="s">
        <v>87</v>
      </c>
      <c r="AE140" s="21" t="n">
        <f aca="false">IFERROR(SUMIFS(Transactions!$F:$F,Transactions!$C:$C,$A140,Transactions!$D:$D,"Sale"),0)</f>
        <v>0</v>
      </c>
      <c r="AF140" s="15" t="n">
        <f aca="false">IFERROR(SUMIFS(Transactions!$H:$H,Transactions!$C:$C,$A140,Transactions!$D:$D,"Sale"),0)</f>
        <v>0</v>
      </c>
      <c r="AG140" s="22" t="str">
        <f aca="false">IFERROR(IF(maxifs(Transactions!$B:$B,Transactions!$C:$C,$A140,Transactions!$D:$D,"Sale")=0,"",maxifs(Transactions!$B:$B,Transactions!$C:$C,$A140,Transactions!$D:$D,"Sale")),"")</f>
        <v/>
      </c>
      <c r="AH140" s="12"/>
    </row>
    <row r="141" customFormat="false" ht="18" hidden="false" customHeight="true" outlineLevel="0" collapsed="false">
      <c r="A141" s="12" t="s">
        <v>519</v>
      </c>
      <c r="B141" s="12" t="s">
        <v>173</v>
      </c>
      <c r="C141" s="12" t="s">
        <v>164</v>
      </c>
      <c r="D141" s="12" t="s">
        <v>165</v>
      </c>
      <c r="E141" s="12" t="s">
        <v>79</v>
      </c>
      <c r="F141" s="12" t="s">
        <v>104</v>
      </c>
      <c r="G141" s="12"/>
      <c r="H141" s="12" t="s">
        <v>377</v>
      </c>
      <c r="I141" s="14" t="n">
        <v>19000</v>
      </c>
      <c r="J141" s="18" t="n">
        <f aca="false">IF($I141="","",ROUND($I141*Dropdowns!$K$5,2))</f>
        <v>49.4</v>
      </c>
      <c r="K141" s="19" t="n">
        <f aca="false">IF($I141="","",ROUND($I141*Dropdowns!$K$6,2))</f>
        <v>45.6</v>
      </c>
      <c r="L141" s="20" t="n">
        <f aca="false">IF($I141="","",ROUND($I141*Dropdowns!$K$7,2))</f>
        <v>3895</v>
      </c>
      <c r="M141" s="15" t="str">
        <f aca="false">IFERROR(IF($B141="","",VLOOKUP($B141,Designs!$A$3:$AP$165,27,FALSE())),"")</f>
        <v/>
      </c>
      <c r="N141" s="16" t="str">
        <f aca="false">IFERROR(IF(OR($I141="",$M141="",$M141=0),"",($I141-$M141)/$I141),"")</f>
        <v/>
      </c>
      <c r="O141" s="13" t="n">
        <v>0</v>
      </c>
      <c r="P141" s="13" t="n">
        <v>0</v>
      </c>
      <c r="Q141" s="21" t="n">
        <f aca="false">IF($O141="","",$O141-IF($P141="",0,$P141))</f>
        <v>0</v>
      </c>
      <c r="R141" s="13" t="n">
        <v>2</v>
      </c>
      <c r="S141" s="21" t="str">
        <f aca="false">IF($O141="","",IF($Q141&lt;=$R141,"⚠ REORDER","OK"))</f>
        <v>⚠ REORDER</v>
      </c>
      <c r="T141" s="13"/>
      <c r="U141" s="13"/>
      <c r="V141" s="13" t="s">
        <v>378</v>
      </c>
      <c r="W141" s="12" t="s">
        <v>379</v>
      </c>
      <c r="X141" s="13"/>
      <c r="Y141" s="13"/>
      <c r="Z141" s="12" t="s">
        <v>88</v>
      </c>
      <c r="AA141" s="12" t="s">
        <v>88</v>
      </c>
      <c r="AB141" s="12" t="s">
        <v>88</v>
      </c>
      <c r="AC141" s="12" t="s">
        <v>88</v>
      </c>
      <c r="AD141" s="12" t="s">
        <v>87</v>
      </c>
      <c r="AE141" s="21" t="n">
        <f aca="false">IFERROR(SUMIFS(Transactions!$F:$F,Transactions!$C:$C,$A141,Transactions!$D:$D,"Sale"),0)</f>
        <v>0</v>
      </c>
      <c r="AF141" s="15" t="n">
        <f aca="false">IFERROR(SUMIFS(Transactions!$H:$H,Transactions!$C:$C,$A141,Transactions!$D:$D,"Sale"),0)</f>
        <v>0</v>
      </c>
      <c r="AG141" s="22" t="str">
        <f aca="false">IFERROR(IF(maxifs(Transactions!$B:$B,Transactions!$C:$C,$A141,Transactions!$D:$D,"Sale")=0,"",maxifs(Transactions!$B:$B,Transactions!$C:$C,$A141,Transactions!$D:$D,"Sale")),"")</f>
        <v/>
      </c>
      <c r="AH141" s="12"/>
    </row>
    <row r="142" customFormat="false" ht="18" hidden="false" customHeight="true" outlineLevel="0" collapsed="false">
      <c r="A142" s="12" t="s">
        <v>520</v>
      </c>
      <c r="B142" s="12" t="s">
        <v>173</v>
      </c>
      <c r="C142" s="12" t="s">
        <v>164</v>
      </c>
      <c r="D142" s="12" t="s">
        <v>165</v>
      </c>
      <c r="E142" s="12" t="s">
        <v>79</v>
      </c>
      <c r="F142" s="12" t="s">
        <v>104</v>
      </c>
      <c r="G142" s="12"/>
      <c r="H142" s="12" t="s">
        <v>381</v>
      </c>
      <c r="I142" s="14" t="n">
        <v>19000</v>
      </c>
      <c r="J142" s="18" t="n">
        <f aca="false">IF($I142="","",ROUND($I142*Dropdowns!$K$5,2))</f>
        <v>49.4</v>
      </c>
      <c r="K142" s="19" t="n">
        <f aca="false">IF($I142="","",ROUND($I142*Dropdowns!$K$6,2))</f>
        <v>45.6</v>
      </c>
      <c r="L142" s="20" t="n">
        <f aca="false">IF($I142="","",ROUND($I142*Dropdowns!$K$7,2))</f>
        <v>3895</v>
      </c>
      <c r="M142" s="15" t="str">
        <f aca="false">IFERROR(IF($B142="","",VLOOKUP($B142,Designs!$A$3:$AP$165,27,FALSE())),"")</f>
        <v/>
      </c>
      <c r="N142" s="16" t="str">
        <f aca="false">IFERROR(IF(OR($I142="",$M142="",$M142=0),"",($I142-$M142)/$I142),"")</f>
        <v/>
      </c>
      <c r="O142" s="13" t="n">
        <v>0</v>
      </c>
      <c r="P142" s="13" t="n">
        <v>0</v>
      </c>
      <c r="Q142" s="21" t="n">
        <f aca="false">IF($O142="","",$O142-IF($P142="",0,$P142))</f>
        <v>0</v>
      </c>
      <c r="R142" s="13" t="n">
        <v>2</v>
      </c>
      <c r="S142" s="21" t="str">
        <f aca="false">IF($O142="","",IF($Q142&lt;=$R142,"⚠ REORDER","OK"))</f>
        <v>⚠ REORDER</v>
      </c>
      <c r="T142" s="13"/>
      <c r="U142" s="13"/>
      <c r="V142" s="13" t="s">
        <v>378</v>
      </c>
      <c r="W142" s="12" t="s">
        <v>379</v>
      </c>
      <c r="X142" s="13"/>
      <c r="Y142" s="13"/>
      <c r="Z142" s="12" t="s">
        <v>88</v>
      </c>
      <c r="AA142" s="12" t="s">
        <v>88</v>
      </c>
      <c r="AB142" s="12" t="s">
        <v>88</v>
      </c>
      <c r="AC142" s="12" t="s">
        <v>88</v>
      </c>
      <c r="AD142" s="12" t="s">
        <v>87</v>
      </c>
      <c r="AE142" s="21" t="n">
        <f aca="false">IFERROR(SUMIFS(Transactions!$F:$F,Transactions!$C:$C,$A142,Transactions!$D:$D,"Sale"),0)</f>
        <v>0</v>
      </c>
      <c r="AF142" s="15" t="n">
        <f aca="false">IFERROR(SUMIFS(Transactions!$H:$H,Transactions!$C:$C,$A142,Transactions!$D:$D,"Sale"),0)</f>
        <v>0</v>
      </c>
      <c r="AG142" s="22" t="str">
        <f aca="false">IFERROR(IF(maxifs(Transactions!$B:$B,Transactions!$C:$C,$A142,Transactions!$D:$D,"Sale")=0,"",maxifs(Transactions!$B:$B,Transactions!$C:$C,$A142,Transactions!$D:$D,"Sale")),"")</f>
        <v/>
      </c>
      <c r="AH142" s="12"/>
    </row>
    <row r="143" customFormat="false" ht="18" hidden="false" customHeight="true" outlineLevel="0" collapsed="false">
      <c r="A143" s="12" t="s">
        <v>521</v>
      </c>
      <c r="B143" s="12" t="s">
        <v>173</v>
      </c>
      <c r="C143" s="12" t="s">
        <v>164</v>
      </c>
      <c r="D143" s="12" t="s">
        <v>165</v>
      </c>
      <c r="E143" s="12" t="s">
        <v>79</v>
      </c>
      <c r="F143" s="12" t="s">
        <v>104</v>
      </c>
      <c r="G143" s="12"/>
      <c r="H143" s="12" t="s">
        <v>383</v>
      </c>
      <c r="I143" s="14" t="n">
        <v>19000</v>
      </c>
      <c r="J143" s="18" t="n">
        <f aca="false">IF($I143="","",ROUND($I143*Dropdowns!$K$5,2))</f>
        <v>49.4</v>
      </c>
      <c r="K143" s="19" t="n">
        <f aca="false">IF($I143="","",ROUND($I143*Dropdowns!$K$6,2))</f>
        <v>45.6</v>
      </c>
      <c r="L143" s="20" t="n">
        <f aca="false">IF($I143="","",ROUND($I143*Dropdowns!$K$7,2))</f>
        <v>3895</v>
      </c>
      <c r="M143" s="15" t="str">
        <f aca="false">IFERROR(IF($B143="","",VLOOKUP($B143,Designs!$A$3:$AP$165,27,FALSE())),"")</f>
        <v/>
      </c>
      <c r="N143" s="16" t="str">
        <f aca="false">IFERROR(IF(OR($I143="",$M143="",$M143=0),"",($I143-$M143)/$I143),"")</f>
        <v/>
      </c>
      <c r="O143" s="13" t="n">
        <v>0</v>
      </c>
      <c r="P143" s="13" t="n">
        <v>0</v>
      </c>
      <c r="Q143" s="21" t="n">
        <f aca="false">IF($O143="","",$O143-IF($P143="",0,$P143))</f>
        <v>0</v>
      </c>
      <c r="R143" s="13" t="n">
        <v>2</v>
      </c>
      <c r="S143" s="21" t="str">
        <f aca="false">IF($O143="","",IF($Q143&lt;=$R143,"⚠ REORDER","OK"))</f>
        <v>⚠ REORDER</v>
      </c>
      <c r="T143" s="13"/>
      <c r="U143" s="13"/>
      <c r="V143" s="13" t="s">
        <v>378</v>
      </c>
      <c r="W143" s="12" t="s">
        <v>379</v>
      </c>
      <c r="X143" s="13"/>
      <c r="Y143" s="13"/>
      <c r="Z143" s="12" t="s">
        <v>88</v>
      </c>
      <c r="AA143" s="12" t="s">
        <v>88</v>
      </c>
      <c r="AB143" s="12" t="s">
        <v>88</v>
      </c>
      <c r="AC143" s="12" t="s">
        <v>88</v>
      </c>
      <c r="AD143" s="12" t="s">
        <v>87</v>
      </c>
      <c r="AE143" s="21" t="n">
        <f aca="false">IFERROR(SUMIFS(Transactions!$F:$F,Transactions!$C:$C,$A143,Transactions!$D:$D,"Sale"),0)</f>
        <v>0</v>
      </c>
      <c r="AF143" s="15" t="n">
        <f aca="false">IFERROR(SUMIFS(Transactions!$H:$H,Transactions!$C:$C,$A143,Transactions!$D:$D,"Sale"),0)</f>
        <v>0</v>
      </c>
      <c r="AG143" s="22" t="str">
        <f aca="false">IFERROR(IF(maxifs(Transactions!$B:$B,Transactions!$C:$C,$A143,Transactions!$D:$D,"Sale")=0,"",maxifs(Transactions!$B:$B,Transactions!$C:$C,$A143,Transactions!$D:$D,"Sale")),"")</f>
        <v/>
      </c>
      <c r="AH143" s="12"/>
    </row>
    <row r="144" customFormat="false" ht="18" hidden="false" customHeight="true" outlineLevel="0" collapsed="false">
      <c r="A144" s="12" t="s">
        <v>522</v>
      </c>
      <c r="B144" s="12" t="s">
        <v>174</v>
      </c>
      <c r="C144" s="12" t="s">
        <v>164</v>
      </c>
      <c r="D144" s="12" t="s">
        <v>165</v>
      </c>
      <c r="E144" s="12" t="s">
        <v>79</v>
      </c>
      <c r="F144" s="12" t="s">
        <v>106</v>
      </c>
      <c r="G144" s="12"/>
      <c r="H144" s="12" t="s">
        <v>377</v>
      </c>
      <c r="I144" s="14" t="n">
        <v>19000</v>
      </c>
      <c r="J144" s="18" t="n">
        <f aca="false">IF($I144="","",ROUND($I144*Dropdowns!$K$5,2))</f>
        <v>49.4</v>
      </c>
      <c r="K144" s="19" t="n">
        <f aca="false">IF($I144="","",ROUND($I144*Dropdowns!$K$6,2))</f>
        <v>45.6</v>
      </c>
      <c r="L144" s="20" t="n">
        <f aca="false">IF($I144="","",ROUND($I144*Dropdowns!$K$7,2))</f>
        <v>3895</v>
      </c>
      <c r="M144" s="15" t="str">
        <f aca="false">IFERROR(IF($B144="","",VLOOKUP($B144,Designs!$A$3:$AP$165,27,FALSE())),"")</f>
        <v/>
      </c>
      <c r="N144" s="16" t="str">
        <f aca="false">IFERROR(IF(OR($I144="",$M144="",$M144=0),"",($I144-$M144)/$I144),"")</f>
        <v/>
      </c>
      <c r="O144" s="13" t="n">
        <v>0</v>
      </c>
      <c r="P144" s="13" t="n">
        <v>0</v>
      </c>
      <c r="Q144" s="21" t="n">
        <f aca="false">IF($O144="","",$O144-IF($P144="",0,$P144))</f>
        <v>0</v>
      </c>
      <c r="R144" s="13" t="n">
        <v>2</v>
      </c>
      <c r="S144" s="21" t="str">
        <f aca="false">IF($O144="","",IF($Q144&lt;=$R144,"⚠ REORDER","OK"))</f>
        <v>⚠ REORDER</v>
      </c>
      <c r="T144" s="13"/>
      <c r="U144" s="13"/>
      <c r="V144" s="13" t="s">
        <v>378</v>
      </c>
      <c r="W144" s="12" t="s">
        <v>379</v>
      </c>
      <c r="X144" s="13"/>
      <c r="Y144" s="13"/>
      <c r="Z144" s="12" t="s">
        <v>88</v>
      </c>
      <c r="AA144" s="12" t="s">
        <v>88</v>
      </c>
      <c r="AB144" s="12" t="s">
        <v>88</v>
      </c>
      <c r="AC144" s="12" t="s">
        <v>88</v>
      </c>
      <c r="AD144" s="12" t="s">
        <v>87</v>
      </c>
      <c r="AE144" s="21" t="n">
        <f aca="false">IFERROR(SUMIFS(Transactions!$F:$F,Transactions!$C:$C,$A144,Transactions!$D:$D,"Sale"),0)</f>
        <v>0</v>
      </c>
      <c r="AF144" s="15" t="n">
        <f aca="false">IFERROR(SUMIFS(Transactions!$H:$H,Transactions!$C:$C,$A144,Transactions!$D:$D,"Sale"),0)</f>
        <v>0</v>
      </c>
      <c r="AG144" s="22" t="str">
        <f aca="false">IFERROR(IF(maxifs(Transactions!$B:$B,Transactions!$C:$C,$A144,Transactions!$D:$D,"Sale")=0,"",maxifs(Transactions!$B:$B,Transactions!$C:$C,$A144,Transactions!$D:$D,"Sale")),"")</f>
        <v/>
      </c>
      <c r="AH144" s="12"/>
    </row>
    <row r="145" customFormat="false" ht="18" hidden="false" customHeight="true" outlineLevel="0" collapsed="false">
      <c r="A145" s="12" t="s">
        <v>523</v>
      </c>
      <c r="B145" s="12" t="s">
        <v>174</v>
      </c>
      <c r="C145" s="12" t="s">
        <v>164</v>
      </c>
      <c r="D145" s="12" t="s">
        <v>165</v>
      </c>
      <c r="E145" s="12" t="s">
        <v>79</v>
      </c>
      <c r="F145" s="12" t="s">
        <v>106</v>
      </c>
      <c r="G145" s="12"/>
      <c r="H145" s="12" t="s">
        <v>381</v>
      </c>
      <c r="I145" s="14" t="n">
        <v>19000</v>
      </c>
      <c r="J145" s="18" t="n">
        <f aca="false">IF($I145="","",ROUND($I145*Dropdowns!$K$5,2))</f>
        <v>49.4</v>
      </c>
      <c r="K145" s="19" t="n">
        <f aca="false">IF($I145="","",ROUND($I145*Dropdowns!$K$6,2))</f>
        <v>45.6</v>
      </c>
      <c r="L145" s="20" t="n">
        <f aca="false">IF($I145="","",ROUND($I145*Dropdowns!$K$7,2))</f>
        <v>3895</v>
      </c>
      <c r="M145" s="15" t="str">
        <f aca="false">IFERROR(IF($B145="","",VLOOKUP($B145,Designs!$A$3:$AP$165,27,FALSE())),"")</f>
        <v/>
      </c>
      <c r="N145" s="16" t="str">
        <f aca="false">IFERROR(IF(OR($I145="",$M145="",$M145=0),"",($I145-$M145)/$I145),"")</f>
        <v/>
      </c>
      <c r="O145" s="13" t="n">
        <v>0</v>
      </c>
      <c r="P145" s="13" t="n">
        <v>0</v>
      </c>
      <c r="Q145" s="21" t="n">
        <f aca="false">IF($O145="","",$O145-IF($P145="",0,$P145))</f>
        <v>0</v>
      </c>
      <c r="R145" s="13" t="n">
        <v>2</v>
      </c>
      <c r="S145" s="21" t="str">
        <f aca="false">IF($O145="","",IF($Q145&lt;=$R145,"⚠ REORDER","OK"))</f>
        <v>⚠ REORDER</v>
      </c>
      <c r="T145" s="13"/>
      <c r="U145" s="13"/>
      <c r="V145" s="13" t="s">
        <v>378</v>
      </c>
      <c r="W145" s="12" t="s">
        <v>379</v>
      </c>
      <c r="X145" s="13"/>
      <c r="Y145" s="13"/>
      <c r="Z145" s="12" t="s">
        <v>88</v>
      </c>
      <c r="AA145" s="12" t="s">
        <v>88</v>
      </c>
      <c r="AB145" s="12" t="s">
        <v>88</v>
      </c>
      <c r="AC145" s="12" t="s">
        <v>88</v>
      </c>
      <c r="AD145" s="12" t="s">
        <v>87</v>
      </c>
      <c r="AE145" s="21" t="n">
        <f aca="false">IFERROR(SUMIFS(Transactions!$F:$F,Transactions!$C:$C,$A145,Transactions!$D:$D,"Sale"),0)</f>
        <v>0</v>
      </c>
      <c r="AF145" s="15" t="n">
        <f aca="false">IFERROR(SUMIFS(Transactions!$H:$H,Transactions!$C:$C,$A145,Transactions!$D:$D,"Sale"),0)</f>
        <v>0</v>
      </c>
      <c r="AG145" s="22" t="str">
        <f aca="false">IFERROR(IF(maxifs(Transactions!$B:$B,Transactions!$C:$C,$A145,Transactions!$D:$D,"Sale")=0,"",maxifs(Transactions!$B:$B,Transactions!$C:$C,$A145,Transactions!$D:$D,"Sale")),"")</f>
        <v/>
      </c>
      <c r="AH145" s="12"/>
    </row>
    <row r="146" customFormat="false" ht="18" hidden="false" customHeight="true" outlineLevel="0" collapsed="false">
      <c r="A146" s="12" t="s">
        <v>524</v>
      </c>
      <c r="B146" s="12" t="s">
        <v>174</v>
      </c>
      <c r="C146" s="12" t="s">
        <v>164</v>
      </c>
      <c r="D146" s="12" t="s">
        <v>165</v>
      </c>
      <c r="E146" s="12" t="s">
        <v>79</v>
      </c>
      <c r="F146" s="12" t="s">
        <v>106</v>
      </c>
      <c r="G146" s="12"/>
      <c r="H146" s="12" t="s">
        <v>383</v>
      </c>
      <c r="I146" s="14" t="n">
        <v>19000</v>
      </c>
      <c r="J146" s="18" t="n">
        <f aca="false">IF($I146="","",ROUND($I146*Dropdowns!$K$5,2))</f>
        <v>49.4</v>
      </c>
      <c r="K146" s="19" t="n">
        <f aca="false">IF($I146="","",ROUND($I146*Dropdowns!$K$6,2))</f>
        <v>45.6</v>
      </c>
      <c r="L146" s="20" t="n">
        <f aca="false">IF($I146="","",ROUND($I146*Dropdowns!$K$7,2))</f>
        <v>3895</v>
      </c>
      <c r="M146" s="15" t="str">
        <f aca="false">IFERROR(IF($B146="","",VLOOKUP($B146,Designs!$A$3:$AP$165,27,FALSE())),"")</f>
        <v/>
      </c>
      <c r="N146" s="16" t="str">
        <f aca="false">IFERROR(IF(OR($I146="",$M146="",$M146=0),"",($I146-$M146)/$I146),"")</f>
        <v/>
      </c>
      <c r="O146" s="13" t="n">
        <v>0</v>
      </c>
      <c r="P146" s="13" t="n">
        <v>0</v>
      </c>
      <c r="Q146" s="21" t="n">
        <f aca="false">IF($O146="","",$O146-IF($P146="",0,$P146))</f>
        <v>0</v>
      </c>
      <c r="R146" s="13" t="n">
        <v>2</v>
      </c>
      <c r="S146" s="21" t="str">
        <f aca="false">IF($O146="","",IF($Q146&lt;=$R146,"⚠ REORDER","OK"))</f>
        <v>⚠ REORDER</v>
      </c>
      <c r="T146" s="13"/>
      <c r="U146" s="13"/>
      <c r="V146" s="13" t="s">
        <v>378</v>
      </c>
      <c r="W146" s="12" t="s">
        <v>379</v>
      </c>
      <c r="X146" s="13"/>
      <c r="Y146" s="13"/>
      <c r="Z146" s="12" t="s">
        <v>88</v>
      </c>
      <c r="AA146" s="12" t="s">
        <v>88</v>
      </c>
      <c r="AB146" s="12" t="s">
        <v>88</v>
      </c>
      <c r="AC146" s="12" t="s">
        <v>88</v>
      </c>
      <c r="AD146" s="12" t="s">
        <v>87</v>
      </c>
      <c r="AE146" s="21" t="n">
        <f aca="false">IFERROR(SUMIFS(Transactions!$F:$F,Transactions!$C:$C,$A146,Transactions!$D:$D,"Sale"),0)</f>
        <v>0</v>
      </c>
      <c r="AF146" s="15" t="n">
        <f aca="false">IFERROR(SUMIFS(Transactions!$H:$H,Transactions!$C:$C,$A146,Transactions!$D:$D,"Sale"),0)</f>
        <v>0</v>
      </c>
      <c r="AG146" s="22" t="str">
        <f aca="false">IFERROR(IF(maxifs(Transactions!$B:$B,Transactions!$C:$C,$A146,Transactions!$D:$D,"Sale")=0,"",maxifs(Transactions!$B:$B,Transactions!$C:$C,$A146,Transactions!$D:$D,"Sale")),"")</f>
        <v/>
      </c>
      <c r="AH146" s="12"/>
    </row>
    <row r="147" customFormat="false" ht="18" hidden="false" customHeight="true" outlineLevel="0" collapsed="false">
      <c r="A147" s="12" t="s">
        <v>525</v>
      </c>
      <c r="B147" s="12" t="s">
        <v>175</v>
      </c>
      <c r="C147" s="12" t="s">
        <v>164</v>
      </c>
      <c r="D147" s="12" t="s">
        <v>165</v>
      </c>
      <c r="E147" s="12" t="s">
        <v>79</v>
      </c>
      <c r="F147" s="12" t="s">
        <v>108</v>
      </c>
      <c r="G147" s="12"/>
      <c r="H147" s="12" t="s">
        <v>377</v>
      </c>
      <c r="I147" s="14" t="n">
        <v>19000</v>
      </c>
      <c r="J147" s="18" t="n">
        <f aca="false">IF($I147="","",ROUND($I147*Dropdowns!$K$5,2))</f>
        <v>49.4</v>
      </c>
      <c r="K147" s="19" t="n">
        <f aca="false">IF($I147="","",ROUND($I147*Dropdowns!$K$6,2))</f>
        <v>45.6</v>
      </c>
      <c r="L147" s="20" t="n">
        <f aca="false">IF($I147="","",ROUND($I147*Dropdowns!$K$7,2))</f>
        <v>3895</v>
      </c>
      <c r="M147" s="15" t="str">
        <f aca="false">IFERROR(IF($B147="","",VLOOKUP($B147,Designs!$A$3:$AP$165,27,FALSE())),"")</f>
        <v/>
      </c>
      <c r="N147" s="16" t="str">
        <f aca="false">IFERROR(IF(OR($I147="",$M147="",$M147=0),"",($I147-$M147)/$I147),"")</f>
        <v/>
      </c>
      <c r="O147" s="13" t="n">
        <v>0</v>
      </c>
      <c r="P147" s="13" t="n">
        <v>0</v>
      </c>
      <c r="Q147" s="21" t="n">
        <f aca="false">IF($O147="","",$O147-IF($P147="",0,$P147))</f>
        <v>0</v>
      </c>
      <c r="R147" s="13" t="n">
        <v>2</v>
      </c>
      <c r="S147" s="21" t="str">
        <f aca="false">IF($O147="","",IF($Q147&lt;=$R147,"⚠ REORDER","OK"))</f>
        <v>⚠ REORDER</v>
      </c>
      <c r="T147" s="13"/>
      <c r="U147" s="13"/>
      <c r="V147" s="13" t="s">
        <v>378</v>
      </c>
      <c r="W147" s="12" t="s">
        <v>379</v>
      </c>
      <c r="X147" s="13"/>
      <c r="Y147" s="13"/>
      <c r="Z147" s="12" t="s">
        <v>88</v>
      </c>
      <c r="AA147" s="12" t="s">
        <v>88</v>
      </c>
      <c r="AB147" s="12" t="s">
        <v>88</v>
      </c>
      <c r="AC147" s="12" t="s">
        <v>88</v>
      </c>
      <c r="AD147" s="12" t="s">
        <v>87</v>
      </c>
      <c r="AE147" s="21" t="n">
        <f aca="false">IFERROR(SUMIFS(Transactions!$F:$F,Transactions!$C:$C,$A147,Transactions!$D:$D,"Sale"),0)</f>
        <v>0</v>
      </c>
      <c r="AF147" s="15" t="n">
        <f aca="false">IFERROR(SUMIFS(Transactions!$H:$H,Transactions!$C:$C,$A147,Transactions!$D:$D,"Sale"),0)</f>
        <v>0</v>
      </c>
      <c r="AG147" s="22" t="str">
        <f aca="false">IFERROR(IF(maxifs(Transactions!$B:$B,Transactions!$C:$C,$A147,Transactions!$D:$D,"Sale")=0,"",maxifs(Transactions!$B:$B,Transactions!$C:$C,$A147,Transactions!$D:$D,"Sale")),"")</f>
        <v/>
      </c>
      <c r="AH147" s="12"/>
    </row>
    <row r="148" customFormat="false" ht="18" hidden="false" customHeight="true" outlineLevel="0" collapsed="false">
      <c r="A148" s="12" t="s">
        <v>526</v>
      </c>
      <c r="B148" s="12" t="s">
        <v>175</v>
      </c>
      <c r="C148" s="12" t="s">
        <v>164</v>
      </c>
      <c r="D148" s="12" t="s">
        <v>165</v>
      </c>
      <c r="E148" s="12" t="s">
        <v>79</v>
      </c>
      <c r="F148" s="12" t="s">
        <v>108</v>
      </c>
      <c r="G148" s="12"/>
      <c r="H148" s="12" t="s">
        <v>381</v>
      </c>
      <c r="I148" s="14" t="n">
        <v>19000</v>
      </c>
      <c r="J148" s="18" t="n">
        <f aca="false">IF($I148="","",ROUND($I148*Dropdowns!$K$5,2))</f>
        <v>49.4</v>
      </c>
      <c r="K148" s="19" t="n">
        <f aca="false">IF($I148="","",ROUND($I148*Dropdowns!$K$6,2))</f>
        <v>45.6</v>
      </c>
      <c r="L148" s="20" t="n">
        <f aca="false">IF($I148="","",ROUND($I148*Dropdowns!$K$7,2))</f>
        <v>3895</v>
      </c>
      <c r="M148" s="15" t="str">
        <f aca="false">IFERROR(IF($B148="","",VLOOKUP($B148,Designs!$A$3:$AP$165,27,FALSE())),"")</f>
        <v/>
      </c>
      <c r="N148" s="16" t="str">
        <f aca="false">IFERROR(IF(OR($I148="",$M148="",$M148=0),"",($I148-$M148)/$I148),"")</f>
        <v/>
      </c>
      <c r="O148" s="13" t="n">
        <v>0</v>
      </c>
      <c r="P148" s="13" t="n">
        <v>0</v>
      </c>
      <c r="Q148" s="21" t="n">
        <f aca="false">IF($O148="","",$O148-IF($P148="",0,$P148))</f>
        <v>0</v>
      </c>
      <c r="R148" s="13" t="n">
        <v>2</v>
      </c>
      <c r="S148" s="21" t="str">
        <f aca="false">IF($O148="","",IF($Q148&lt;=$R148,"⚠ REORDER","OK"))</f>
        <v>⚠ REORDER</v>
      </c>
      <c r="T148" s="13"/>
      <c r="U148" s="13"/>
      <c r="V148" s="13" t="s">
        <v>378</v>
      </c>
      <c r="W148" s="12" t="s">
        <v>379</v>
      </c>
      <c r="X148" s="13"/>
      <c r="Y148" s="13"/>
      <c r="Z148" s="12" t="s">
        <v>88</v>
      </c>
      <c r="AA148" s="12" t="s">
        <v>88</v>
      </c>
      <c r="AB148" s="12" t="s">
        <v>88</v>
      </c>
      <c r="AC148" s="12" t="s">
        <v>88</v>
      </c>
      <c r="AD148" s="12" t="s">
        <v>87</v>
      </c>
      <c r="AE148" s="21" t="n">
        <f aca="false">IFERROR(SUMIFS(Transactions!$F:$F,Transactions!$C:$C,$A148,Transactions!$D:$D,"Sale"),0)</f>
        <v>0</v>
      </c>
      <c r="AF148" s="15" t="n">
        <f aca="false">IFERROR(SUMIFS(Transactions!$H:$H,Transactions!$C:$C,$A148,Transactions!$D:$D,"Sale"),0)</f>
        <v>0</v>
      </c>
      <c r="AG148" s="22" t="str">
        <f aca="false">IFERROR(IF(maxifs(Transactions!$B:$B,Transactions!$C:$C,$A148,Transactions!$D:$D,"Sale")=0,"",maxifs(Transactions!$B:$B,Transactions!$C:$C,$A148,Transactions!$D:$D,"Sale")),"")</f>
        <v/>
      </c>
      <c r="AH148" s="12"/>
    </row>
    <row r="149" customFormat="false" ht="18" hidden="false" customHeight="true" outlineLevel="0" collapsed="false">
      <c r="A149" s="12" t="s">
        <v>527</v>
      </c>
      <c r="B149" s="12" t="s">
        <v>175</v>
      </c>
      <c r="C149" s="12" t="s">
        <v>164</v>
      </c>
      <c r="D149" s="12" t="s">
        <v>165</v>
      </c>
      <c r="E149" s="12" t="s">
        <v>79</v>
      </c>
      <c r="F149" s="12" t="s">
        <v>108</v>
      </c>
      <c r="G149" s="12"/>
      <c r="H149" s="12" t="s">
        <v>383</v>
      </c>
      <c r="I149" s="14" t="n">
        <v>19000</v>
      </c>
      <c r="J149" s="18" t="n">
        <f aca="false">IF($I149="","",ROUND($I149*Dropdowns!$K$5,2))</f>
        <v>49.4</v>
      </c>
      <c r="K149" s="19" t="n">
        <f aca="false">IF($I149="","",ROUND($I149*Dropdowns!$K$6,2))</f>
        <v>45.6</v>
      </c>
      <c r="L149" s="20" t="n">
        <f aca="false">IF($I149="","",ROUND($I149*Dropdowns!$K$7,2))</f>
        <v>3895</v>
      </c>
      <c r="M149" s="15" t="str">
        <f aca="false">IFERROR(IF($B149="","",VLOOKUP($B149,Designs!$A$3:$AP$165,27,FALSE())),"")</f>
        <v/>
      </c>
      <c r="N149" s="16" t="str">
        <f aca="false">IFERROR(IF(OR($I149="",$M149="",$M149=0),"",($I149-$M149)/$I149),"")</f>
        <v/>
      </c>
      <c r="O149" s="13" t="n">
        <v>0</v>
      </c>
      <c r="P149" s="13" t="n">
        <v>0</v>
      </c>
      <c r="Q149" s="21" t="n">
        <f aca="false">IF($O149="","",$O149-IF($P149="",0,$P149))</f>
        <v>0</v>
      </c>
      <c r="R149" s="13" t="n">
        <v>2</v>
      </c>
      <c r="S149" s="21" t="str">
        <f aca="false">IF($O149="","",IF($Q149&lt;=$R149,"⚠ REORDER","OK"))</f>
        <v>⚠ REORDER</v>
      </c>
      <c r="T149" s="13"/>
      <c r="U149" s="13"/>
      <c r="V149" s="13" t="s">
        <v>378</v>
      </c>
      <c r="W149" s="12" t="s">
        <v>379</v>
      </c>
      <c r="X149" s="13"/>
      <c r="Y149" s="13"/>
      <c r="Z149" s="12" t="s">
        <v>88</v>
      </c>
      <c r="AA149" s="12" t="s">
        <v>88</v>
      </c>
      <c r="AB149" s="12" t="s">
        <v>88</v>
      </c>
      <c r="AC149" s="12" t="s">
        <v>88</v>
      </c>
      <c r="AD149" s="12" t="s">
        <v>87</v>
      </c>
      <c r="AE149" s="21" t="n">
        <f aca="false">IFERROR(SUMIFS(Transactions!$F:$F,Transactions!$C:$C,$A149,Transactions!$D:$D,"Sale"),0)</f>
        <v>0</v>
      </c>
      <c r="AF149" s="15" t="n">
        <f aca="false">IFERROR(SUMIFS(Transactions!$H:$H,Transactions!$C:$C,$A149,Transactions!$D:$D,"Sale"),0)</f>
        <v>0</v>
      </c>
      <c r="AG149" s="22" t="str">
        <f aca="false">IFERROR(IF(maxifs(Transactions!$B:$B,Transactions!$C:$C,$A149,Transactions!$D:$D,"Sale")=0,"",maxifs(Transactions!$B:$B,Transactions!$C:$C,$A149,Transactions!$D:$D,"Sale")),"")</f>
        <v/>
      </c>
      <c r="AH149" s="12"/>
    </row>
    <row r="150" customFormat="false" ht="18" hidden="false" customHeight="true" outlineLevel="0" collapsed="false">
      <c r="A150" s="12" t="s">
        <v>528</v>
      </c>
      <c r="B150" s="12" t="s">
        <v>176</v>
      </c>
      <c r="C150" s="12" t="s">
        <v>164</v>
      </c>
      <c r="D150" s="12" t="s">
        <v>165</v>
      </c>
      <c r="E150" s="12" t="s">
        <v>79</v>
      </c>
      <c r="F150" s="12" t="s">
        <v>110</v>
      </c>
      <c r="G150" s="12"/>
      <c r="H150" s="12" t="s">
        <v>377</v>
      </c>
      <c r="I150" s="14" t="n">
        <v>19000</v>
      </c>
      <c r="J150" s="18" t="n">
        <f aca="false">IF($I150="","",ROUND($I150*Dropdowns!$K$5,2))</f>
        <v>49.4</v>
      </c>
      <c r="K150" s="19" t="n">
        <f aca="false">IF($I150="","",ROUND($I150*Dropdowns!$K$6,2))</f>
        <v>45.6</v>
      </c>
      <c r="L150" s="20" t="n">
        <f aca="false">IF($I150="","",ROUND($I150*Dropdowns!$K$7,2))</f>
        <v>3895</v>
      </c>
      <c r="M150" s="15" t="str">
        <f aca="false">IFERROR(IF($B150="","",VLOOKUP($B150,Designs!$A$3:$AP$165,27,FALSE())),"")</f>
        <v/>
      </c>
      <c r="N150" s="16" t="str">
        <f aca="false">IFERROR(IF(OR($I150="",$M150="",$M150=0),"",($I150-$M150)/$I150),"")</f>
        <v/>
      </c>
      <c r="O150" s="13" t="n">
        <v>0</v>
      </c>
      <c r="P150" s="13" t="n">
        <v>0</v>
      </c>
      <c r="Q150" s="21" t="n">
        <f aca="false">IF($O150="","",$O150-IF($P150="",0,$P150))</f>
        <v>0</v>
      </c>
      <c r="R150" s="13" t="n">
        <v>2</v>
      </c>
      <c r="S150" s="21" t="str">
        <f aca="false">IF($O150="","",IF($Q150&lt;=$R150,"⚠ REORDER","OK"))</f>
        <v>⚠ REORDER</v>
      </c>
      <c r="T150" s="13"/>
      <c r="U150" s="13"/>
      <c r="V150" s="13" t="s">
        <v>378</v>
      </c>
      <c r="W150" s="12" t="s">
        <v>379</v>
      </c>
      <c r="X150" s="13"/>
      <c r="Y150" s="13"/>
      <c r="Z150" s="12" t="s">
        <v>88</v>
      </c>
      <c r="AA150" s="12" t="s">
        <v>88</v>
      </c>
      <c r="AB150" s="12" t="s">
        <v>88</v>
      </c>
      <c r="AC150" s="12" t="s">
        <v>88</v>
      </c>
      <c r="AD150" s="12" t="s">
        <v>87</v>
      </c>
      <c r="AE150" s="21" t="n">
        <f aca="false">IFERROR(SUMIFS(Transactions!$F:$F,Transactions!$C:$C,$A150,Transactions!$D:$D,"Sale"),0)</f>
        <v>0</v>
      </c>
      <c r="AF150" s="15" t="n">
        <f aca="false">IFERROR(SUMIFS(Transactions!$H:$H,Transactions!$C:$C,$A150,Transactions!$D:$D,"Sale"),0)</f>
        <v>0</v>
      </c>
      <c r="AG150" s="22" t="str">
        <f aca="false">IFERROR(IF(maxifs(Transactions!$B:$B,Transactions!$C:$C,$A150,Transactions!$D:$D,"Sale")=0,"",maxifs(Transactions!$B:$B,Transactions!$C:$C,$A150,Transactions!$D:$D,"Sale")),"")</f>
        <v/>
      </c>
      <c r="AH150" s="12"/>
    </row>
    <row r="151" customFormat="false" ht="18" hidden="false" customHeight="true" outlineLevel="0" collapsed="false">
      <c r="A151" s="12" t="s">
        <v>529</v>
      </c>
      <c r="B151" s="12" t="s">
        <v>176</v>
      </c>
      <c r="C151" s="12" t="s">
        <v>164</v>
      </c>
      <c r="D151" s="12" t="s">
        <v>165</v>
      </c>
      <c r="E151" s="12" t="s">
        <v>79</v>
      </c>
      <c r="F151" s="12" t="s">
        <v>110</v>
      </c>
      <c r="G151" s="12"/>
      <c r="H151" s="12" t="s">
        <v>381</v>
      </c>
      <c r="I151" s="14" t="n">
        <v>19000</v>
      </c>
      <c r="J151" s="18" t="n">
        <f aca="false">IF($I151="","",ROUND($I151*Dropdowns!$K$5,2))</f>
        <v>49.4</v>
      </c>
      <c r="K151" s="19" t="n">
        <f aca="false">IF($I151="","",ROUND($I151*Dropdowns!$K$6,2))</f>
        <v>45.6</v>
      </c>
      <c r="L151" s="20" t="n">
        <f aca="false">IF($I151="","",ROUND($I151*Dropdowns!$K$7,2))</f>
        <v>3895</v>
      </c>
      <c r="M151" s="15" t="str">
        <f aca="false">IFERROR(IF($B151="","",VLOOKUP($B151,Designs!$A$3:$AP$165,27,FALSE())),"")</f>
        <v/>
      </c>
      <c r="N151" s="16" t="str">
        <f aca="false">IFERROR(IF(OR($I151="",$M151="",$M151=0),"",($I151-$M151)/$I151),"")</f>
        <v/>
      </c>
      <c r="O151" s="13" t="n">
        <v>0</v>
      </c>
      <c r="P151" s="13" t="n">
        <v>0</v>
      </c>
      <c r="Q151" s="21" t="n">
        <f aca="false">IF($O151="","",$O151-IF($P151="",0,$P151))</f>
        <v>0</v>
      </c>
      <c r="R151" s="13" t="n">
        <v>2</v>
      </c>
      <c r="S151" s="21" t="str">
        <f aca="false">IF($O151="","",IF($Q151&lt;=$R151,"⚠ REORDER","OK"))</f>
        <v>⚠ REORDER</v>
      </c>
      <c r="T151" s="13"/>
      <c r="U151" s="13"/>
      <c r="V151" s="13" t="s">
        <v>378</v>
      </c>
      <c r="W151" s="12" t="s">
        <v>379</v>
      </c>
      <c r="X151" s="13"/>
      <c r="Y151" s="13"/>
      <c r="Z151" s="12" t="s">
        <v>88</v>
      </c>
      <c r="AA151" s="12" t="s">
        <v>88</v>
      </c>
      <c r="AB151" s="12" t="s">
        <v>88</v>
      </c>
      <c r="AC151" s="12" t="s">
        <v>88</v>
      </c>
      <c r="AD151" s="12" t="s">
        <v>87</v>
      </c>
      <c r="AE151" s="21" t="n">
        <f aca="false">IFERROR(SUMIFS(Transactions!$F:$F,Transactions!$C:$C,$A151,Transactions!$D:$D,"Sale"),0)</f>
        <v>0</v>
      </c>
      <c r="AF151" s="15" t="n">
        <f aca="false">IFERROR(SUMIFS(Transactions!$H:$H,Transactions!$C:$C,$A151,Transactions!$D:$D,"Sale"),0)</f>
        <v>0</v>
      </c>
      <c r="AG151" s="22" t="str">
        <f aca="false">IFERROR(IF(maxifs(Transactions!$B:$B,Transactions!$C:$C,$A151,Transactions!$D:$D,"Sale")=0,"",maxifs(Transactions!$B:$B,Transactions!$C:$C,$A151,Transactions!$D:$D,"Sale")),"")</f>
        <v/>
      </c>
      <c r="AH151" s="12"/>
    </row>
    <row r="152" customFormat="false" ht="18" hidden="false" customHeight="true" outlineLevel="0" collapsed="false">
      <c r="A152" s="12" t="s">
        <v>530</v>
      </c>
      <c r="B152" s="12" t="s">
        <v>176</v>
      </c>
      <c r="C152" s="12" t="s">
        <v>164</v>
      </c>
      <c r="D152" s="12" t="s">
        <v>165</v>
      </c>
      <c r="E152" s="12" t="s">
        <v>79</v>
      </c>
      <c r="F152" s="12" t="s">
        <v>110</v>
      </c>
      <c r="G152" s="12"/>
      <c r="H152" s="12" t="s">
        <v>383</v>
      </c>
      <c r="I152" s="14" t="n">
        <v>19000</v>
      </c>
      <c r="J152" s="18" t="n">
        <f aca="false">IF($I152="","",ROUND($I152*Dropdowns!$K$5,2))</f>
        <v>49.4</v>
      </c>
      <c r="K152" s="19" t="n">
        <f aca="false">IF($I152="","",ROUND($I152*Dropdowns!$K$6,2))</f>
        <v>45.6</v>
      </c>
      <c r="L152" s="20" t="n">
        <f aca="false">IF($I152="","",ROUND($I152*Dropdowns!$K$7,2))</f>
        <v>3895</v>
      </c>
      <c r="M152" s="15" t="str">
        <f aca="false">IFERROR(IF($B152="","",VLOOKUP($B152,Designs!$A$3:$AP$165,27,FALSE())),"")</f>
        <v/>
      </c>
      <c r="N152" s="16" t="str">
        <f aca="false">IFERROR(IF(OR($I152="",$M152="",$M152=0),"",($I152-$M152)/$I152),"")</f>
        <v/>
      </c>
      <c r="O152" s="13" t="n">
        <v>0</v>
      </c>
      <c r="P152" s="13" t="n">
        <v>0</v>
      </c>
      <c r="Q152" s="21" t="n">
        <f aca="false">IF($O152="","",$O152-IF($P152="",0,$P152))</f>
        <v>0</v>
      </c>
      <c r="R152" s="13" t="n">
        <v>2</v>
      </c>
      <c r="S152" s="21" t="str">
        <f aca="false">IF($O152="","",IF($Q152&lt;=$R152,"⚠ REORDER","OK"))</f>
        <v>⚠ REORDER</v>
      </c>
      <c r="T152" s="13"/>
      <c r="U152" s="13"/>
      <c r="V152" s="13" t="s">
        <v>378</v>
      </c>
      <c r="W152" s="12" t="s">
        <v>379</v>
      </c>
      <c r="X152" s="13"/>
      <c r="Y152" s="13"/>
      <c r="Z152" s="12" t="s">
        <v>88</v>
      </c>
      <c r="AA152" s="12" t="s">
        <v>88</v>
      </c>
      <c r="AB152" s="12" t="s">
        <v>88</v>
      </c>
      <c r="AC152" s="12" t="s">
        <v>88</v>
      </c>
      <c r="AD152" s="12" t="s">
        <v>87</v>
      </c>
      <c r="AE152" s="21" t="n">
        <f aca="false">IFERROR(SUMIFS(Transactions!$F:$F,Transactions!$C:$C,$A152,Transactions!$D:$D,"Sale"),0)</f>
        <v>0</v>
      </c>
      <c r="AF152" s="15" t="n">
        <f aca="false">IFERROR(SUMIFS(Transactions!$H:$H,Transactions!$C:$C,$A152,Transactions!$D:$D,"Sale"),0)</f>
        <v>0</v>
      </c>
      <c r="AG152" s="22" t="str">
        <f aca="false">IFERROR(IF(maxifs(Transactions!$B:$B,Transactions!$C:$C,$A152,Transactions!$D:$D,"Sale")=0,"",maxifs(Transactions!$B:$B,Transactions!$C:$C,$A152,Transactions!$D:$D,"Sale")),"")</f>
        <v/>
      </c>
      <c r="AH152" s="12"/>
    </row>
    <row r="153" customFormat="false" ht="18" hidden="false" customHeight="true" outlineLevel="0" collapsed="false">
      <c r="A153" s="12" t="s">
        <v>531</v>
      </c>
      <c r="B153" s="12" t="s">
        <v>177</v>
      </c>
      <c r="C153" s="12" t="s">
        <v>164</v>
      </c>
      <c r="D153" s="12" t="s">
        <v>165</v>
      </c>
      <c r="E153" s="12" t="s">
        <v>79</v>
      </c>
      <c r="F153" s="12" t="s">
        <v>112</v>
      </c>
      <c r="G153" s="12"/>
      <c r="H153" s="12" t="s">
        <v>377</v>
      </c>
      <c r="I153" s="14" t="n">
        <v>19000</v>
      </c>
      <c r="J153" s="18" t="n">
        <f aca="false">IF($I153="","",ROUND($I153*Dropdowns!$K$5,2))</f>
        <v>49.4</v>
      </c>
      <c r="K153" s="19" t="n">
        <f aca="false">IF($I153="","",ROUND($I153*Dropdowns!$K$6,2))</f>
        <v>45.6</v>
      </c>
      <c r="L153" s="20" t="n">
        <f aca="false">IF($I153="","",ROUND($I153*Dropdowns!$K$7,2))</f>
        <v>3895</v>
      </c>
      <c r="M153" s="15" t="str">
        <f aca="false">IFERROR(IF($B153="","",VLOOKUP($B153,Designs!$A$3:$AP$165,27,FALSE())),"")</f>
        <v/>
      </c>
      <c r="N153" s="16" t="str">
        <f aca="false">IFERROR(IF(OR($I153="",$M153="",$M153=0),"",($I153-$M153)/$I153),"")</f>
        <v/>
      </c>
      <c r="O153" s="13" t="n">
        <v>0</v>
      </c>
      <c r="P153" s="13" t="n">
        <v>0</v>
      </c>
      <c r="Q153" s="21" t="n">
        <f aca="false">IF($O153="","",$O153-IF($P153="",0,$P153))</f>
        <v>0</v>
      </c>
      <c r="R153" s="13" t="n">
        <v>2</v>
      </c>
      <c r="S153" s="21" t="str">
        <f aca="false">IF($O153="","",IF($Q153&lt;=$R153,"⚠ REORDER","OK"))</f>
        <v>⚠ REORDER</v>
      </c>
      <c r="T153" s="13"/>
      <c r="U153" s="13"/>
      <c r="V153" s="13" t="s">
        <v>378</v>
      </c>
      <c r="W153" s="12" t="s">
        <v>379</v>
      </c>
      <c r="X153" s="13"/>
      <c r="Y153" s="13"/>
      <c r="Z153" s="12" t="s">
        <v>88</v>
      </c>
      <c r="AA153" s="12" t="s">
        <v>88</v>
      </c>
      <c r="AB153" s="12" t="s">
        <v>88</v>
      </c>
      <c r="AC153" s="12" t="s">
        <v>88</v>
      </c>
      <c r="AD153" s="12" t="s">
        <v>87</v>
      </c>
      <c r="AE153" s="21" t="n">
        <f aca="false">IFERROR(SUMIFS(Transactions!$F:$F,Transactions!$C:$C,$A153,Transactions!$D:$D,"Sale"),0)</f>
        <v>0</v>
      </c>
      <c r="AF153" s="15" t="n">
        <f aca="false">IFERROR(SUMIFS(Transactions!$H:$H,Transactions!$C:$C,$A153,Transactions!$D:$D,"Sale"),0)</f>
        <v>0</v>
      </c>
      <c r="AG153" s="22" t="str">
        <f aca="false">IFERROR(IF(maxifs(Transactions!$B:$B,Transactions!$C:$C,$A153,Transactions!$D:$D,"Sale")=0,"",maxifs(Transactions!$B:$B,Transactions!$C:$C,$A153,Transactions!$D:$D,"Sale")),"")</f>
        <v/>
      </c>
      <c r="AH153" s="12"/>
    </row>
    <row r="154" customFormat="false" ht="18" hidden="false" customHeight="true" outlineLevel="0" collapsed="false">
      <c r="A154" s="12" t="s">
        <v>532</v>
      </c>
      <c r="B154" s="12" t="s">
        <v>177</v>
      </c>
      <c r="C154" s="12" t="s">
        <v>164</v>
      </c>
      <c r="D154" s="12" t="s">
        <v>165</v>
      </c>
      <c r="E154" s="12" t="s">
        <v>79</v>
      </c>
      <c r="F154" s="12" t="s">
        <v>112</v>
      </c>
      <c r="G154" s="12"/>
      <c r="H154" s="12" t="s">
        <v>381</v>
      </c>
      <c r="I154" s="14" t="n">
        <v>19000</v>
      </c>
      <c r="J154" s="18" t="n">
        <f aca="false">IF($I154="","",ROUND($I154*Dropdowns!$K$5,2))</f>
        <v>49.4</v>
      </c>
      <c r="K154" s="19" t="n">
        <f aca="false">IF($I154="","",ROUND($I154*Dropdowns!$K$6,2))</f>
        <v>45.6</v>
      </c>
      <c r="L154" s="20" t="n">
        <f aca="false">IF($I154="","",ROUND($I154*Dropdowns!$K$7,2))</f>
        <v>3895</v>
      </c>
      <c r="M154" s="15" t="str">
        <f aca="false">IFERROR(IF($B154="","",VLOOKUP($B154,Designs!$A$3:$AP$165,27,FALSE())),"")</f>
        <v/>
      </c>
      <c r="N154" s="16" t="str">
        <f aca="false">IFERROR(IF(OR($I154="",$M154="",$M154=0),"",($I154-$M154)/$I154),"")</f>
        <v/>
      </c>
      <c r="O154" s="13" t="n">
        <v>0</v>
      </c>
      <c r="P154" s="13" t="n">
        <v>0</v>
      </c>
      <c r="Q154" s="21" t="n">
        <f aca="false">IF($O154="","",$O154-IF($P154="",0,$P154))</f>
        <v>0</v>
      </c>
      <c r="R154" s="13" t="n">
        <v>2</v>
      </c>
      <c r="S154" s="21" t="str">
        <f aca="false">IF($O154="","",IF($Q154&lt;=$R154,"⚠ REORDER","OK"))</f>
        <v>⚠ REORDER</v>
      </c>
      <c r="T154" s="13"/>
      <c r="U154" s="13"/>
      <c r="V154" s="13" t="s">
        <v>378</v>
      </c>
      <c r="W154" s="12" t="s">
        <v>379</v>
      </c>
      <c r="X154" s="13"/>
      <c r="Y154" s="13"/>
      <c r="Z154" s="12" t="s">
        <v>88</v>
      </c>
      <c r="AA154" s="12" t="s">
        <v>88</v>
      </c>
      <c r="AB154" s="12" t="s">
        <v>88</v>
      </c>
      <c r="AC154" s="12" t="s">
        <v>88</v>
      </c>
      <c r="AD154" s="12" t="s">
        <v>87</v>
      </c>
      <c r="AE154" s="21" t="n">
        <f aca="false">IFERROR(SUMIFS(Transactions!$F:$F,Transactions!$C:$C,$A154,Transactions!$D:$D,"Sale"),0)</f>
        <v>0</v>
      </c>
      <c r="AF154" s="15" t="n">
        <f aca="false">IFERROR(SUMIFS(Transactions!$H:$H,Transactions!$C:$C,$A154,Transactions!$D:$D,"Sale"),0)</f>
        <v>0</v>
      </c>
      <c r="AG154" s="22" t="str">
        <f aca="false">IFERROR(IF(maxifs(Transactions!$B:$B,Transactions!$C:$C,$A154,Transactions!$D:$D,"Sale")=0,"",maxifs(Transactions!$B:$B,Transactions!$C:$C,$A154,Transactions!$D:$D,"Sale")),"")</f>
        <v/>
      </c>
      <c r="AH154" s="12"/>
    </row>
    <row r="155" customFormat="false" ht="18" hidden="false" customHeight="true" outlineLevel="0" collapsed="false">
      <c r="A155" s="12" t="s">
        <v>533</v>
      </c>
      <c r="B155" s="12" t="s">
        <v>177</v>
      </c>
      <c r="C155" s="12" t="s">
        <v>164</v>
      </c>
      <c r="D155" s="12" t="s">
        <v>165</v>
      </c>
      <c r="E155" s="12" t="s">
        <v>79</v>
      </c>
      <c r="F155" s="12" t="s">
        <v>112</v>
      </c>
      <c r="G155" s="12"/>
      <c r="H155" s="12" t="s">
        <v>383</v>
      </c>
      <c r="I155" s="14" t="n">
        <v>19000</v>
      </c>
      <c r="J155" s="18" t="n">
        <f aca="false">IF($I155="","",ROUND($I155*Dropdowns!$K$5,2))</f>
        <v>49.4</v>
      </c>
      <c r="K155" s="19" t="n">
        <f aca="false">IF($I155="","",ROUND($I155*Dropdowns!$K$6,2))</f>
        <v>45.6</v>
      </c>
      <c r="L155" s="20" t="n">
        <f aca="false">IF($I155="","",ROUND($I155*Dropdowns!$K$7,2))</f>
        <v>3895</v>
      </c>
      <c r="M155" s="15" t="str">
        <f aca="false">IFERROR(IF($B155="","",VLOOKUP($B155,Designs!$A$3:$AP$165,27,FALSE())),"")</f>
        <v/>
      </c>
      <c r="N155" s="16" t="str">
        <f aca="false">IFERROR(IF(OR($I155="",$M155="",$M155=0),"",($I155-$M155)/$I155),"")</f>
        <v/>
      </c>
      <c r="O155" s="13" t="n">
        <v>0</v>
      </c>
      <c r="P155" s="13" t="n">
        <v>0</v>
      </c>
      <c r="Q155" s="21" t="n">
        <f aca="false">IF($O155="","",$O155-IF($P155="",0,$P155))</f>
        <v>0</v>
      </c>
      <c r="R155" s="13" t="n">
        <v>2</v>
      </c>
      <c r="S155" s="21" t="str">
        <f aca="false">IF($O155="","",IF($Q155&lt;=$R155,"⚠ REORDER","OK"))</f>
        <v>⚠ REORDER</v>
      </c>
      <c r="T155" s="13"/>
      <c r="U155" s="13"/>
      <c r="V155" s="13" t="s">
        <v>378</v>
      </c>
      <c r="W155" s="12" t="s">
        <v>379</v>
      </c>
      <c r="X155" s="13"/>
      <c r="Y155" s="13"/>
      <c r="Z155" s="12" t="s">
        <v>88</v>
      </c>
      <c r="AA155" s="12" t="s">
        <v>88</v>
      </c>
      <c r="AB155" s="12" t="s">
        <v>88</v>
      </c>
      <c r="AC155" s="12" t="s">
        <v>88</v>
      </c>
      <c r="AD155" s="12" t="s">
        <v>87</v>
      </c>
      <c r="AE155" s="21" t="n">
        <f aca="false">IFERROR(SUMIFS(Transactions!$F:$F,Transactions!$C:$C,$A155,Transactions!$D:$D,"Sale"),0)</f>
        <v>0</v>
      </c>
      <c r="AF155" s="15" t="n">
        <f aca="false">IFERROR(SUMIFS(Transactions!$H:$H,Transactions!$C:$C,$A155,Transactions!$D:$D,"Sale"),0)</f>
        <v>0</v>
      </c>
      <c r="AG155" s="22" t="str">
        <f aca="false">IFERROR(IF(maxifs(Transactions!$B:$B,Transactions!$C:$C,$A155,Transactions!$D:$D,"Sale")=0,"",maxifs(Transactions!$B:$B,Transactions!$C:$C,$A155,Transactions!$D:$D,"Sale")),"")</f>
        <v/>
      </c>
      <c r="AH155" s="12"/>
    </row>
    <row r="156" customFormat="false" ht="18" hidden="false" customHeight="true" outlineLevel="0" collapsed="false">
      <c r="A156" s="12" t="s">
        <v>534</v>
      </c>
      <c r="B156" s="12" t="s">
        <v>178</v>
      </c>
      <c r="C156" s="12" t="s">
        <v>164</v>
      </c>
      <c r="D156" s="12" t="s">
        <v>165</v>
      </c>
      <c r="E156" s="12" t="s">
        <v>79</v>
      </c>
      <c r="F156" s="12" t="s">
        <v>114</v>
      </c>
      <c r="G156" s="12"/>
      <c r="H156" s="12" t="s">
        <v>377</v>
      </c>
      <c r="I156" s="14" t="n">
        <v>19000</v>
      </c>
      <c r="J156" s="18" t="n">
        <f aca="false">IF($I156="","",ROUND($I156*Dropdowns!$K$5,2))</f>
        <v>49.4</v>
      </c>
      <c r="K156" s="19" t="n">
        <f aca="false">IF($I156="","",ROUND($I156*Dropdowns!$K$6,2))</f>
        <v>45.6</v>
      </c>
      <c r="L156" s="20" t="n">
        <f aca="false">IF($I156="","",ROUND($I156*Dropdowns!$K$7,2))</f>
        <v>3895</v>
      </c>
      <c r="M156" s="15" t="str">
        <f aca="false">IFERROR(IF($B156="","",VLOOKUP($B156,Designs!$A$3:$AP$165,27,FALSE())),"")</f>
        <v/>
      </c>
      <c r="N156" s="16" t="str">
        <f aca="false">IFERROR(IF(OR($I156="",$M156="",$M156=0),"",($I156-$M156)/$I156),"")</f>
        <v/>
      </c>
      <c r="O156" s="13" t="n">
        <v>0</v>
      </c>
      <c r="P156" s="13" t="n">
        <v>0</v>
      </c>
      <c r="Q156" s="21" t="n">
        <f aca="false">IF($O156="","",$O156-IF($P156="",0,$P156))</f>
        <v>0</v>
      </c>
      <c r="R156" s="13" t="n">
        <v>2</v>
      </c>
      <c r="S156" s="21" t="str">
        <f aca="false">IF($O156="","",IF($Q156&lt;=$R156,"⚠ REORDER","OK"))</f>
        <v>⚠ REORDER</v>
      </c>
      <c r="T156" s="13"/>
      <c r="U156" s="13"/>
      <c r="V156" s="13" t="s">
        <v>378</v>
      </c>
      <c r="W156" s="12" t="s">
        <v>379</v>
      </c>
      <c r="X156" s="13"/>
      <c r="Y156" s="13"/>
      <c r="Z156" s="12" t="s">
        <v>88</v>
      </c>
      <c r="AA156" s="12" t="s">
        <v>88</v>
      </c>
      <c r="AB156" s="12" t="s">
        <v>88</v>
      </c>
      <c r="AC156" s="12" t="s">
        <v>88</v>
      </c>
      <c r="AD156" s="12" t="s">
        <v>87</v>
      </c>
      <c r="AE156" s="21" t="n">
        <f aca="false">IFERROR(SUMIFS(Transactions!$F:$F,Transactions!$C:$C,$A156,Transactions!$D:$D,"Sale"),0)</f>
        <v>0</v>
      </c>
      <c r="AF156" s="15" t="n">
        <f aca="false">IFERROR(SUMIFS(Transactions!$H:$H,Transactions!$C:$C,$A156,Transactions!$D:$D,"Sale"),0)</f>
        <v>0</v>
      </c>
      <c r="AG156" s="22" t="str">
        <f aca="false">IFERROR(IF(maxifs(Transactions!$B:$B,Transactions!$C:$C,$A156,Transactions!$D:$D,"Sale")=0,"",maxifs(Transactions!$B:$B,Transactions!$C:$C,$A156,Transactions!$D:$D,"Sale")),"")</f>
        <v/>
      </c>
      <c r="AH156" s="12"/>
    </row>
    <row r="157" customFormat="false" ht="18" hidden="false" customHeight="true" outlineLevel="0" collapsed="false">
      <c r="A157" s="12" t="s">
        <v>535</v>
      </c>
      <c r="B157" s="12" t="s">
        <v>178</v>
      </c>
      <c r="C157" s="12" t="s">
        <v>164</v>
      </c>
      <c r="D157" s="12" t="s">
        <v>165</v>
      </c>
      <c r="E157" s="12" t="s">
        <v>79</v>
      </c>
      <c r="F157" s="12" t="s">
        <v>114</v>
      </c>
      <c r="G157" s="12"/>
      <c r="H157" s="12" t="s">
        <v>381</v>
      </c>
      <c r="I157" s="14" t="n">
        <v>19000</v>
      </c>
      <c r="J157" s="18" t="n">
        <f aca="false">IF($I157="","",ROUND($I157*Dropdowns!$K$5,2))</f>
        <v>49.4</v>
      </c>
      <c r="K157" s="19" t="n">
        <f aca="false">IF($I157="","",ROUND($I157*Dropdowns!$K$6,2))</f>
        <v>45.6</v>
      </c>
      <c r="L157" s="20" t="n">
        <f aca="false">IF($I157="","",ROUND($I157*Dropdowns!$K$7,2))</f>
        <v>3895</v>
      </c>
      <c r="M157" s="15" t="str">
        <f aca="false">IFERROR(IF($B157="","",VLOOKUP($B157,Designs!$A$3:$AP$165,27,FALSE())),"")</f>
        <v/>
      </c>
      <c r="N157" s="16" t="str">
        <f aca="false">IFERROR(IF(OR($I157="",$M157="",$M157=0),"",($I157-$M157)/$I157),"")</f>
        <v/>
      </c>
      <c r="O157" s="13" t="n">
        <v>0</v>
      </c>
      <c r="P157" s="13" t="n">
        <v>0</v>
      </c>
      <c r="Q157" s="21" t="n">
        <f aca="false">IF($O157="","",$O157-IF($P157="",0,$P157))</f>
        <v>0</v>
      </c>
      <c r="R157" s="13" t="n">
        <v>2</v>
      </c>
      <c r="S157" s="21" t="str">
        <f aca="false">IF($O157="","",IF($Q157&lt;=$R157,"⚠ REORDER","OK"))</f>
        <v>⚠ REORDER</v>
      </c>
      <c r="T157" s="13"/>
      <c r="U157" s="13"/>
      <c r="V157" s="13" t="s">
        <v>378</v>
      </c>
      <c r="W157" s="12" t="s">
        <v>379</v>
      </c>
      <c r="X157" s="13"/>
      <c r="Y157" s="13"/>
      <c r="Z157" s="12" t="s">
        <v>88</v>
      </c>
      <c r="AA157" s="12" t="s">
        <v>88</v>
      </c>
      <c r="AB157" s="12" t="s">
        <v>88</v>
      </c>
      <c r="AC157" s="12" t="s">
        <v>88</v>
      </c>
      <c r="AD157" s="12" t="s">
        <v>87</v>
      </c>
      <c r="AE157" s="21" t="n">
        <f aca="false">IFERROR(SUMIFS(Transactions!$F:$F,Transactions!$C:$C,$A157,Transactions!$D:$D,"Sale"),0)</f>
        <v>0</v>
      </c>
      <c r="AF157" s="15" t="n">
        <f aca="false">IFERROR(SUMIFS(Transactions!$H:$H,Transactions!$C:$C,$A157,Transactions!$D:$D,"Sale"),0)</f>
        <v>0</v>
      </c>
      <c r="AG157" s="22" t="str">
        <f aca="false">IFERROR(IF(maxifs(Transactions!$B:$B,Transactions!$C:$C,$A157,Transactions!$D:$D,"Sale")=0,"",maxifs(Transactions!$B:$B,Transactions!$C:$C,$A157,Transactions!$D:$D,"Sale")),"")</f>
        <v/>
      </c>
      <c r="AH157" s="12"/>
    </row>
    <row r="158" customFormat="false" ht="18" hidden="false" customHeight="true" outlineLevel="0" collapsed="false">
      <c r="A158" s="12" t="s">
        <v>536</v>
      </c>
      <c r="B158" s="12" t="s">
        <v>178</v>
      </c>
      <c r="C158" s="12" t="s">
        <v>164</v>
      </c>
      <c r="D158" s="12" t="s">
        <v>165</v>
      </c>
      <c r="E158" s="12" t="s">
        <v>79</v>
      </c>
      <c r="F158" s="12" t="s">
        <v>114</v>
      </c>
      <c r="G158" s="12"/>
      <c r="H158" s="12" t="s">
        <v>383</v>
      </c>
      <c r="I158" s="14" t="n">
        <v>19000</v>
      </c>
      <c r="J158" s="18" t="n">
        <f aca="false">IF($I158="","",ROUND($I158*Dropdowns!$K$5,2))</f>
        <v>49.4</v>
      </c>
      <c r="K158" s="19" t="n">
        <f aca="false">IF($I158="","",ROUND($I158*Dropdowns!$K$6,2))</f>
        <v>45.6</v>
      </c>
      <c r="L158" s="20" t="n">
        <f aca="false">IF($I158="","",ROUND($I158*Dropdowns!$K$7,2))</f>
        <v>3895</v>
      </c>
      <c r="M158" s="15" t="str">
        <f aca="false">IFERROR(IF($B158="","",VLOOKUP($B158,Designs!$A$3:$AP$165,27,FALSE())),"")</f>
        <v/>
      </c>
      <c r="N158" s="16" t="str">
        <f aca="false">IFERROR(IF(OR($I158="",$M158="",$M158=0),"",($I158-$M158)/$I158),"")</f>
        <v/>
      </c>
      <c r="O158" s="13" t="n">
        <v>0</v>
      </c>
      <c r="P158" s="13" t="n">
        <v>0</v>
      </c>
      <c r="Q158" s="21" t="n">
        <f aca="false">IF($O158="","",$O158-IF($P158="",0,$P158))</f>
        <v>0</v>
      </c>
      <c r="R158" s="13" t="n">
        <v>2</v>
      </c>
      <c r="S158" s="21" t="str">
        <f aca="false">IF($O158="","",IF($Q158&lt;=$R158,"⚠ REORDER","OK"))</f>
        <v>⚠ REORDER</v>
      </c>
      <c r="T158" s="13"/>
      <c r="U158" s="13"/>
      <c r="V158" s="13" t="s">
        <v>378</v>
      </c>
      <c r="W158" s="12" t="s">
        <v>379</v>
      </c>
      <c r="X158" s="13"/>
      <c r="Y158" s="13"/>
      <c r="Z158" s="12" t="s">
        <v>88</v>
      </c>
      <c r="AA158" s="12" t="s">
        <v>88</v>
      </c>
      <c r="AB158" s="12" t="s">
        <v>88</v>
      </c>
      <c r="AC158" s="12" t="s">
        <v>88</v>
      </c>
      <c r="AD158" s="12" t="s">
        <v>87</v>
      </c>
      <c r="AE158" s="21" t="n">
        <f aca="false">IFERROR(SUMIFS(Transactions!$F:$F,Transactions!$C:$C,$A158,Transactions!$D:$D,"Sale"),0)</f>
        <v>0</v>
      </c>
      <c r="AF158" s="15" t="n">
        <f aca="false">IFERROR(SUMIFS(Transactions!$H:$H,Transactions!$C:$C,$A158,Transactions!$D:$D,"Sale"),0)</f>
        <v>0</v>
      </c>
      <c r="AG158" s="22" t="str">
        <f aca="false">IFERROR(IF(maxifs(Transactions!$B:$B,Transactions!$C:$C,$A158,Transactions!$D:$D,"Sale")=0,"",maxifs(Transactions!$B:$B,Transactions!$C:$C,$A158,Transactions!$D:$D,"Sale")),"")</f>
        <v/>
      </c>
      <c r="AH158" s="12"/>
    </row>
    <row r="159" customFormat="false" ht="18" hidden="false" customHeight="true" outlineLevel="0" collapsed="false">
      <c r="A159" s="12" t="s">
        <v>537</v>
      </c>
      <c r="B159" s="12" t="s">
        <v>179</v>
      </c>
      <c r="C159" s="12" t="s">
        <v>164</v>
      </c>
      <c r="D159" s="12" t="s">
        <v>165</v>
      </c>
      <c r="E159" s="12" t="s">
        <v>79</v>
      </c>
      <c r="F159" s="12" t="s">
        <v>116</v>
      </c>
      <c r="G159" s="12"/>
      <c r="H159" s="12" t="s">
        <v>377</v>
      </c>
      <c r="I159" s="14" t="n">
        <v>19000</v>
      </c>
      <c r="J159" s="18" t="n">
        <f aca="false">IF($I159="","",ROUND($I159*Dropdowns!$K$5,2))</f>
        <v>49.4</v>
      </c>
      <c r="K159" s="19" t="n">
        <f aca="false">IF($I159="","",ROUND($I159*Dropdowns!$K$6,2))</f>
        <v>45.6</v>
      </c>
      <c r="L159" s="20" t="n">
        <f aca="false">IF($I159="","",ROUND($I159*Dropdowns!$K$7,2))</f>
        <v>3895</v>
      </c>
      <c r="M159" s="15" t="str">
        <f aca="false">IFERROR(IF($B159="","",VLOOKUP($B159,Designs!$A$3:$AP$165,27,FALSE())),"")</f>
        <v/>
      </c>
      <c r="N159" s="16" t="str">
        <f aca="false">IFERROR(IF(OR($I159="",$M159="",$M159=0),"",($I159-$M159)/$I159),"")</f>
        <v/>
      </c>
      <c r="O159" s="13" t="n">
        <v>0</v>
      </c>
      <c r="P159" s="13" t="n">
        <v>0</v>
      </c>
      <c r="Q159" s="21" t="n">
        <f aca="false">IF($O159="","",$O159-IF($P159="",0,$P159))</f>
        <v>0</v>
      </c>
      <c r="R159" s="13" t="n">
        <v>2</v>
      </c>
      <c r="S159" s="21" t="str">
        <f aca="false">IF($O159="","",IF($Q159&lt;=$R159,"⚠ REORDER","OK"))</f>
        <v>⚠ REORDER</v>
      </c>
      <c r="T159" s="13"/>
      <c r="U159" s="13"/>
      <c r="V159" s="13" t="s">
        <v>378</v>
      </c>
      <c r="W159" s="12" t="s">
        <v>379</v>
      </c>
      <c r="X159" s="13"/>
      <c r="Y159" s="13"/>
      <c r="Z159" s="12" t="s">
        <v>88</v>
      </c>
      <c r="AA159" s="12" t="s">
        <v>88</v>
      </c>
      <c r="AB159" s="12" t="s">
        <v>88</v>
      </c>
      <c r="AC159" s="12" t="s">
        <v>88</v>
      </c>
      <c r="AD159" s="12" t="s">
        <v>87</v>
      </c>
      <c r="AE159" s="21" t="n">
        <f aca="false">IFERROR(SUMIFS(Transactions!$F:$F,Transactions!$C:$C,$A159,Transactions!$D:$D,"Sale"),0)</f>
        <v>0</v>
      </c>
      <c r="AF159" s="15" t="n">
        <f aca="false">IFERROR(SUMIFS(Transactions!$H:$H,Transactions!$C:$C,$A159,Transactions!$D:$D,"Sale"),0)</f>
        <v>0</v>
      </c>
      <c r="AG159" s="22" t="str">
        <f aca="false">IFERROR(IF(maxifs(Transactions!$B:$B,Transactions!$C:$C,$A159,Transactions!$D:$D,"Sale")=0,"",maxifs(Transactions!$B:$B,Transactions!$C:$C,$A159,Transactions!$D:$D,"Sale")),"")</f>
        <v/>
      </c>
      <c r="AH159" s="12"/>
    </row>
    <row r="160" customFormat="false" ht="18" hidden="false" customHeight="true" outlineLevel="0" collapsed="false">
      <c r="A160" s="12" t="s">
        <v>538</v>
      </c>
      <c r="B160" s="12" t="s">
        <v>179</v>
      </c>
      <c r="C160" s="12" t="s">
        <v>164</v>
      </c>
      <c r="D160" s="12" t="s">
        <v>165</v>
      </c>
      <c r="E160" s="12" t="s">
        <v>79</v>
      </c>
      <c r="F160" s="12" t="s">
        <v>116</v>
      </c>
      <c r="G160" s="12"/>
      <c r="H160" s="12" t="s">
        <v>381</v>
      </c>
      <c r="I160" s="14" t="n">
        <v>19000</v>
      </c>
      <c r="J160" s="18" t="n">
        <f aca="false">IF($I160="","",ROUND($I160*Dropdowns!$K$5,2))</f>
        <v>49.4</v>
      </c>
      <c r="K160" s="19" t="n">
        <f aca="false">IF($I160="","",ROUND($I160*Dropdowns!$K$6,2))</f>
        <v>45.6</v>
      </c>
      <c r="L160" s="20" t="n">
        <f aca="false">IF($I160="","",ROUND($I160*Dropdowns!$K$7,2))</f>
        <v>3895</v>
      </c>
      <c r="M160" s="15" t="str">
        <f aca="false">IFERROR(IF($B160="","",VLOOKUP($B160,Designs!$A$3:$AP$165,27,FALSE())),"")</f>
        <v/>
      </c>
      <c r="N160" s="16" t="str">
        <f aca="false">IFERROR(IF(OR($I160="",$M160="",$M160=0),"",($I160-$M160)/$I160),"")</f>
        <v/>
      </c>
      <c r="O160" s="13" t="n">
        <v>0</v>
      </c>
      <c r="P160" s="13" t="n">
        <v>0</v>
      </c>
      <c r="Q160" s="21" t="n">
        <f aca="false">IF($O160="","",$O160-IF($P160="",0,$P160))</f>
        <v>0</v>
      </c>
      <c r="R160" s="13" t="n">
        <v>2</v>
      </c>
      <c r="S160" s="21" t="str">
        <f aca="false">IF($O160="","",IF($Q160&lt;=$R160,"⚠ REORDER","OK"))</f>
        <v>⚠ REORDER</v>
      </c>
      <c r="T160" s="13"/>
      <c r="U160" s="13"/>
      <c r="V160" s="13" t="s">
        <v>378</v>
      </c>
      <c r="W160" s="12" t="s">
        <v>379</v>
      </c>
      <c r="X160" s="13"/>
      <c r="Y160" s="13"/>
      <c r="Z160" s="12" t="s">
        <v>88</v>
      </c>
      <c r="AA160" s="12" t="s">
        <v>88</v>
      </c>
      <c r="AB160" s="12" t="s">
        <v>88</v>
      </c>
      <c r="AC160" s="12" t="s">
        <v>88</v>
      </c>
      <c r="AD160" s="12" t="s">
        <v>87</v>
      </c>
      <c r="AE160" s="21" t="n">
        <f aca="false">IFERROR(SUMIFS(Transactions!$F:$F,Transactions!$C:$C,$A160,Transactions!$D:$D,"Sale"),0)</f>
        <v>0</v>
      </c>
      <c r="AF160" s="15" t="n">
        <f aca="false">IFERROR(SUMIFS(Transactions!$H:$H,Transactions!$C:$C,$A160,Transactions!$D:$D,"Sale"),0)</f>
        <v>0</v>
      </c>
      <c r="AG160" s="22" t="str">
        <f aca="false">IFERROR(IF(maxifs(Transactions!$B:$B,Transactions!$C:$C,$A160,Transactions!$D:$D,"Sale")=0,"",maxifs(Transactions!$B:$B,Transactions!$C:$C,$A160,Transactions!$D:$D,"Sale")),"")</f>
        <v/>
      </c>
      <c r="AH160" s="12"/>
    </row>
    <row r="161" customFormat="false" ht="18" hidden="false" customHeight="true" outlineLevel="0" collapsed="false">
      <c r="A161" s="12" t="s">
        <v>539</v>
      </c>
      <c r="B161" s="12" t="s">
        <v>179</v>
      </c>
      <c r="C161" s="12" t="s">
        <v>164</v>
      </c>
      <c r="D161" s="12" t="s">
        <v>165</v>
      </c>
      <c r="E161" s="12" t="s">
        <v>79</v>
      </c>
      <c r="F161" s="12" t="s">
        <v>116</v>
      </c>
      <c r="G161" s="12"/>
      <c r="H161" s="12" t="s">
        <v>383</v>
      </c>
      <c r="I161" s="14" t="n">
        <v>19000</v>
      </c>
      <c r="J161" s="18" t="n">
        <f aca="false">IF($I161="","",ROUND($I161*Dropdowns!$K$5,2))</f>
        <v>49.4</v>
      </c>
      <c r="K161" s="19" t="n">
        <f aca="false">IF($I161="","",ROUND($I161*Dropdowns!$K$6,2))</f>
        <v>45.6</v>
      </c>
      <c r="L161" s="20" t="n">
        <f aca="false">IF($I161="","",ROUND($I161*Dropdowns!$K$7,2))</f>
        <v>3895</v>
      </c>
      <c r="M161" s="15" t="str">
        <f aca="false">IFERROR(IF($B161="","",VLOOKUP($B161,Designs!$A$3:$AP$165,27,FALSE())),"")</f>
        <v/>
      </c>
      <c r="N161" s="16" t="str">
        <f aca="false">IFERROR(IF(OR($I161="",$M161="",$M161=0),"",($I161-$M161)/$I161),"")</f>
        <v/>
      </c>
      <c r="O161" s="13" t="n">
        <v>0</v>
      </c>
      <c r="P161" s="13" t="n">
        <v>0</v>
      </c>
      <c r="Q161" s="21" t="n">
        <f aca="false">IF($O161="","",$O161-IF($P161="",0,$P161))</f>
        <v>0</v>
      </c>
      <c r="R161" s="13" t="n">
        <v>2</v>
      </c>
      <c r="S161" s="21" t="str">
        <f aca="false">IF($O161="","",IF($Q161&lt;=$R161,"⚠ REORDER","OK"))</f>
        <v>⚠ REORDER</v>
      </c>
      <c r="T161" s="13"/>
      <c r="U161" s="13"/>
      <c r="V161" s="13" t="s">
        <v>378</v>
      </c>
      <c r="W161" s="12" t="s">
        <v>379</v>
      </c>
      <c r="X161" s="13"/>
      <c r="Y161" s="13"/>
      <c r="Z161" s="12" t="s">
        <v>88</v>
      </c>
      <c r="AA161" s="12" t="s">
        <v>88</v>
      </c>
      <c r="AB161" s="12" t="s">
        <v>88</v>
      </c>
      <c r="AC161" s="12" t="s">
        <v>88</v>
      </c>
      <c r="AD161" s="12" t="s">
        <v>87</v>
      </c>
      <c r="AE161" s="21" t="n">
        <f aca="false">IFERROR(SUMIFS(Transactions!$F:$F,Transactions!$C:$C,$A161,Transactions!$D:$D,"Sale"),0)</f>
        <v>0</v>
      </c>
      <c r="AF161" s="15" t="n">
        <f aca="false">IFERROR(SUMIFS(Transactions!$H:$H,Transactions!$C:$C,$A161,Transactions!$D:$D,"Sale"),0)</f>
        <v>0</v>
      </c>
      <c r="AG161" s="22" t="str">
        <f aca="false">IFERROR(IF(maxifs(Transactions!$B:$B,Transactions!$C:$C,$A161,Transactions!$D:$D,"Sale")=0,"",maxifs(Transactions!$B:$B,Transactions!$C:$C,$A161,Transactions!$D:$D,"Sale")),"")</f>
        <v/>
      </c>
      <c r="AH161" s="12"/>
    </row>
    <row r="162" customFormat="false" ht="18" hidden="false" customHeight="true" outlineLevel="0" collapsed="false">
      <c r="A162" s="12" t="s">
        <v>540</v>
      </c>
      <c r="B162" s="12" t="s">
        <v>180</v>
      </c>
      <c r="C162" s="12" t="s">
        <v>164</v>
      </c>
      <c r="D162" s="12" t="s">
        <v>165</v>
      </c>
      <c r="E162" s="12" t="s">
        <v>79</v>
      </c>
      <c r="F162" s="12" t="s">
        <v>118</v>
      </c>
      <c r="G162" s="12"/>
      <c r="H162" s="12" t="s">
        <v>377</v>
      </c>
      <c r="I162" s="14" t="n">
        <v>19000</v>
      </c>
      <c r="J162" s="18" t="n">
        <f aca="false">IF($I162="","",ROUND($I162*Dropdowns!$K$5,2))</f>
        <v>49.4</v>
      </c>
      <c r="K162" s="19" t="n">
        <f aca="false">IF($I162="","",ROUND($I162*Dropdowns!$K$6,2))</f>
        <v>45.6</v>
      </c>
      <c r="L162" s="20" t="n">
        <f aca="false">IF($I162="","",ROUND($I162*Dropdowns!$K$7,2))</f>
        <v>3895</v>
      </c>
      <c r="M162" s="15" t="str">
        <f aca="false">IFERROR(IF($B162="","",VLOOKUP($B162,Designs!$A$3:$AP$165,27,FALSE())),"")</f>
        <v/>
      </c>
      <c r="N162" s="16" t="str">
        <f aca="false">IFERROR(IF(OR($I162="",$M162="",$M162=0),"",($I162-$M162)/$I162),"")</f>
        <v/>
      </c>
      <c r="O162" s="13" t="n">
        <v>0</v>
      </c>
      <c r="P162" s="13" t="n">
        <v>0</v>
      </c>
      <c r="Q162" s="21" t="n">
        <f aca="false">IF($O162="","",$O162-IF($P162="",0,$P162))</f>
        <v>0</v>
      </c>
      <c r="R162" s="13" t="n">
        <v>2</v>
      </c>
      <c r="S162" s="21" t="str">
        <f aca="false">IF($O162="","",IF($Q162&lt;=$R162,"⚠ REORDER","OK"))</f>
        <v>⚠ REORDER</v>
      </c>
      <c r="T162" s="13"/>
      <c r="U162" s="13"/>
      <c r="V162" s="13" t="s">
        <v>378</v>
      </c>
      <c r="W162" s="12" t="s">
        <v>379</v>
      </c>
      <c r="X162" s="13"/>
      <c r="Y162" s="13"/>
      <c r="Z162" s="12" t="s">
        <v>88</v>
      </c>
      <c r="AA162" s="12" t="s">
        <v>88</v>
      </c>
      <c r="AB162" s="12" t="s">
        <v>88</v>
      </c>
      <c r="AC162" s="12" t="s">
        <v>88</v>
      </c>
      <c r="AD162" s="12" t="s">
        <v>87</v>
      </c>
      <c r="AE162" s="21" t="n">
        <f aca="false">IFERROR(SUMIFS(Transactions!$F:$F,Transactions!$C:$C,$A162,Transactions!$D:$D,"Sale"),0)</f>
        <v>0</v>
      </c>
      <c r="AF162" s="15" t="n">
        <f aca="false">IFERROR(SUMIFS(Transactions!$H:$H,Transactions!$C:$C,$A162,Transactions!$D:$D,"Sale"),0)</f>
        <v>0</v>
      </c>
      <c r="AG162" s="22" t="str">
        <f aca="false">IFERROR(IF(maxifs(Transactions!$B:$B,Transactions!$C:$C,$A162,Transactions!$D:$D,"Sale")=0,"",maxifs(Transactions!$B:$B,Transactions!$C:$C,$A162,Transactions!$D:$D,"Sale")),"")</f>
        <v/>
      </c>
      <c r="AH162" s="12"/>
    </row>
    <row r="163" customFormat="false" ht="18" hidden="false" customHeight="true" outlineLevel="0" collapsed="false">
      <c r="A163" s="12" t="s">
        <v>541</v>
      </c>
      <c r="B163" s="12" t="s">
        <v>180</v>
      </c>
      <c r="C163" s="12" t="s">
        <v>164</v>
      </c>
      <c r="D163" s="12" t="s">
        <v>165</v>
      </c>
      <c r="E163" s="12" t="s">
        <v>79</v>
      </c>
      <c r="F163" s="12" t="s">
        <v>118</v>
      </c>
      <c r="G163" s="12"/>
      <c r="H163" s="12" t="s">
        <v>381</v>
      </c>
      <c r="I163" s="14" t="n">
        <v>19000</v>
      </c>
      <c r="J163" s="18" t="n">
        <f aca="false">IF($I163="","",ROUND($I163*Dropdowns!$K$5,2))</f>
        <v>49.4</v>
      </c>
      <c r="K163" s="19" t="n">
        <f aca="false">IF($I163="","",ROUND($I163*Dropdowns!$K$6,2))</f>
        <v>45.6</v>
      </c>
      <c r="L163" s="20" t="n">
        <f aca="false">IF($I163="","",ROUND($I163*Dropdowns!$K$7,2))</f>
        <v>3895</v>
      </c>
      <c r="M163" s="15" t="str">
        <f aca="false">IFERROR(IF($B163="","",VLOOKUP($B163,Designs!$A$3:$AP$165,27,FALSE())),"")</f>
        <v/>
      </c>
      <c r="N163" s="16" t="str">
        <f aca="false">IFERROR(IF(OR($I163="",$M163="",$M163=0),"",($I163-$M163)/$I163),"")</f>
        <v/>
      </c>
      <c r="O163" s="13" t="n">
        <v>0</v>
      </c>
      <c r="P163" s="13" t="n">
        <v>0</v>
      </c>
      <c r="Q163" s="21" t="n">
        <f aca="false">IF($O163="","",$O163-IF($P163="",0,$P163))</f>
        <v>0</v>
      </c>
      <c r="R163" s="13" t="n">
        <v>2</v>
      </c>
      <c r="S163" s="21" t="str">
        <f aca="false">IF($O163="","",IF($Q163&lt;=$R163,"⚠ REORDER","OK"))</f>
        <v>⚠ REORDER</v>
      </c>
      <c r="T163" s="13"/>
      <c r="U163" s="13"/>
      <c r="V163" s="13" t="s">
        <v>378</v>
      </c>
      <c r="W163" s="12" t="s">
        <v>379</v>
      </c>
      <c r="X163" s="13"/>
      <c r="Y163" s="13"/>
      <c r="Z163" s="12" t="s">
        <v>88</v>
      </c>
      <c r="AA163" s="12" t="s">
        <v>88</v>
      </c>
      <c r="AB163" s="12" t="s">
        <v>88</v>
      </c>
      <c r="AC163" s="12" t="s">
        <v>88</v>
      </c>
      <c r="AD163" s="12" t="s">
        <v>87</v>
      </c>
      <c r="AE163" s="21" t="n">
        <f aca="false">IFERROR(SUMIFS(Transactions!$F:$F,Transactions!$C:$C,$A163,Transactions!$D:$D,"Sale"),0)</f>
        <v>0</v>
      </c>
      <c r="AF163" s="15" t="n">
        <f aca="false">IFERROR(SUMIFS(Transactions!$H:$H,Transactions!$C:$C,$A163,Transactions!$D:$D,"Sale"),0)</f>
        <v>0</v>
      </c>
      <c r="AG163" s="22" t="str">
        <f aca="false">IFERROR(IF(maxifs(Transactions!$B:$B,Transactions!$C:$C,$A163,Transactions!$D:$D,"Sale")=0,"",maxifs(Transactions!$B:$B,Transactions!$C:$C,$A163,Transactions!$D:$D,"Sale")),"")</f>
        <v/>
      </c>
      <c r="AH163" s="12"/>
    </row>
    <row r="164" customFormat="false" ht="18" hidden="false" customHeight="true" outlineLevel="0" collapsed="false">
      <c r="A164" s="12" t="s">
        <v>542</v>
      </c>
      <c r="B164" s="12" t="s">
        <v>180</v>
      </c>
      <c r="C164" s="12" t="s">
        <v>164</v>
      </c>
      <c r="D164" s="12" t="s">
        <v>165</v>
      </c>
      <c r="E164" s="12" t="s">
        <v>79</v>
      </c>
      <c r="F164" s="12" t="s">
        <v>118</v>
      </c>
      <c r="G164" s="12"/>
      <c r="H164" s="12" t="s">
        <v>383</v>
      </c>
      <c r="I164" s="14" t="n">
        <v>19000</v>
      </c>
      <c r="J164" s="18" t="n">
        <f aca="false">IF($I164="","",ROUND($I164*Dropdowns!$K$5,2))</f>
        <v>49.4</v>
      </c>
      <c r="K164" s="19" t="n">
        <f aca="false">IF($I164="","",ROUND($I164*Dropdowns!$K$6,2))</f>
        <v>45.6</v>
      </c>
      <c r="L164" s="20" t="n">
        <f aca="false">IF($I164="","",ROUND($I164*Dropdowns!$K$7,2))</f>
        <v>3895</v>
      </c>
      <c r="M164" s="15" t="str">
        <f aca="false">IFERROR(IF($B164="","",VLOOKUP($B164,Designs!$A$3:$AP$165,27,FALSE())),"")</f>
        <v/>
      </c>
      <c r="N164" s="16" t="str">
        <f aca="false">IFERROR(IF(OR($I164="",$M164="",$M164=0),"",($I164-$M164)/$I164),"")</f>
        <v/>
      </c>
      <c r="O164" s="13" t="n">
        <v>0</v>
      </c>
      <c r="P164" s="13" t="n">
        <v>0</v>
      </c>
      <c r="Q164" s="21" t="n">
        <f aca="false">IF($O164="","",$O164-IF($P164="",0,$P164))</f>
        <v>0</v>
      </c>
      <c r="R164" s="13" t="n">
        <v>2</v>
      </c>
      <c r="S164" s="21" t="str">
        <f aca="false">IF($O164="","",IF($Q164&lt;=$R164,"⚠ REORDER","OK"))</f>
        <v>⚠ REORDER</v>
      </c>
      <c r="T164" s="13"/>
      <c r="U164" s="13"/>
      <c r="V164" s="13" t="s">
        <v>378</v>
      </c>
      <c r="W164" s="12" t="s">
        <v>379</v>
      </c>
      <c r="X164" s="13"/>
      <c r="Y164" s="13"/>
      <c r="Z164" s="12" t="s">
        <v>88</v>
      </c>
      <c r="AA164" s="12" t="s">
        <v>88</v>
      </c>
      <c r="AB164" s="12" t="s">
        <v>88</v>
      </c>
      <c r="AC164" s="12" t="s">
        <v>88</v>
      </c>
      <c r="AD164" s="12" t="s">
        <v>87</v>
      </c>
      <c r="AE164" s="21" t="n">
        <f aca="false">IFERROR(SUMIFS(Transactions!$F:$F,Transactions!$C:$C,$A164,Transactions!$D:$D,"Sale"),0)</f>
        <v>0</v>
      </c>
      <c r="AF164" s="15" t="n">
        <f aca="false">IFERROR(SUMIFS(Transactions!$H:$H,Transactions!$C:$C,$A164,Transactions!$D:$D,"Sale"),0)</f>
        <v>0</v>
      </c>
      <c r="AG164" s="22" t="str">
        <f aca="false">IFERROR(IF(maxifs(Transactions!$B:$B,Transactions!$C:$C,$A164,Transactions!$D:$D,"Sale")=0,"",maxifs(Transactions!$B:$B,Transactions!$C:$C,$A164,Transactions!$D:$D,"Sale")),"")</f>
        <v/>
      </c>
      <c r="AH164" s="12"/>
    </row>
    <row r="165" customFormat="false" ht="18" hidden="false" customHeight="true" outlineLevel="0" collapsed="false">
      <c r="A165" s="12" t="s">
        <v>543</v>
      </c>
      <c r="B165" s="12" t="s">
        <v>181</v>
      </c>
      <c r="C165" s="12" t="s">
        <v>164</v>
      </c>
      <c r="D165" s="12" t="s">
        <v>165</v>
      </c>
      <c r="E165" s="12" t="s">
        <v>79</v>
      </c>
      <c r="F165" s="12" t="s">
        <v>120</v>
      </c>
      <c r="G165" s="12"/>
      <c r="H165" s="12" t="s">
        <v>377</v>
      </c>
      <c r="I165" s="14" t="n">
        <v>19000</v>
      </c>
      <c r="J165" s="18" t="n">
        <f aca="false">IF($I165="","",ROUND($I165*Dropdowns!$K$5,2))</f>
        <v>49.4</v>
      </c>
      <c r="K165" s="19" t="n">
        <f aca="false">IF($I165="","",ROUND($I165*Dropdowns!$K$6,2))</f>
        <v>45.6</v>
      </c>
      <c r="L165" s="20" t="n">
        <f aca="false">IF($I165="","",ROUND($I165*Dropdowns!$K$7,2))</f>
        <v>3895</v>
      </c>
      <c r="M165" s="15" t="str">
        <f aca="false">IFERROR(IF($B165="","",VLOOKUP($B165,Designs!$A$3:$AP$165,27,FALSE())),"")</f>
        <v/>
      </c>
      <c r="N165" s="16" t="str">
        <f aca="false">IFERROR(IF(OR($I165="",$M165="",$M165=0),"",($I165-$M165)/$I165),"")</f>
        <v/>
      </c>
      <c r="O165" s="13" t="n">
        <v>0</v>
      </c>
      <c r="P165" s="13" t="n">
        <v>0</v>
      </c>
      <c r="Q165" s="21" t="n">
        <f aca="false">IF($O165="","",$O165-IF($P165="",0,$P165))</f>
        <v>0</v>
      </c>
      <c r="R165" s="13" t="n">
        <v>2</v>
      </c>
      <c r="S165" s="21" t="str">
        <f aca="false">IF($O165="","",IF($Q165&lt;=$R165,"⚠ REORDER","OK"))</f>
        <v>⚠ REORDER</v>
      </c>
      <c r="T165" s="13"/>
      <c r="U165" s="13"/>
      <c r="V165" s="13" t="s">
        <v>378</v>
      </c>
      <c r="W165" s="12" t="s">
        <v>379</v>
      </c>
      <c r="X165" s="13"/>
      <c r="Y165" s="13"/>
      <c r="Z165" s="12" t="s">
        <v>88</v>
      </c>
      <c r="AA165" s="12" t="s">
        <v>88</v>
      </c>
      <c r="AB165" s="12" t="s">
        <v>88</v>
      </c>
      <c r="AC165" s="12" t="s">
        <v>88</v>
      </c>
      <c r="AD165" s="12" t="s">
        <v>87</v>
      </c>
      <c r="AE165" s="21" t="n">
        <f aca="false">IFERROR(SUMIFS(Transactions!$F:$F,Transactions!$C:$C,$A165,Transactions!$D:$D,"Sale"),0)</f>
        <v>0</v>
      </c>
      <c r="AF165" s="15" t="n">
        <f aca="false">IFERROR(SUMIFS(Transactions!$H:$H,Transactions!$C:$C,$A165,Transactions!$D:$D,"Sale"),0)</f>
        <v>0</v>
      </c>
      <c r="AG165" s="22" t="str">
        <f aca="false">IFERROR(IF(maxifs(Transactions!$B:$B,Transactions!$C:$C,$A165,Transactions!$D:$D,"Sale")=0,"",maxifs(Transactions!$B:$B,Transactions!$C:$C,$A165,Transactions!$D:$D,"Sale")),"")</f>
        <v/>
      </c>
      <c r="AH165" s="12"/>
    </row>
    <row r="166" customFormat="false" ht="18" hidden="false" customHeight="true" outlineLevel="0" collapsed="false">
      <c r="A166" s="12" t="s">
        <v>544</v>
      </c>
      <c r="B166" s="12" t="s">
        <v>181</v>
      </c>
      <c r="C166" s="12" t="s">
        <v>164</v>
      </c>
      <c r="D166" s="12" t="s">
        <v>165</v>
      </c>
      <c r="E166" s="12" t="s">
        <v>79</v>
      </c>
      <c r="F166" s="12" t="s">
        <v>120</v>
      </c>
      <c r="G166" s="12"/>
      <c r="H166" s="12" t="s">
        <v>381</v>
      </c>
      <c r="I166" s="14" t="n">
        <v>19000</v>
      </c>
      <c r="J166" s="18" t="n">
        <f aca="false">IF($I166="","",ROUND($I166*Dropdowns!$K$5,2))</f>
        <v>49.4</v>
      </c>
      <c r="K166" s="19" t="n">
        <f aca="false">IF($I166="","",ROUND($I166*Dropdowns!$K$6,2))</f>
        <v>45.6</v>
      </c>
      <c r="L166" s="20" t="n">
        <f aca="false">IF($I166="","",ROUND($I166*Dropdowns!$K$7,2))</f>
        <v>3895</v>
      </c>
      <c r="M166" s="15" t="str">
        <f aca="false">IFERROR(IF($B166="","",VLOOKUP($B166,Designs!$A$3:$AP$165,27,FALSE())),"")</f>
        <v/>
      </c>
      <c r="N166" s="16" t="str">
        <f aca="false">IFERROR(IF(OR($I166="",$M166="",$M166=0),"",($I166-$M166)/$I166),"")</f>
        <v/>
      </c>
      <c r="O166" s="13" t="n">
        <v>0</v>
      </c>
      <c r="P166" s="13" t="n">
        <v>0</v>
      </c>
      <c r="Q166" s="21" t="n">
        <f aca="false">IF($O166="","",$O166-IF($P166="",0,$P166))</f>
        <v>0</v>
      </c>
      <c r="R166" s="13" t="n">
        <v>2</v>
      </c>
      <c r="S166" s="21" t="str">
        <f aca="false">IF($O166="","",IF($Q166&lt;=$R166,"⚠ REORDER","OK"))</f>
        <v>⚠ REORDER</v>
      </c>
      <c r="T166" s="13"/>
      <c r="U166" s="13"/>
      <c r="V166" s="13" t="s">
        <v>378</v>
      </c>
      <c r="W166" s="12" t="s">
        <v>379</v>
      </c>
      <c r="X166" s="13"/>
      <c r="Y166" s="13"/>
      <c r="Z166" s="12" t="s">
        <v>88</v>
      </c>
      <c r="AA166" s="12" t="s">
        <v>88</v>
      </c>
      <c r="AB166" s="12" t="s">
        <v>88</v>
      </c>
      <c r="AC166" s="12" t="s">
        <v>88</v>
      </c>
      <c r="AD166" s="12" t="s">
        <v>87</v>
      </c>
      <c r="AE166" s="21" t="n">
        <f aca="false">IFERROR(SUMIFS(Transactions!$F:$F,Transactions!$C:$C,$A166,Transactions!$D:$D,"Sale"),0)</f>
        <v>0</v>
      </c>
      <c r="AF166" s="15" t="n">
        <f aca="false">IFERROR(SUMIFS(Transactions!$H:$H,Transactions!$C:$C,$A166,Transactions!$D:$D,"Sale"),0)</f>
        <v>0</v>
      </c>
      <c r="AG166" s="22" t="str">
        <f aca="false">IFERROR(IF(maxifs(Transactions!$B:$B,Transactions!$C:$C,$A166,Transactions!$D:$D,"Sale")=0,"",maxifs(Transactions!$B:$B,Transactions!$C:$C,$A166,Transactions!$D:$D,"Sale")),"")</f>
        <v/>
      </c>
      <c r="AH166" s="12"/>
    </row>
    <row r="167" customFormat="false" ht="18" hidden="false" customHeight="true" outlineLevel="0" collapsed="false">
      <c r="A167" s="12" t="s">
        <v>545</v>
      </c>
      <c r="B167" s="12" t="s">
        <v>181</v>
      </c>
      <c r="C167" s="12" t="s">
        <v>164</v>
      </c>
      <c r="D167" s="12" t="s">
        <v>165</v>
      </c>
      <c r="E167" s="12" t="s">
        <v>79</v>
      </c>
      <c r="F167" s="12" t="s">
        <v>120</v>
      </c>
      <c r="G167" s="12"/>
      <c r="H167" s="12" t="s">
        <v>383</v>
      </c>
      <c r="I167" s="14" t="n">
        <v>19000</v>
      </c>
      <c r="J167" s="18" t="n">
        <f aca="false">IF($I167="","",ROUND($I167*Dropdowns!$K$5,2))</f>
        <v>49.4</v>
      </c>
      <c r="K167" s="19" t="n">
        <f aca="false">IF($I167="","",ROUND($I167*Dropdowns!$K$6,2))</f>
        <v>45.6</v>
      </c>
      <c r="L167" s="20" t="n">
        <f aca="false">IF($I167="","",ROUND($I167*Dropdowns!$K$7,2))</f>
        <v>3895</v>
      </c>
      <c r="M167" s="15" t="str">
        <f aca="false">IFERROR(IF($B167="","",VLOOKUP($B167,Designs!$A$3:$AP$165,27,FALSE())),"")</f>
        <v/>
      </c>
      <c r="N167" s="16" t="str">
        <f aca="false">IFERROR(IF(OR($I167="",$M167="",$M167=0),"",($I167-$M167)/$I167),"")</f>
        <v/>
      </c>
      <c r="O167" s="13" t="n">
        <v>0</v>
      </c>
      <c r="P167" s="13" t="n">
        <v>0</v>
      </c>
      <c r="Q167" s="21" t="n">
        <f aca="false">IF($O167="","",$O167-IF($P167="",0,$P167))</f>
        <v>0</v>
      </c>
      <c r="R167" s="13" t="n">
        <v>2</v>
      </c>
      <c r="S167" s="21" t="str">
        <f aca="false">IF($O167="","",IF($Q167&lt;=$R167,"⚠ REORDER","OK"))</f>
        <v>⚠ REORDER</v>
      </c>
      <c r="T167" s="13"/>
      <c r="U167" s="13"/>
      <c r="V167" s="13" t="s">
        <v>378</v>
      </c>
      <c r="W167" s="12" t="s">
        <v>379</v>
      </c>
      <c r="X167" s="13"/>
      <c r="Y167" s="13"/>
      <c r="Z167" s="12" t="s">
        <v>88</v>
      </c>
      <c r="AA167" s="12" t="s">
        <v>88</v>
      </c>
      <c r="AB167" s="12" t="s">
        <v>88</v>
      </c>
      <c r="AC167" s="12" t="s">
        <v>88</v>
      </c>
      <c r="AD167" s="12" t="s">
        <v>87</v>
      </c>
      <c r="AE167" s="21" t="n">
        <f aca="false">IFERROR(SUMIFS(Transactions!$F:$F,Transactions!$C:$C,$A167,Transactions!$D:$D,"Sale"),0)</f>
        <v>0</v>
      </c>
      <c r="AF167" s="15" t="n">
        <f aca="false">IFERROR(SUMIFS(Transactions!$H:$H,Transactions!$C:$C,$A167,Transactions!$D:$D,"Sale"),0)</f>
        <v>0</v>
      </c>
      <c r="AG167" s="22" t="str">
        <f aca="false">IFERROR(IF(maxifs(Transactions!$B:$B,Transactions!$C:$C,$A167,Transactions!$D:$D,"Sale")=0,"",maxifs(Transactions!$B:$B,Transactions!$C:$C,$A167,Transactions!$D:$D,"Sale")),"")</f>
        <v/>
      </c>
      <c r="AH167" s="12"/>
    </row>
    <row r="168" customFormat="false" ht="18" hidden="false" customHeight="true" outlineLevel="0" collapsed="false">
      <c r="A168" s="12" t="s">
        <v>546</v>
      </c>
      <c r="B168" s="12" t="s">
        <v>182</v>
      </c>
      <c r="C168" s="12" t="s">
        <v>164</v>
      </c>
      <c r="D168" s="12" t="s">
        <v>165</v>
      </c>
      <c r="E168" s="12" t="s">
        <v>79</v>
      </c>
      <c r="F168" s="12" t="s">
        <v>122</v>
      </c>
      <c r="G168" s="12"/>
      <c r="H168" s="12" t="s">
        <v>377</v>
      </c>
      <c r="I168" s="14" t="n">
        <v>19000</v>
      </c>
      <c r="J168" s="18" t="n">
        <f aca="false">IF($I168="","",ROUND($I168*Dropdowns!$K$5,2))</f>
        <v>49.4</v>
      </c>
      <c r="K168" s="19" t="n">
        <f aca="false">IF($I168="","",ROUND($I168*Dropdowns!$K$6,2))</f>
        <v>45.6</v>
      </c>
      <c r="L168" s="20" t="n">
        <f aca="false">IF($I168="","",ROUND($I168*Dropdowns!$K$7,2))</f>
        <v>3895</v>
      </c>
      <c r="M168" s="15" t="str">
        <f aca="false">IFERROR(IF($B168="","",VLOOKUP($B168,Designs!$A$3:$AP$165,27,FALSE())),"")</f>
        <v/>
      </c>
      <c r="N168" s="16" t="str">
        <f aca="false">IFERROR(IF(OR($I168="",$M168="",$M168=0),"",($I168-$M168)/$I168),"")</f>
        <v/>
      </c>
      <c r="O168" s="13" t="n">
        <v>0</v>
      </c>
      <c r="P168" s="13" t="n">
        <v>0</v>
      </c>
      <c r="Q168" s="21" t="n">
        <f aca="false">IF($O168="","",$O168-IF($P168="",0,$P168))</f>
        <v>0</v>
      </c>
      <c r="R168" s="13" t="n">
        <v>2</v>
      </c>
      <c r="S168" s="21" t="str">
        <f aca="false">IF($O168="","",IF($Q168&lt;=$R168,"⚠ REORDER","OK"))</f>
        <v>⚠ REORDER</v>
      </c>
      <c r="T168" s="13"/>
      <c r="U168" s="13"/>
      <c r="V168" s="13" t="s">
        <v>378</v>
      </c>
      <c r="W168" s="12" t="s">
        <v>379</v>
      </c>
      <c r="X168" s="13"/>
      <c r="Y168" s="13"/>
      <c r="Z168" s="12" t="s">
        <v>88</v>
      </c>
      <c r="AA168" s="12" t="s">
        <v>88</v>
      </c>
      <c r="AB168" s="12" t="s">
        <v>88</v>
      </c>
      <c r="AC168" s="12" t="s">
        <v>88</v>
      </c>
      <c r="AD168" s="12" t="s">
        <v>87</v>
      </c>
      <c r="AE168" s="21" t="n">
        <f aca="false">IFERROR(SUMIFS(Transactions!$F:$F,Transactions!$C:$C,$A168,Transactions!$D:$D,"Sale"),0)</f>
        <v>0</v>
      </c>
      <c r="AF168" s="15" t="n">
        <f aca="false">IFERROR(SUMIFS(Transactions!$H:$H,Transactions!$C:$C,$A168,Transactions!$D:$D,"Sale"),0)</f>
        <v>0</v>
      </c>
      <c r="AG168" s="22" t="str">
        <f aca="false">IFERROR(IF(maxifs(Transactions!$B:$B,Transactions!$C:$C,$A168,Transactions!$D:$D,"Sale")=0,"",maxifs(Transactions!$B:$B,Transactions!$C:$C,$A168,Transactions!$D:$D,"Sale")),"")</f>
        <v/>
      </c>
      <c r="AH168" s="12"/>
    </row>
    <row r="169" customFormat="false" ht="18" hidden="false" customHeight="true" outlineLevel="0" collapsed="false">
      <c r="A169" s="12" t="s">
        <v>547</v>
      </c>
      <c r="B169" s="12" t="s">
        <v>182</v>
      </c>
      <c r="C169" s="12" t="s">
        <v>164</v>
      </c>
      <c r="D169" s="12" t="s">
        <v>165</v>
      </c>
      <c r="E169" s="12" t="s">
        <v>79</v>
      </c>
      <c r="F169" s="12" t="s">
        <v>122</v>
      </c>
      <c r="G169" s="12"/>
      <c r="H169" s="12" t="s">
        <v>381</v>
      </c>
      <c r="I169" s="14" t="n">
        <v>19000</v>
      </c>
      <c r="J169" s="18" t="n">
        <f aca="false">IF($I169="","",ROUND($I169*Dropdowns!$K$5,2))</f>
        <v>49.4</v>
      </c>
      <c r="K169" s="19" t="n">
        <f aca="false">IF($I169="","",ROUND($I169*Dropdowns!$K$6,2))</f>
        <v>45.6</v>
      </c>
      <c r="L169" s="20" t="n">
        <f aca="false">IF($I169="","",ROUND($I169*Dropdowns!$K$7,2))</f>
        <v>3895</v>
      </c>
      <c r="M169" s="15" t="str">
        <f aca="false">IFERROR(IF($B169="","",VLOOKUP($B169,Designs!$A$3:$AP$165,27,FALSE())),"")</f>
        <v/>
      </c>
      <c r="N169" s="16" t="str">
        <f aca="false">IFERROR(IF(OR($I169="",$M169="",$M169=0),"",($I169-$M169)/$I169),"")</f>
        <v/>
      </c>
      <c r="O169" s="13" t="n">
        <v>0</v>
      </c>
      <c r="P169" s="13" t="n">
        <v>0</v>
      </c>
      <c r="Q169" s="21" t="n">
        <f aca="false">IF($O169="","",$O169-IF($P169="",0,$P169))</f>
        <v>0</v>
      </c>
      <c r="R169" s="13" t="n">
        <v>2</v>
      </c>
      <c r="S169" s="21" t="str">
        <f aca="false">IF($O169="","",IF($Q169&lt;=$R169,"⚠ REORDER","OK"))</f>
        <v>⚠ REORDER</v>
      </c>
      <c r="T169" s="13"/>
      <c r="U169" s="13"/>
      <c r="V169" s="13" t="s">
        <v>378</v>
      </c>
      <c r="W169" s="12" t="s">
        <v>379</v>
      </c>
      <c r="X169" s="13"/>
      <c r="Y169" s="13"/>
      <c r="Z169" s="12" t="s">
        <v>88</v>
      </c>
      <c r="AA169" s="12" t="s">
        <v>88</v>
      </c>
      <c r="AB169" s="12" t="s">
        <v>88</v>
      </c>
      <c r="AC169" s="12" t="s">
        <v>88</v>
      </c>
      <c r="AD169" s="12" t="s">
        <v>87</v>
      </c>
      <c r="AE169" s="21" t="n">
        <f aca="false">IFERROR(SUMIFS(Transactions!$F:$F,Transactions!$C:$C,$A169,Transactions!$D:$D,"Sale"),0)</f>
        <v>0</v>
      </c>
      <c r="AF169" s="15" t="n">
        <f aca="false">IFERROR(SUMIFS(Transactions!$H:$H,Transactions!$C:$C,$A169,Transactions!$D:$D,"Sale"),0)</f>
        <v>0</v>
      </c>
      <c r="AG169" s="22" t="str">
        <f aca="false">IFERROR(IF(maxifs(Transactions!$B:$B,Transactions!$C:$C,$A169,Transactions!$D:$D,"Sale")=0,"",maxifs(Transactions!$B:$B,Transactions!$C:$C,$A169,Transactions!$D:$D,"Sale")),"")</f>
        <v/>
      </c>
      <c r="AH169" s="12"/>
    </row>
    <row r="170" customFormat="false" ht="18" hidden="false" customHeight="true" outlineLevel="0" collapsed="false">
      <c r="A170" s="12" t="s">
        <v>548</v>
      </c>
      <c r="B170" s="12" t="s">
        <v>182</v>
      </c>
      <c r="C170" s="12" t="s">
        <v>164</v>
      </c>
      <c r="D170" s="12" t="s">
        <v>165</v>
      </c>
      <c r="E170" s="12" t="s">
        <v>79</v>
      </c>
      <c r="F170" s="12" t="s">
        <v>122</v>
      </c>
      <c r="G170" s="12"/>
      <c r="H170" s="12" t="s">
        <v>383</v>
      </c>
      <c r="I170" s="14" t="n">
        <v>19000</v>
      </c>
      <c r="J170" s="18" t="n">
        <f aca="false">IF($I170="","",ROUND($I170*Dropdowns!$K$5,2))</f>
        <v>49.4</v>
      </c>
      <c r="K170" s="19" t="n">
        <f aca="false">IF($I170="","",ROUND($I170*Dropdowns!$K$6,2))</f>
        <v>45.6</v>
      </c>
      <c r="L170" s="20" t="n">
        <f aca="false">IF($I170="","",ROUND($I170*Dropdowns!$K$7,2))</f>
        <v>3895</v>
      </c>
      <c r="M170" s="15" t="str">
        <f aca="false">IFERROR(IF($B170="","",VLOOKUP($B170,Designs!$A$3:$AP$165,27,FALSE())),"")</f>
        <v/>
      </c>
      <c r="N170" s="16" t="str">
        <f aca="false">IFERROR(IF(OR($I170="",$M170="",$M170=0),"",($I170-$M170)/$I170),"")</f>
        <v/>
      </c>
      <c r="O170" s="13" t="n">
        <v>0</v>
      </c>
      <c r="P170" s="13" t="n">
        <v>0</v>
      </c>
      <c r="Q170" s="21" t="n">
        <f aca="false">IF($O170="","",$O170-IF($P170="",0,$P170))</f>
        <v>0</v>
      </c>
      <c r="R170" s="13" t="n">
        <v>2</v>
      </c>
      <c r="S170" s="21" t="str">
        <f aca="false">IF($O170="","",IF($Q170&lt;=$R170,"⚠ REORDER","OK"))</f>
        <v>⚠ REORDER</v>
      </c>
      <c r="T170" s="13"/>
      <c r="U170" s="13"/>
      <c r="V170" s="13" t="s">
        <v>378</v>
      </c>
      <c r="W170" s="12" t="s">
        <v>379</v>
      </c>
      <c r="X170" s="13"/>
      <c r="Y170" s="13"/>
      <c r="Z170" s="12" t="s">
        <v>88</v>
      </c>
      <c r="AA170" s="12" t="s">
        <v>88</v>
      </c>
      <c r="AB170" s="12" t="s">
        <v>88</v>
      </c>
      <c r="AC170" s="12" t="s">
        <v>88</v>
      </c>
      <c r="AD170" s="12" t="s">
        <v>87</v>
      </c>
      <c r="AE170" s="21" t="n">
        <f aca="false">IFERROR(SUMIFS(Transactions!$F:$F,Transactions!$C:$C,$A170,Transactions!$D:$D,"Sale"),0)</f>
        <v>0</v>
      </c>
      <c r="AF170" s="15" t="n">
        <f aca="false">IFERROR(SUMIFS(Transactions!$H:$H,Transactions!$C:$C,$A170,Transactions!$D:$D,"Sale"),0)</f>
        <v>0</v>
      </c>
      <c r="AG170" s="22" t="str">
        <f aca="false">IFERROR(IF(maxifs(Transactions!$B:$B,Transactions!$C:$C,$A170,Transactions!$D:$D,"Sale")=0,"",maxifs(Transactions!$B:$B,Transactions!$C:$C,$A170,Transactions!$D:$D,"Sale")),"")</f>
        <v/>
      </c>
      <c r="AH170" s="12"/>
    </row>
    <row r="171" customFormat="false" ht="18" hidden="false" customHeight="true" outlineLevel="0" collapsed="false">
      <c r="A171" s="12" t="s">
        <v>549</v>
      </c>
      <c r="B171" s="12" t="s">
        <v>183</v>
      </c>
      <c r="C171" s="12" t="s">
        <v>164</v>
      </c>
      <c r="D171" s="12" t="s">
        <v>165</v>
      </c>
      <c r="E171" s="12" t="s">
        <v>79</v>
      </c>
      <c r="F171" s="12" t="s">
        <v>124</v>
      </c>
      <c r="G171" s="12"/>
      <c r="H171" s="12" t="s">
        <v>377</v>
      </c>
      <c r="I171" s="14" t="n">
        <v>19000</v>
      </c>
      <c r="J171" s="18" t="n">
        <f aca="false">IF($I171="","",ROUND($I171*Dropdowns!$K$5,2))</f>
        <v>49.4</v>
      </c>
      <c r="K171" s="19" t="n">
        <f aca="false">IF($I171="","",ROUND($I171*Dropdowns!$K$6,2))</f>
        <v>45.6</v>
      </c>
      <c r="L171" s="20" t="n">
        <f aca="false">IF($I171="","",ROUND($I171*Dropdowns!$K$7,2))</f>
        <v>3895</v>
      </c>
      <c r="M171" s="15" t="str">
        <f aca="false">IFERROR(IF($B171="","",VLOOKUP($B171,Designs!$A$3:$AP$165,27,FALSE())),"")</f>
        <v/>
      </c>
      <c r="N171" s="16" t="str">
        <f aca="false">IFERROR(IF(OR($I171="",$M171="",$M171=0),"",($I171-$M171)/$I171),"")</f>
        <v/>
      </c>
      <c r="O171" s="13" t="n">
        <v>0</v>
      </c>
      <c r="P171" s="13" t="n">
        <v>0</v>
      </c>
      <c r="Q171" s="21" t="n">
        <f aca="false">IF($O171="","",$O171-IF($P171="",0,$P171))</f>
        <v>0</v>
      </c>
      <c r="R171" s="13" t="n">
        <v>2</v>
      </c>
      <c r="S171" s="21" t="str">
        <f aca="false">IF($O171="","",IF($Q171&lt;=$R171,"⚠ REORDER","OK"))</f>
        <v>⚠ REORDER</v>
      </c>
      <c r="T171" s="13"/>
      <c r="U171" s="13"/>
      <c r="V171" s="13" t="s">
        <v>378</v>
      </c>
      <c r="W171" s="12" t="s">
        <v>379</v>
      </c>
      <c r="X171" s="13"/>
      <c r="Y171" s="13"/>
      <c r="Z171" s="12" t="s">
        <v>88</v>
      </c>
      <c r="AA171" s="12" t="s">
        <v>88</v>
      </c>
      <c r="AB171" s="12" t="s">
        <v>88</v>
      </c>
      <c r="AC171" s="12" t="s">
        <v>88</v>
      </c>
      <c r="AD171" s="12" t="s">
        <v>87</v>
      </c>
      <c r="AE171" s="21" t="n">
        <f aca="false">IFERROR(SUMIFS(Transactions!$F:$F,Transactions!$C:$C,$A171,Transactions!$D:$D,"Sale"),0)</f>
        <v>0</v>
      </c>
      <c r="AF171" s="15" t="n">
        <f aca="false">IFERROR(SUMIFS(Transactions!$H:$H,Transactions!$C:$C,$A171,Transactions!$D:$D,"Sale"),0)</f>
        <v>0</v>
      </c>
      <c r="AG171" s="22" t="str">
        <f aca="false">IFERROR(IF(maxifs(Transactions!$B:$B,Transactions!$C:$C,$A171,Transactions!$D:$D,"Sale")=0,"",maxifs(Transactions!$B:$B,Transactions!$C:$C,$A171,Transactions!$D:$D,"Sale")),"")</f>
        <v/>
      </c>
      <c r="AH171" s="12"/>
    </row>
    <row r="172" customFormat="false" ht="18" hidden="false" customHeight="true" outlineLevel="0" collapsed="false">
      <c r="A172" s="12" t="s">
        <v>550</v>
      </c>
      <c r="B172" s="12" t="s">
        <v>183</v>
      </c>
      <c r="C172" s="12" t="s">
        <v>164</v>
      </c>
      <c r="D172" s="12" t="s">
        <v>165</v>
      </c>
      <c r="E172" s="12" t="s">
        <v>79</v>
      </c>
      <c r="F172" s="12" t="s">
        <v>124</v>
      </c>
      <c r="G172" s="12"/>
      <c r="H172" s="12" t="s">
        <v>381</v>
      </c>
      <c r="I172" s="14" t="n">
        <v>19000</v>
      </c>
      <c r="J172" s="18" t="n">
        <f aca="false">IF($I172="","",ROUND($I172*Dropdowns!$K$5,2))</f>
        <v>49.4</v>
      </c>
      <c r="K172" s="19" t="n">
        <f aca="false">IF($I172="","",ROUND($I172*Dropdowns!$K$6,2))</f>
        <v>45.6</v>
      </c>
      <c r="L172" s="20" t="n">
        <f aca="false">IF($I172="","",ROUND($I172*Dropdowns!$K$7,2))</f>
        <v>3895</v>
      </c>
      <c r="M172" s="15" t="str">
        <f aca="false">IFERROR(IF($B172="","",VLOOKUP($B172,Designs!$A$3:$AP$165,27,FALSE())),"")</f>
        <v/>
      </c>
      <c r="N172" s="16" t="str">
        <f aca="false">IFERROR(IF(OR($I172="",$M172="",$M172=0),"",($I172-$M172)/$I172),"")</f>
        <v/>
      </c>
      <c r="O172" s="13" t="n">
        <v>0</v>
      </c>
      <c r="P172" s="13" t="n">
        <v>0</v>
      </c>
      <c r="Q172" s="21" t="n">
        <f aca="false">IF($O172="","",$O172-IF($P172="",0,$P172))</f>
        <v>0</v>
      </c>
      <c r="R172" s="13" t="n">
        <v>2</v>
      </c>
      <c r="S172" s="21" t="str">
        <f aca="false">IF($O172="","",IF($Q172&lt;=$R172,"⚠ REORDER","OK"))</f>
        <v>⚠ REORDER</v>
      </c>
      <c r="T172" s="13"/>
      <c r="U172" s="13"/>
      <c r="V172" s="13" t="s">
        <v>378</v>
      </c>
      <c r="W172" s="12" t="s">
        <v>379</v>
      </c>
      <c r="X172" s="13"/>
      <c r="Y172" s="13"/>
      <c r="Z172" s="12" t="s">
        <v>88</v>
      </c>
      <c r="AA172" s="12" t="s">
        <v>88</v>
      </c>
      <c r="AB172" s="12" t="s">
        <v>88</v>
      </c>
      <c r="AC172" s="12" t="s">
        <v>88</v>
      </c>
      <c r="AD172" s="12" t="s">
        <v>87</v>
      </c>
      <c r="AE172" s="21" t="n">
        <f aca="false">IFERROR(SUMIFS(Transactions!$F:$F,Transactions!$C:$C,$A172,Transactions!$D:$D,"Sale"),0)</f>
        <v>0</v>
      </c>
      <c r="AF172" s="15" t="n">
        <f aca="false">IFERROR(SUMIFS(Transactions!$H:$H,Transactions!$C:$C,$A172,Transactions!$D:$D,"Sale"),0)</f>
        <v>0</v>
      </c>
      <c r="AG172" s="22" t="str">
        <f aca="false">IFERROR(IF(maxifs(Transactions!$B:$B,Transactions!$C:$C,$A172,Transactions!$D:$D,"Sale")=0,"",maxifs(Transactions!$B:$B,Transactions!$C:$C,$A172,Transactions!$D:$D,"Sale")),"")</f>
        <v/>
      </c>
      <c r="AH172" s="12"/>
    </row>
    <row r="173" customFormat="false" ht="18" hidden="false" customHeight="true" outlineLevel="0" collapsed="false">
      <c r="A173" s="12" t="s">
        <v>551</v>
      </c>
      <c r="B173" s="12" t="s">
        <v>183</v>
      </c>
      <c r="C173" s="12" t="s">
        <v>164</v>
      </c>
      <c r="D173" s="12" t="s">
        <v>165</v>
      </c>
      <c r="E173" s="12" t="s">
        <v>79</v>
      </c>
      <c r="F173" s="12" t="s">
        <v>124</v>
      </c>
      <c r="G173" s="12"/>
      <c r="H173" s="12" t="s">
        <v>383</v>
      </c>
      <c r="I173" s="14" t="n">
        <v>19000</v>
      </c>
      <c r="J173" s="18" t="n">
        <f aca="false">IF($I173="","",ROUND($I173*Dropdowns!$K$5,2))</f>
        <v>49.4</v>
      </c>
      <c r="K173" s="19" t="n">
        <f aca="false">IF($I173="","",ROUND($I173*Dropdowns!$K$6,2))</f>
        <v>45.6</v>
      </c>
      <c r="L173" s="20" t="n">
        <f aca="false">IF($I173="","",ROUND($I173*Dropdowns!$K$7,2))</f>
        <v>3895</v>
      </c>
      <c r="M173" s="15" t="str">
        <f aca="false">IFERROR(IF($B173="","",VLOOKUP($B173,Designs!$A$3:$AP$165,27,FALSE())),"")</f>
        <v/>
      </c>
      <c r="N173" s="16" t="str">
        <f aca="false">IFERROR(IF(OR($I173="",$M173="",$M173=0),"",($I173-$M173)/$I173),"")</f>
        <v/>
      </c>
      <c r="O173" s="13" t="n">
        <v>0</v>
      </c>
      <c r="P173" s="13" t="n">
        <v>0</v>
      </c>
      <c r="Q173" s="21" t="n">
        <f aca="false">IF($O173="","",$O173-IF($P173="",0,$P173))</f>
        <v>0</v>
      </c>
      <c r="R173" s="13" t="n">
        <v>2</v>
      </c>
      <c r="S173" s="21" t="str">
        <f aca="false">IF($O173="","",IF($Q173&lt;=$R173,"⚠ REORDER","OK"))</f>
        <v>⚠ REORDER</v>
      </c>
      <c r="T173" s="13"/>
      <c r="U173" s="13"/>
      <c r="V173" s="13" t="s">
        <v>378</v>
      </c>
      <c r="W173" s="12" t="s">
        <v>379</v>
      </c>
      <c r="X173" s="13"/>
      <c r="Y173" s="13"/>
      <c r="Z173" s="12" t="s">
        <v>88</v>
      </c>
      <c r="AA173" s="12" t="s">
        <v>88</v>
      </c>
      <c r="AB173" s="12" t="s">
        <v>88</v>
      </c>
      <c r="AC173" s="12" t="s">
        <v>88</v>
      </c>
      <c r="AD173" s="12" t="s">
        <v>87</v>
      </c>
      <c r="AE173" s="21" t="n">
        <f aca="false">IFERROR(SUMIFS(Transactions!$F:$F,Transactions!$C:$C,$A173,Transactions!$D:$D,"Sale"),0)</f>
        <v>0</v>
      </c>
      <c r="AF173" s="15" t="n">
        <f aca="false">IFERROR(SUMIFS(Transactions!$H:$H,Transactions!$C:$C,$A173,Transactions!$D:$D,"Sale"),0)</f>
        <v>0</v>
      </c>
      <c r="AG173" s="22" t="str">
        <f aca="false">IFERROR(IF(maxifs(Transactions!$B:$B,Transactions!$C:$C,$A173,Transactions!$D:$D,"Sale")=0,"",maxifs(Transactions!$B:$B,Transactions!$C:$C,$A173,Transactions!$D:$D,"Sale")),"")</f>
        <v/>
      </c>
      <c r="AH173" s="12"/>
    </row>
    <row r="174" customFormat="false" ht="18" hidden="false" customHeight="true" outlineLevel="0" collapsed="false">
      <c r="A174" s="12" t="s">
        <v>552</v>
      </c>
      <c r="B174" s="12" t="s">
        <v>184</v>
      </c>
      <c r="C174" s="12" t="s">
        <v>164</v>
      </c>
      <c r="D174" s="12" t="s">
        <v>165</v>
      </c>
      <c r="E174" s="12" t="s">
        <v>79</v>
      </c>
      <c r="F174" s="12" t="s">
        <v>126</v>
      </c>
      <c r="G174" s="12"/>
      <c r="H174" s="12" t="s">
        <v>377</v>
      </c>
      <c r="I174" s="14" t="n">
        <v>19000</v>
      </c>
      <c r="J174" s="18" t="n">
        <f aca="false">IF($I174="","",ROUND($I174*Dropdowns!$K$5,2))</f>
        <v>49.4</v>
      </c>
      <c r="K174" s="19" t="n">
        <f aca="false">IF($I174="","",ROUND($I174*Dropdowns!$K$6,2))</f>
        <v>45.6</v>
      </c>
      <c r="L174" s="20" t="n">
        <f aca="false">IF($I174="","",ROUND($I174*Dropdowns!$K$7,2))</f>
        <v>3895</v>
      </c>
      <c r="M174" s="15" t="str">
        <f aca="false">IFERROR(IF($B174="","",VLOOKUP($B174,Designs!$A$3:$AP$165,27,FALSE())),"")</f>
        <v/>
      </c>
      <c r="N174" s="16" t="str">
        <f aca="false">IFERROR(IF(OR($I174="",$M174="",$M174=0),"",($I174-$M174)/$I174),"")</f>
        <v/>
      </c>
      <c r="O174" s="13" t="n">
        <v>0</v>
      </c>
      <c r="P174" s="13" t="n">
        <v>0</v>
      </c>
      <c r="Q174" s="21" t="n">
        <f aca="false">IF($O174="","",$O174-IF($P174="",0,$P174))</f>
        <v>0</v>
      </c>
      <c r="R174" s="13" t="n">
        <v>2</v>
      </c>
      <c r="S174" s="21" t="str">
        <f aca="false">IF($O174="","",IF($Q174&lt;=$R174,"⚠ REORDER","OK"))</f>
        <v>⚠ REORDER</v>
      </c>
      <c r="T174" s="13"/>
      <c r="U174" s="13"/>
      <c r="V174" s="13" t="s">
        <v>378</v>
      </c>
      <c r="W174" s="12" t="s">
        <v>379</v>
      </c>
      <c r="X174" s="13"/>
      <c r="Y174" s="13"/>
      <c r="Z174" s="12" t="s">
        <v>88</v>
      </c>
      <c r="AA174" s="12" t="s">
        <v>88</v>
      </c>
      <c r="AB174" s="12" t="s">
        <v>88</v>
      </c>
      <c r="AC174" s="12" t="s">
        <v>88</v>
      </c>
      <c r="AD174" s="12" t="s">
        <v>87</v>
      </c>
      <c r="AE174" s="21" t="n">
        <f aca="false">IFERROR(SUMIFS(Transactions!$F:$F,Transactions!$C:$C,$A174,Transactions!$D:$D,"Sale"),0)</f>
        <v>0</v>
      </c>
      <c r="AF174" s="15" t="n">
        <f aca="false">IFERROR(SUMIFS(Transactions!$H:$H,Transactions!$C:$C,$A174,Transactions!$D:$D,"Sale"),0)</f>
        <v>0</v>
      </c>
      <c r="AG174" s="22" t="str">
        <f aca="false">IFERROR(IF(maxifs(Transactions!$B:$B,Transactions!$C:$C,$A174,Transactions!$D:$D,"Sale")=0,"",maxifs(Transactions!$B:$B,Transactions!$C:$C,$A174,Transactions!$D:$D,"Sale")),"")</f>
        <v/>
      </c>
      <c r="AH174" s="12"/>
    </row>
    <row r="175" customFormat="false" ht="18" hidden="false" customHeight="true" outlineLevel="0" collapsed="false">
      <c r="A175" s="12" t="s">
        <v>553</v>
      </c>
      <c r="B175" s="12" t="s">
        <v>184</v>
      </c>
      <c r="C175" s="12" t="s">
        <v>164</v>
      </c>
      <c r="D175" s="12" t="s">
        <v>165</v>
      </c>
      <c r="E175" s="12" t="s">
        <v>79</v>
      </c>
      <c r="F175" s="12" t="s">
        <v>126</v>
      </c>
      <c r="G175" s="12"/>
      <c r="H175" s="12" t="s">
        <v>381</v>
      </c>
      <c r="I175" s="14" t="n">
        <v>19000</v>
      </c>
      <c r="J175" s="18" t="n">
        <f aca="false">IF($I175="","",ROUND($I175*Dropdowns!$K$5,2))</f>
        <v>49.4</v>
      </c>
      <c r="K175" s="19" t="n">
        <f aca="false">IF($I175="","",ROUND($I175*Dropdowns!$K$6,2))</f>
        <v>45.6</v>
      </c>
      <c r="L175" s="20" t="n">
        <f aca="false">IF($I175="","",ROUND($I175*Dropdowns!$K$7,2))</f>
        <v>3895</v>
      </c>
      <c r="M175" s="15" t="str">
        <f aca="false">IFERROR(IF($B175="","",VLOOKUP($B175,Designs!$A$3:$AP$165,27,FALSE())),"")</f>
        <v/>
      </c>
      <c r="N175" s="16" t="str">
        <f aca="false">IFERROR(IF(OR($I175="",$M175="",$M175=0),"",($I175-$M175)/$I175),"")</f>
        <v/>
      </c>
      <c r="O175" s="13" t="n">
        <v>0</v>
      </c>
      <c r="P175" s="13" t="n">
        <v>0</v>
      </c>
      <c r="Q175" s="21" t="n">
        <f aca="false">IF($O175="","",$O175-IF($P175="",0,$P175))</f>
        <v>0</v>
      </c>
      <c r="R175" s="13" t="n">
        <v>2</v>
      </c>
      <c r="S175" s="21" t="str">
        <f aca="false">IF($O175="","",IF($Q175&lt;=$R175,"⚠ REORDER","OK"))</f>
        <v>⚠ REORDER</v>
      </c>
      <c r="T175" s="13"/>
      <c r="U175" s="13"/>
      <c r="V175" s="13" t="s">
        <v>378</v>
      </c>
      <c r="W175" s="12" t="s">
        <v>379</v>
      </c>
      <c r="X175" s="13"/>
      <c r="Y175" s="13"/>
      <c r="Z175" s="12" t="s">
        <v>88</v>
      </c>
      <c r="AA175" s="12" t="s">
        <v>88</v>
      </c>
      <c r="AB175" s="12" t="s">
        <v>88</v>
      </c>
      <c r="AC175" s="12" t="s">
        <v>88</v>
      </c>
      <c r="AD175" s="12" t="s">
        <v>87</v>
      </c>
      <c r="AE175" s="21" t="n">
        <f aca="false">IFERROR(SUMIFS(Transactions!$F:$F,Transactions!$C:$C,$A175,Transactions!$D:$D,"Sale"),0)</f>
        <v>0</v>
      </c>
      <c r="AF175" s="15" t="n">
        <f aca="false">IFERROR(SUMIFS(Transactions!$H:$H,Transactions!$C:$C,$A175,Transactions!$D:$D,"Sale"),0)</f>
        <v>0</v>
      </c>
      <c r="AG175" s="22" t="str">
        <f aca="false">IFERROR(IF(maxifs(Transactions!$B:$B,Transactions!$C:$C,$A175,Transactions!$D:$D,"Sale")=0,"",maxifs(Transactions!$B:$B,Transactions!$C:$C,$A175,Transactions!$D:$D,"Sale")),"")</f>
        <v/>
      </c>
      <c r="AH175" s="12"/>
    </row>
    <row r="176" customFormat="false" ht="18" hidden="false" customHeight="true" outlineLevel="0" collapsed="false">
      <c r="A176" s="12" t="s">
        <v>554</v>
      </c>
      <c r="B176" s="12" t="s">
        <v>184</v>
      </c>
      <c r="C176" s="12" t="s">
        <v>164</v>
      </c>
      <c r="D176" s="12" t="s">
        <v>165</v>
      </c>
      <c r="E176" s="12" t="s">
        <v>79</v>
      </c>
      <c r="F176" s="12" t="s">
        <v>126</v>
      </c>
      <c r="G176" s="12"/>
      <c r="H176" s="12" t="s">
        <v>383</v>
      </c>
      <c r="I176" s="14" t="n">
        <v>19000</v>
      </c>
      <c r="J176" s="18" t="n">
        <f aca="false">IF($I176="","",ROUND($I176*Dropdowns!$K$5,2))</f>
        <v>49.4</v>
      </c>
      <c r="K176" s="19" t="n">
        <f aca="false">IF($I176="","",ROUND($I176*Dropdowns!$K$6,2))</f>
        <v>45.6</v>
      </c>
      <c r="L176" s="20" t="n">
        <f aca="false">IF($I176="","",ROUND($I176*Dropdowns!$K$7,2))</f>
        <v>3895</v>
      </c>
      <c r="M176" s="15" t="str">
        <f aca="false">IFERROR(IF($B176="","",VLOOKUP($B176,Designs!$A$3:$AP$165,27,FALSE())),"")</f>
        <v/>
      </c>
      <c r="N176" s="16" t="str">
        <f aca="false">IFERROR(IF(OR($I176="",$M176="",$M176=0),"",($I176-$M176)/$I176),"")</f>
        <v/>
      </c>
      <c r="O176" s="13" t="n">
        <v>0</v>
      </c>
      <c r="P176" s="13" t="n">
        <v>0</v>
      </c>
      <c r="Q176" s="21" t="n">
        <f aca="false">IF($O176="","",$O176-IF($P176="",0,$P176))</f>
        <v>0</v>
      </c>
      <c r="R176" s="13" t="n">
        <v>2</v>
      </c>
      <c r="S176" s="21" t="str">
        <f aca="false">IF($O176="","",IF($Q176&lt;=$R176,"⚠ REORDER","OK"))</f>
        <v>⚠ REORDER</v>
      </c>
      <c r="T176" s="13"/>
      <c r="U176" s="13"/>
      <c r="V176" s="13" t="s">
        <v>378</v>
      </c>
      <c r="W176" s="12" t="s">
        <v>379</v>
      </c>
      <c r="X176" s="13"/>
      <c r="Y176" s="13"/>
      <c r="Z176" s="12" t="s">
        <v>88</v>
      </c>
      <c r="AA176" s="12" t="s">
        <v>88</v>
      </c>
      <c r="AB176" s="12" t="s">
        <v>88</v>
      </c>
      <c r="AC176" s="12" t="s">
        <v>88</v>
      </c>
      <c r="AD176" s="12" t="s">
        <v>87</v>
      </c>
      <c r="AE176" s="21" t="n">
        <f aca="false">IFERROR(SUMIFS(Transactions!$F:$F,Transactions!$C:$C,$A176,Transactions!$D:$D,"Sale"),0)</f>
        <v>0</v>
      </c>
      <c r="AF176" s="15" t="n">
        <f aca="false">IFERROR(SUMIFS(Transactions!$H:$H,Transactions!$C:$C,$A176,Transactions!$D:$D,"Sale"),0)</f>
        <v>0</v>
      </c>
      <c r="AG176" s="22" t="str">
        <f aca="false">IFERROR(IF(maxifs(Transactions!$B:$B,Transactions!$C:$C,$A176,Transactions!$D:$D,"Sale")=0,"",maxifs(Transactions!$B:$B,Transactions!$C:$C,$A176,Transactions!$D:$D,"Sale")),"")</f>
        <v/>
      </c>
      <c r="AH176" s="12"/>
    </row>
    <row r="177" customFormat="false" ht="18" hidden="false" customHeight="true" outlineLevel="0" collapsed="false">
      <c r="A177" s="12" t="s">
        <v>555</v>
      </c>
      <c r="B177" s="12" t="s">
        <v>185</v>
      </c>
      <c r="C177" s="12" t="s">
        <v>164</v>
      </c>
      <c r="D177" s="12" t="s">
        <v>165</v>
      </c>
      <c r="E177" s="12" t="s">
        <v>79</v>
      </c>
      <c r="F177" s="12" t="s">
        <v>128</v>
      </c>
      <c r="G177" s="12"/>
      <c r="H177" s="12" t="s">
        <v>377</v>
      </c>
      <c r="I177" s="14" t="n">
        <v>19000</v>
      </c>
      <c r="J177" s="18" t="n">
        <f aca="false">IF($I177="","",ROUND($I177*Dropdowns!$K$5,2))</f>
        <v>49.4</v>
      </c>
      <c r="K177" s="19" t="n">
        <f aca="false">IF($I177="","",ROUND($I177*Dropdowns!$K$6,2))</f>
        <v>45.6</v>
      </c>
      <c r="L177" s="20" t="n">
        <f aca="false">IF($I177="","",ROUND($I177*Dropdowns!$K$7,2))</f>
        <v>3895</v>
      </c>
      <c r="M177" s="15" t="str">
        <f aca="false">IFERROR(IF($B177="","",VLOOKUP($B177,Designs!$A$3:$AP$165,27,FALSE())),"")</f>
        <v/>
      </c>
      <c r="N177" s="16" t="str">
        <f aca="false">IFERROR(IF(OR($I177="",$M177="",$M177=0),"",($I177-$M177)/$I177),"")</f>
        <v/>
      </c>
      <c r="O177" s="13" t="n">
        <v>0</v>
      </c>
      <c r="P177" s="13" t="n">
        <v>0</v>
      </c>
      <c r="Q177" s="21" t="n">
        <f aca="false">IF($O177="","",$O177-IF($P177="",0,$P177))</f>
        <v>0</v>
      </c>
      <c r="R177" s="13" t="n">
        <v>2</v>
      </c>
      <c r="S177" s="21" t="str">
        <f aca="false">IF($O177="","",IF($Q177&lt;=$R177,"⚠ REORDER","OK"))</f>
        <v>⚠ REORDER</v>
      </c>
      <c r="T177" s="13"/>
      <c r="U177" s="13"/>
      <c r="V177" s="13" t="s">
        <v>378</v>
      </c>
      <c r="W177" s="12" t="s">
        <v>379</v>
      </c>
      <c r="X177" s="13"/>
      <c r="Y177" s="13"/>
      <c r="Z177" s="12" t="s">
        <v>88</v>
      </c>
      <c r="AA177" s="12" t="s">
        <v>88</v>
      </c>
      <c r="AB177" s="12" t="s">
        <v>88</v>
      </c>
      <c r="AC177" s="12" t="s">
        <v>88</v>
      </c>
      <c r="AD177" s="12" t="s">
        <v>87</v>
      </c>
      <c r="AE177" s="21" t="n">
        <f aca="false">IFERROR(SUMIFS(Transactions!$F:$F,Transactions!$C:$C,$A177,Transactions!$D:$D,"Sale"),0)</f>
        <v>0</v>
      </c>
      <c r="AF177" s="15" t="n">
        <f aca="false">IFERROR(SUMIFS(Transactions!$H:$H,Transactions!$C:$C,$A177,Transactions!$D:$D,"Sale"),0)</f>
        <v>0</v>
      </c>
      <c r="AG177" s="22" t="str">
        <f aca="false">IFERROR(IF(maxifs(Transactions!$B:$B,Transactions!$C:$C,$A177,Transactions!$D:$D,"Sale")=0,"",maxifs(Transactions!$B:$B,Transactions!$C:$C,$A177,Transactions!$D:$D,"Sale")),"")</f>
        <v/>
      </c>
      <c r="AH177" s="12"/>
    </row>
    <row r="178" customFormat="false" ht="18" hidden="false" customHeight="true" outlineLevel="0" collapsed="false">
      <c r="A178" s="12" t="s">
        <v>556</v>
      </c>
      <c r="B178" s="12" t="s">
        <v>185</v>
      </c>
      <c r="C178" s="12" t="s">
        <v>164</v>
      </c>
      <c r="D178" s="12" t="s">
        <v>165</v>
      </c>
      <c r="E178" s="12" t="s">
        <v>79</v>
      </c>
      <c r="F178" s="12" t="s">
        <v>128</v>
      </c>
      <c r="G178" s="12"/>
      <c r="H178" s="12" t="s">
        <v>381</v>
      </c>
      <c r="I178" s="14" t="n">
        <v>19000</v>
      </c>
      <c r="J178" s="18" t="n">
        <f aca="false">IF($I178="","",ROUND($I178*Dropdowns!$K$5,2))</f>
        <v>49.4</v>
      </c>
      <c r="K178" s="19" t="n">
        <f aca="false">IF($I178="","",ROUND($I178*Dropdowns!$K$6,2))</f>
        <v>45.6</v>
      </c>
      <c r="L178" s="20" t="n">
        <f aca="false">IF($I178="","",ROUND($I178*Dropdowns!$K$7,2))</f>
        <v>3895</v>
      </c>
      <c r="M178" s="15" t="str">
        <f aca="false">IFERROR(IF($B178="","",VLOOKUP($B178,Designs!$A$3:$AP$165,27,FALSE())),"")</f>
        <v/>
      </c>
      <c r="N178" s="16" t="str">
        <f aca="false">IFERROR(IF(OR($I178="",$M178="",$M178=0),"",($I178-$M178)/$I178),"")</f>
        <v/>
      </c>
      <c r="O178" s="13" t="n">
        <v>0</v>
      </c>
      <c r="P178" s="13" t="n">
        <v>0</v>
      </c>
      <c r="Q178" s="21" t="n">
        <f aca="false">IF($O178="","",$O178-IF($P178="",0,$P178))</f>
        <v>0</v>
      </c>
      <c r="R178" s="13" t="n">
        <v>2</v>
      </c>
      <c r="S178" s="21" t="str">
        <f aca="false">IF($O178="","",IF($Q178&lt;=$R178,"⚠ REORDER","OK"))</f>
        <v>⚠ REORDER</v>
      </c>
      <c r="T178" s="13"/>
      <c r="U178" s="13"/>
      <c r="V178" s="13" t="s">
        <v>378</v>
      </c>
      <c r="W178" s="12" t="s">
        <v>379</v>
      </c>
      <c r="X178" s="13"/>
      <c r="Y178" s="13"/>
      <c r="Z178" s="12" t="s">
        <v>88</v>
      </c>
      <c r="AA178" s="12" t="s">
        <v>88</v>
      </c>
      <c r="AB178" s="12" t="s">
        <v>88</v>
      </c>
      <c r="AC178" s="12" t="s">
        <v>88</v>
      </c>
      <c r="AD178" s="12" t="s">
        <v>87</v>
      </c>
      <c r="AE178" s="21" t="n">
        <f aca="false">IFERROR(SUMIFS(Transactions!$F:$F,Transactions!$C:$C,$A178,Transactions!$D:$D,"Sale"),0)</f>
        <v>0</v>
      </c>
      <c r="AF178" s="15" t="n">
        <f aca="false">IFERROR(SUMIFS(Transactions!$H:$H,Transactions!$C:$C,$A178,Transactions!$D:$D,"Sale"),0)</f>
        <v>0</v>
      </c>
      <c r="AG178" s="22" t="str">
        <f aca="false">IFERROR(IF(maxifs(Transactions!$B:$B,Transactions!$C:$C,$A178,Transactions!$D:$D,"Sale")=0,"",maxifs(Transactions!$B:$B,Transactions!$C:$C,$A178,Transactions!$D:$D,"Sale")),"")</f>
        <v/>
      </c>
      <c r="AH178" s="12"/>
    </row>
    <row r="179" customFormat="false" ht="18" hidden="false" customHeight="true" outlineLevel="0" collapsed="false">
      <c r="A179" s="12" t="s">
        <v>557</v>
      </c>
      <c r="B179" s="12" t="s">
        <v>185</v>
      </c>
      <c r="C179" s="12" t="s">
        <v>164</v>
      </c>
      <c r="D179" s="12" t="s">
        <v>165</v>
      </c>
      <c r="E179" s="12" t="s">
        <v>79</v>
      </c>
      <c r="F179" s="12" t="s">
        <v>128</v>
      </c>
      <c r="G179" s="12"/>
      <c r="H179" s="12" t="s">
        <v>383</v>
      </c>
      <c r="I179" s="14" t="n">
        <v>19000</v>
      </c>
      <c r="J179" s="18" t="n">
        <f aca="false">IF($I179="","",ROUND($I179*Dropdowns!$K$5,2))</f>
        <v>49.4</v>
      </c>
      <c r="K179" s="19" t="n">
        <f aca="false">IF($I179="","",ROUND($I179*Dropdowns!$K$6,2))</f>
        <v>45.6</v>
      </c>
      <c r="L179" s="20" t="n">
        <f aca="false">IF($I179="","",ROUND($I179*Dropdowns!$K$7,2))</f>
        <v>3895</v>
      </c>
      <c r="M179" s="15" t="str">
        <f aca="false">IFERROR(IF($B179="","",VLOOKUP($B179,Designs!$A$3:$AP$165,27,FALSE())),"")</f>
        <v/>
      </c>
      <c r="N179" s="16" t="str">
        <f aca="false">IFERROR(IF(OR($I179="",$M179="",$M179=0),"",($I179-$M179)/$I179),"")</f>
        <v/>
      </c>
      <c r="O179" s="13" t="n">
        <v>0</v>
      </c>
      <c r="P179" s="13" t="n">
        <v>0</v>
      </c>
      <c r="Q179" s="21" t="n">
        <f aca="false">IF($O179="","",$O179-IF($P179="",0,$P179))</f>
        <v>0</v>
      </c>
      <c r="R179" s="13" t="n">
        <v>2</v>
      </c>
      <c r="S179" s="21" t="str">
        <f aca="false">IF($O179="","",IF($Q179&lt;=$R179,"⚠ REORDER","OK"))</f>
        <v>⚠ REORDER</v>
      </c>
      <c r="T179" s="13"/>
      <c r="U179" s="13"/>
      <c r="V179" s="13" t="s">
        <v>378</v>
      </c>
      <c r="W179" s="12" t="s">
        <v>379</v>
      </c>
      <c r="X179" s="13"/>
      <c r="Y179" s="13"/>
      <c r="Z179" s="12" t="s">
        <v>88</v>
      </c>
      <c r="AA179" s="12" t="s">
        <v>88</v>
      </c>
      <c r="AB179" s="12" t="s">
        <v>88</v>
      </c>
      <c r="AC179" s="12" t="s">
        <v>88</v>
      </c>
      <c r="AD179" s="12" t="s">
        <v>87</v>
      </c>
      <c r="AE179" s="21" t="n">
        <f aca="false">IFERROR(SUMIFS(Transactions!$F:$F,Transactions!$C:$C,$A179,Transactions!$D:$D,"Sale"),0)</f>
        <v>0</v>
      </c>
      <c r="AF179" s="15" t="n">
        <f aca="false">IFERROR(SUMIFS(Transactions!$H:$H,Transactions!$C:$C,$A179,Transactions!$D:$D,"Sale"),0)</f>
        <v>0</v>
      </c>
      <c r="AG179" s="22" t="str">
        <f aca="false">IFERROR(IF(maxifs(Transactions!$B:$B,Transactions!$C:$C,$A179,Transactions!$D:$D,"Sale")=0,"",maxifs(Transactions!$B:$B,Transactions!$C:$C,$A179,Transactions!$D:$D,"Sale")),"")</f>
        <v/>
      </c>
      <c r="AH179" s="12"/>
    </row>
    <row r="180" customFormat="false" ht="18" hidden="false" customHeight="true" outlineLevel="0" collapsed="false">
      <c r="A180" s="12" t="s">
        <v>558</v>
      </c>
      <c r="B180" s="12" t="s">
        <v>186</v>
      </c>
      <c r="C180" s="12" t="s">
        <v>164</v>
      </c>
      <c r="D180" s="12" t="s">
        <v>165</v>
      </c>
      <c r="E180" s="12" t="s">
        <v>79</v>
      </c>
      <c r="F180" s="12" t="s">
        <v>130</v>
      </c>
      <c r="G180" s="12"/>
      <c r="H180" s="12" t="s">
        <v>377</v>
      </c>
      <c r="I180" s="14" t="n">
        <v>19000</v>
      </c>
      <c r="J180" s="18" t="n">
        <f aca="false">IF($I180="","",ROUND($I180*Dropdowns!$K$5,2))</f>
        <v>49.4</v>
      </c>
      <c r="K180" s="19" t="n">
        <f aca="false">IF($I180="","",ROUND($I180*Dropdowns!$K$6,2))</f>
        <v>45.6</v>
      </c>
      <c r="L180" s="20" t="n">
        <f aca="false">IF($I180="","",ROUND($I180*Dropdowns!$K$7,2))</f>
        <v>3895</v>
      </c>
      <c r="M180" s="15" t="str">
        <f aca="false">IFERROR(IF($B180="","",VLOOKUP($B180,Designs!$A$3:$AP$165,27,FALSE())),"")</f>
        <v/>
      </c>
      <c r="N180" s="16" t="str">
        <f aca="false">IFERROR(IF(OR($I180="",$M180="",$M180=0),"",($I180-$M180)/$I180),"")</f>
        <v/>
      </c>
      <c r="O180" s="13" t="n">
        <v>0</v>
      </c>
      <c r="P180" s="13" t="n">
        <v>0</v>
      </c>
      <c r="Q180" s="21" t="n">
        <f aca="false">IF($O180="","",$O180-IF($P180="",0,$P180))</f>
        <v>0</v>
      </c>
      <c r="R180" s="13" t="n">
        <v>2</v>
      </c>
      <c r="S180" s="21" t="str">
        <f aca="false">IF($O180="","",IF($Q180&lt;=$R180,"⚠ REORDER","OK"))</f>
        <v>⚠ REORDER</v>
      </c>
      <c r="T180" s="13"/>
      <c r="U180" s="13"/>
      <c r="V180" s="13" t="s">
        <v>378</v>
      </c>
      <c r="W180" s="12" t="s">
        <v>379</v>
      </c>
      <c r="X180" s="13"/>
      <c r="Y180" s="13"/>
      <c r="Z180" s="12" t="s">
        <v>88</v>
      </c>
      <c r="AA180" s="12" t="s">
        <v>88</v>
      </c>
      <c r="AB180" s="12" t="s">
        <v>88</v>
      </c>
      <c r="AC180" s="12" t="s">
        <v>88</v>
      </c>
      <c r="AD180" s="12" t="s">
        <v>87</v>
      </c>
      <c r="AE180" s="21" t="n">
        <f aca="false">IFERROR(SUMIFS(Transactions!$F:$F,Transactions!$C:$C,$A180,Transactions!$D:$D,"Sale"),0)</f>
        <v>0</v>
      </c>
      <c r="AF180" s="15" t="n">
        <f aca="false">IFERROR(SUMIFS(Transactions!$H:$H,Transactions!$C:$C,$A180,Transactions!$D:$D,"Sale"),0)</f>
        <v>0</v>
      </c>
      <c r="AG180" s="22" t="str">
        <f aca="false">IFERROR(IF(maxifs(Transactions!$B:$B,Transactions!$C:$C,$A180,Transactions!$D:$D,"Sale")=0,"",maxifs(Transactions!$B:$B,Transactions!$C:$C,$A180,Transactions!$D:$D,"Sale")),"")</f>
        <v/>
      </c>
      <c r="AH180" s="12"/>
    </row>
    <row r="181" customFormat="false" ht="18" hidden="false" customHeight="true" outlineLevel="0" collapsed="false">
      <c r="A181" s="12" t="s">
        <v>559</v>
      </c>
      <c r="B181" s="12" t="s">
        <v>186</v>
      </c>
      <c r="C181" s="12" t="s">
        <v>164</v>
      </c>
      <c r="D181" s="12" t="s">
        <v>165</v>
      </c>
      <c r="E181" s="12" t="s">
        <v>79</v>
      </c>
      <c r="F181" s="12" t="s">
        <v>130</v>
      </c>
      <c r="G181" s="12"/>
      <c r="H181" s="12" t="s">
        <v>381</v>
      </c>
      <c r="I181" s="14" t="n">
        <v>19000</v>
      </c>
      <c r="J181" s="18" t="n">
        <f aca="false">IF($I181="","",ROUND($I181*Dropdowns!$K$5,2))</f>
        <v>49.4</v>
      </c>
      <c r="K181" s="19" t="n">
        <f aca="false">IF($I181="","",ROUND($I181*Dropdowns!$K$6,2))</f>
        <v>45.6</v>
      </c>
      <c r="L181" s="20" t="n">
        <f aca="false">IF($I181="","",ROUND($I181*Dropdowns!$K$7,2))</f>
        <v>3895</v>
      </c>
      <c r="M181" s="15" t="str">
        <f aca="false">IFERROR(IF($B181="","",VLOOKUP($B181,Designs!$A$3:$AP$165,27,FALSE())),"")</f>
        <v/>
      </c>
      <c r="N181" s="16" t="str">
        <f aca="false">IFERROR(IF(OR($I181="",$M181="",$M181=0),"",($I181-$M181)/$I181),"")</f>
        <v/>
      </c>
      <c r="O181" s="13" t="n">
        <v>0</v>
      </c>
      <c r="P181" s="13" t="n">
        <v>0</v>
      </c>
      <c r="Q181" s="21" t="n">
        <f aca="false">IF($O181="","",$O181-IF($P181="",0,$P181))</f>
        <v>0</v>
      </c>
      <c r="R181" s="13" t="n">
        <v>2</v>
      </c>
      <c r="S181" s="21" t="str">
        <f aca="false">IF($O181="","",IF($Q181&lt;=$R181,"⚠ REORDER","OK"))</f>
        <v>⚠ REORDER</v>
      </c>
      <c r="T181" s="13"/>
      <c r="U181" s="13"/>
      <c r="V181" s="13" t="s">
        <v>378</v>
      </c>
      <c r="W181" s="12" t="s">
        <v>379</v>
      </c>
      <c r="X181" s="13"/>
      <c r="Y181" s="13"/>
      <c r="Z181" s="12" t="s">
        <v>88</v>
      </c>
      <c r="AA181" s="12" t="s">
        <v>88</v>
      </c>
      <c r="AB181" s="12" t="s">
        <v>88</v>
      </c>
      <c r="AC181" s="12" t="s">
        <v>88</v>
      </c>
      <c r="AD181" s="12" t="s">
        <v>87</v>
      </c>
      <c r="AE181" s="21" t="n">
        <f aca="false">IFERROR(SUMIFS(Transactions!$F:$F,Transactions!$C:$C,$A181,Transactions!$D:$D,"Sale"),0)</f>
        <v>0</v>
      </c>
      <c r="AF181" s="15" t="n">
        <f aca="false">IFERROR(SUMIFS(Transactions!$H:$H,Transactions!$C:$C,$A181,Transactions!$D:$D,"Sale"),0)</f>
        <v>0</v>
      </c>
      <c r="AG181" s="22" t="str">
        <f aca="false">IFERROR(IF(maxifs(Transactions!$B:$B,Transactions!$C:$C,$A181,Transactions!$D:$D,"Sale")=0,"",maxifs(Transactions!$B:$B,Transactions!$C:$C,$A181,Transactions!$D:$D,"Sale")),"")</f>
        <v/>
      </c>
      <c r="AH181" s="12"/>
    </row>
    <row r="182" customFormat="false" ht="18" hidden="false" customHeight="true" outlineLevel="0" collapsed="false">
      <c r="A182" s="12" t="s">
        <v>560</v>
      </c>
      <c r="B182" s="12" t="s">
        <v>186</v>
      </c>
      <c r="C182" s="12" t="s">
        <v>164</v>
      </c>
      <c r="D182" s="12" t="s">
        <v>165</v>
      </c>
      <c r="E182" s="12" t="s">
        <v>79</v>
      </c>
      <c r="F182" s="12" t="s">
        <v>130</v>
      </c>
      <c r="G182" s="12"/>
      <c r="H182" s="12" t="s">
        <v>383</v>
      </c>
      <c r="I182" s="14" t="n">
        <v>19000</v>
      </c>
      <c r="J182" s="18" t="n">
        <f aca="false">IF($I182="","",ROUND($I182*Dropdowns!$K$5,2))</f>
        <v>49.4</v>
      </c>
      <c r="K182" s="19" t="n">
        <f aca="false">IF($I182="","",ROUND($I182*Dropdowns!$K$6,2))</f>
        <v>45.6</v>
      </c>
      <c r="L182" s="20" t="n">
        <f aca="false">IF($I182="","",ROUND($I182*Dropdowns!$K$7,2))</f>
        <v>3895</v>
      </c>
      <c r="M182" s="15" t="str">
        <f aca="false">IFERROR(IF($B182="","",VLOOKUP($B182,Designs!$A$3:$AP$165,27,FALSE())),"")</f>
        <v/>
      </c>
      <c r="N182" s="16" t="str">
        <f aca="false">IFERROR(IF(OR($I182="",$M182="",$M182=0),"",($I182-$M182)/$I182),"")</f>
        <v/>
      </c>
      <c r="O182" s="13" t="n">
        <v>0</v>
      </c>
      <c r="P182" s="13" t="n">
        <v>0</v>
      </c>
      <c r="Q182" s="21" t="n">
        <f aca="false">IF($O182="","",$O182-IF($P182="",0,$P182))</f>
        <v>0</v>
      </c>
      <c r="R182" s="13" t="n">
        <v>2</v>
      </c>
      <c r="S182" s="21" t="str">
        <f aca="false">IF($O182="","",IF($Q182&lt;=$R182,"⚠ REORDER","OK"))</f>
        <v>⚠ REORDER</v>
      </c>
      <c r="T182" s="13"/>
      <c r="U182" s="13"/>
      <c r="V182" s="13" t="s">
        <v>378</v>
      </c>
      <c r="W182" s="12" t="s">
        <v>379</v>
      </c>
      <c r="X182" s="13"/>
      <c r="Y182" s="13"/>
      <c r="Z182" s="12" t="s">
        <v>88</v>
      </c>
      <c r="AA182" s="12" t="s">
        <v>88</v>
      </c>
      <c r="AB182" s="12" t="s">
        <v>88</v>
      </c>
      <c r="AC182" s="12" t="s">
        <v>88</v>
      </c>
      <c r="AD182" s="12" t="s">
        <v>87</v>
      </c>
      <c r="AE182" s="21" t="n">
        <f aca="false">IFERROR(SUMIFS(Transactions!$F:$F,Transactions!$C:$C,$A182,Transactions!$D:$D,"Sale"),0)</f>
        <v>0</v>
      </c>
      <c r="AF182" s="15" t="n">
        <f aca="false">IFERROR(SUMIFS(Transactions!$H:$H,Transactions!$C:$C,$A182,Transactions!$D:$D,"Sale"),0)</f>
        <v>0</v>
      </c>
      <c r="AG182" s="22" t="str">
        <f aca="false">IFERROR(IF(maxifs(Transactions!$B:$B,Transactions!$C:$C,$A182,Transactions!$D:$D,"Sale")=0,"",maxifs(Transactions!$B:$B,Transactions!$C:$C,$A182,Transactions!$D:$D,"Sale")),"")</f>
        <v/>
      </c>
      <c r="AH182" s="12"/>
    </row>
    <row r="183" customFormat="false" ht="18" hidden="false" customHeight="true" outlineLevel="0" collapsed="false">
      <c r="A183" s="12" t="s">
        <v>561</v>
      </c>
      <c r="B183" s="12" t="s">
        <v>187</v>
      </c>
      <c r="C183" s="12" t="s">
        <v>164</v>
      </c>
      <c r="D183" s="12" t="s">
        <v>165</v>
      </c>
      <c r="E183" s="12" t="s">
        <v>79</v>
      </c>
      <c r="F183" s="12" t="s">
        <v>132</v>
      </c>
      <c r="G183" s="12"/>
      <c r="H183" s="12" t="s">
        <v>377</v>
      </c>
      <c r="I183" s="14" t="n">
        <v>19000</v>
      </c>
      <c r="J183" s="18" t="n">
        <f aca="false">IF($I183="","",ROUND($I183*Dropdowns!$K$5,2))</f>
        <v>49.4</v>
      </c>
      <c r="K183" s="19" t="n">
        <f aca="false">IF($I183="","",ROUND($I183*Dropdowns!$K$6,2))</f>
        <v>45.6</v>
      </c>
      <c r="L183" s="20" t="n">
        <f aca="false">IF($I183="","",ROUND($I183*Dropdowns!$K$7,2))</f>
        <v>3895</v>
      </c>
      <c r="M183" s="15" t="str">
        <f aca="false">IFERROR(IF($B183="","",VLOOKUP($B183,Designs!$A$3:$AP$165,27,FALSE())),"")</f>
        <v/>
      </c>
      <c r="N183" s="16" t="str">
        <f aca="false">IFERROR(IF(OR($I183="",$M183="",$M183=0),"",($I183-$M183)/$I183),"")</f>
        <v/>
      </c>
      <c r="O183" s="13" t="n">
        <v>0</v>
      </c>
      <c r="P183" s="13" t="n">
        <v>0</v>
      </c>
      <c r="Q183" s="21" t="n">
        <f aca="false">IF($O183="","",$O183-IF($P183="",0,$P183))</f>
        <v>0</v>
      </c>
      <c r="R183" s="13" t="n">
        <v>2</v>
      </c>
      <c r="S183" s="21" t="str">
        <f aca="false">IF($O183="","",IF($Q183&lt;=$R183,"⚠ REORDER","OK"))</f>
        <v>⚠ REORDER</v>
      </c>
      <c r="T183" s="13"/>
      <c r="U183" s="13"/>
      <c r="V183" s="13" t="s">
        <v>378</v>
      </c>
      <c r="W183" s="12" t="s">
        <v>379</v>
      </c>
      <c r="X183" s="13"/>
      <c r="Y183" s="13"/>
      <c r="Z183" s="12" t="s">
        <v>88</v>
      </c>
      <c r="AA183" s="12" t="s">
        <v>88</v>
      </c>
      <c r="AB183" s="12" t="s">
        <v>88</v>
      </c>
      <c r="AC183" s="12" t="s">
        <v>88</v>
      </c>
      <c r="AD183" s="12" t="s">
        <v>87</v>
      </c>
      <c r="AE183" s="21" t="n">
        <f aca="false">IFERROR(SUMIFS(Transactions!$F:$F,Transactions!$C:$C,$A183,Transactions!$D:$D,"Sale"),0)</f>
        <v>0</v>
      </c>
      <c r="AF183" s="15" t="n">
        <f aca="false">IFERROR(SUMIFS(Transactions!$H:$H,Transactions!$C:$C,$A183,Transactions!$D:$D,"Sale"),0)</f>
        <v>0</v>
      </c>
      <c r="AG183" s="22" t="str">
        <f aca="false">IFERROR(IF(maxifs(Transactions!$B:$B,Transactions!$C:$C,$A183,Transactions!$D:$D,"Sale")=0,"",maxifs(Transactions!$B:$B,Transactions!$C:$C,$A183,Transactions!$D:$D,"Sale")),"")</f>
        <v/>
      </c>
      <c r="AH183" s="12"/>
    </row>
    <row r="184" customFormat="false" ht="18" hidden="false" customHeight="true" outlineLevel="0" collapsed="false">
      <c r="A184" s="12" t="s">
        <v>562</v>
      </c>
      <c r="B184" s="12" t="s">
        <v>187</v>
      </c>
      <c r="C184" s="12" t="s">
        <v>164</v>
      </c>
      <c r="D184" s="12" t="s">
        <v>165</v>
      </c>
      <c r="E184" s="12" t="s">
        <v>79</v>
      </c>
      <c r="F184" s="12" t="s">
        <v>132</v>
      </c>
      <c r="G184" s="12"/>
      <c r="H184" s="12" t="s">
        <v>381</v>
      </c>
      <c r="I184" s="14" t="n">
        <v>19000</v>
      </c>
      <c r="J184" s="18" t="n">
        <f aca="false">IF($I184="","",ROUND($I184*Dropdowns!$K$5,2))</f>
        <v>49.4</v>
      </c>
      <c r="K184" s="19" t="n">
        <f aca="false">IF($I184="","",ROUND($I184*Dropdowns!$K$6,2))</f>
        <v>45.6</v>
      </c>
      <c r="L184" s="20" t="n">
        <f aca="false">IF($I184="","",ROUND($I184*Dropdowns!$K$7,2))</f>
        <v>3895</v>
      </c>
      <c r="M184" s="15" t="str">
        <f aca="false">IFERROR(IF($B184="","",VLOOKUP($B184,Designs!$A$3:$AP$165,27,FALSE())),"")</f>
        <v/>
      </c>
      <c r="N184" s="16" t="str">
        <f aca="false">IFERROR(IF(OR($I184="",$M184="",$M184=0),"",($I184-$M184)/$I184),"")</f>
        <v/>
      </c>
      <c r="O184" s="13" t="n">
        <v>0</v>
      </c>
      <c r="P184" s="13" t="n">
        <v>0</v>
      </c>
      <c r="Q184" s="21" t="n">
        <f aca="false">IF($O184="","",$O184-IF($P184="",0,$P184))</f>
        <v>0</v>
      </c>
      <c r="R184" s="13" t="n">
        <v>2</v>
      </c>
      <c r="S184" s="21" t="str">
        <f aca="false">IF($O184="","",IF($Q184&lt;=$R184,"⚠ REORDER","OK"))</f>
        <v>⚠ REORDER</v>
      </c>
      <c r="T184" s="13"/>
      <c r="U184" s="13"/>
      <c r="V184" s="13" t="s">
        <v>378</v>
      </c>
      <c r="W184" s="12" t="s">
        <v>379</v>
      </c>
      <c r="X184" s="13"/>
      <c r="Y184" s="13"/>
      <c r="Z184" s="12" t="s">
        <v>88</v>
      </c>
      <c r="AA184" s="12" t="s">
        <v>88</v>
      </c>
      <c r="AB184" s="12" t="s">
        <v>88</v>
      </c>
      <c r="AC184" s="12" t="s">
        <v>88</v>
      </c>
      <c r="AD184" s="12" t="s">
        <v>87</v>
      </c>
      <c r="AE184" s="21" t="n">
        <f aca="false">IFERROR(SUMIFS(Transactions!$F:$F,Transactions!$C:$C,$A184,Transactions!$D:$D,"Sale"),0)</f>
        <v>0</v>
      </c>
      <c r="AF184" s="15" t="n">
        <f aca="false">IFERROR(SUMIFS(Transactions!$H:$H,Transactions!$C:$C,$A184,Transactions!$D:$D,"Sale"),0)</f>
        <v>0</v>
      </c>
      <c r="AG184" s="22" t="str">
        <f aca="false">IFERROR(IF(maxifs(Transactions!$B:$B,Transactions!$C:$C,$A184,Transactions!$D:$D,"Sale")=0,"",maxifs(Transactions!$B:$B,Transactions!$C:$C,$A184,Transactions!$D:$D,"Sale")),"")</f>
        <v/>
      </c>
      <c r="AH184" s="12"/>
    </row>
    <row r="185" customFormat="false" ht="18" hidden="false" customHeight="true" outlineLevel="0" collapsed="false">
      <c r="A185" s="12" t="s">
        <v>563</v>
      </c>
      <c r="B185" s="12" t="s">
        <v>187</v>
      </c>
      <c r="C185" s="12" t="s">
        <v>164</v>
      </c>
      <c r="D185" s="12" t="s">
        <v>165</v>
      </c>
      <c r="E185" s="12" t="s">
        <v>79</v>
      </c>
      <c r="F185" s="12" t="s">
        <v>132</v>
      </c>
      <c r="G185" s="12"/>
      <c r="H185" s="12" t="s">
        <v>383</v>
      </c>
      <c r="I185" s="14" t="n">
        <v>19000</v>
      </c>
      <c r="J185" s="18" t="n">
        <f aca="false">IF($I185="","",ROUND($I185*Dropdowns!$K$5,2))</f>
        <v>49.4</v>
      </c>
      <c r="K185" s="19" t="n">
        <f aca="false">IF($I185="","",ROUND($I185*Dropdowns!$K$6,2))</f>
        <v>45.6</v>
      </c>
      <c r="L185" s="20" t="n">
        <f aca="false">IF($I185="","",ROUND($I185*Dropdowns!$K$7,2))</f>
        <v>3895</v>
      </c>
      <c r="M185" s="15" t="str">
        <f aca="false">IFERROR(IF($B185="","",VLOOKUP($B185,Designs!$A$3:$AP$165,27,FALSE())),"")</f>
        <v/>
      </c>
      <c r="N185" s="16" t="str">
        <f aca="false">IFERROR(IF(OR($I185="",$M185="",$M185=0),"",($I185-$M185)/$I185),"")</f>
        <v/>
      </c>
      <c r="O185" s="13" t="n">
        <v>0</v>
      </c>
      <c r="P185" s="13" t="n">
        <v>0</v>
      </c>
      <c r="Q185" s="21" t="n">
        <f aca="false">IF($O185="","",$O185-IF($P185="",0,$P185))</f>
        <v>0</v>
      </c>
      <c r="R185" s="13" t="n">
        <v>2</v>
      </c>
      <c r="S185" s="21" t="str">
        <f aca="false">IF($O185="","",IF($Q185&lt;=$R185,"⚠ REORDER","OK"))</f>
        <v>⚠ REORDER</v>
      </c>
      <c r="T185" s="13"/>
      <c r="U185" s="13"/>
      <c r="V185" s="13" t="s">
        <v>378</v>
      </c>
      <c r="W185" s="12" t="s">
        <v>379</v>
      </c>
      <c r="X185" s="13"/>
      <c r="Y185" s="13"/>
      <c r="Z185" s="12" t="s">
        <v>88</v>
      </c>
      <c r="AA185" s="12" t="s">
        <v>88</v>
      </c>
      <c r="AB185" s="12" t="s">
        <v>88</v>
      </c>
      <c r="AC185" s="12" t="s">
        <v>88</v>
      </c>
      <c r="AD185" s="12" t="s">
        <v>87</v>
      </c>
      <c r="AE185" s="21" t="n">
        <f aca="false">IFERROR(SUMIFS(Transactions!$F:$F,Transactions!$C:$C,$A185,Transactions!$D:$D,"Sale"),0)</f>
        <v>0</v>
      </c>
      <c r="AF185" s="15" t="n">
        <f aca="false">IFERROR(SUMIFS(Transactions!$H:$H,Transactions!$C:$C,$A185,Transactions!$D:$D,"Sale"),0)</f>
        <v>0</v>
      </c>
      <c r="AG185" s="22" t="str">
        <f aca="false">IFERROR(IF(maxifs(Transactions!$B:$B,Transactions!$C:$C,$A185,Transactions!$D:$D,"Sale")=0,"",maxifs(Transactions!$B:$B,Transactions!$C:$C,$A185,Transactions!$D:$D,"Sale")),"")</f>
        <v/>
      </c>
      <c r="AH185" s="12"/>
    </row>
    <row r="186" customFormat="false" ht="18" hidden="false" customHeight="true" outlineLevel="0" collapsed="false">
      <c r="A186" s="12" t="s">
        <v>564</v>
      </c>
      <c r="B186" s="12" t="s">
        <v>188</v>
      </c>
      <c r="C186" s="12" t="s">
        <v>164</v>
      </c>
      <c r="D186" s="12" t="s">
        <v>165</v>
      </c>
      <c r="E186" s="12" t="s">
        <v>79</v>
      </c>
      <c r="F186" s="12" t="s">
        <v>134</v>
      </c>
      <c r="G186" s="12"/>
      <c r="H186" s="12" t="s">
        <v>377</v>
      </c>
      <c r="I186" s="14" t="n">
        <v>19000</v>
      </c>
      <c r="J186" s="18" t="n">
        <f aca="false">IF($I186="","",ROUND($I186*Dropdowns!$K$5,2))</f>
        <v>49.4</v>
      </c>
      <c r="K186" s="19" t="n">
        <f aca="false">IF($I186="","",ROUND($I186*Dropdowns!$K$6,2))</f>
        <v>45.6</v>
      </c>
      <c r="L186" s="20" t="n">
        <f aca="false">IF($I186="","",ROUND($I186*Dropdowns!$K$7,2))</f>
        <v>3895</v>
      </c>
      <c r="M186" s="15" t="str">
        <f aca="false">IFERROR(IF($B186="","",VLOOKUP($B186,Designs!$A$3:$AP$165,27,FALSE())),"")</f>
        <v/>
      </c>
      <c r="N186" s="16" t="str">
        <f aca="false">IFERROR(IF(OR($I186="",$M186="",$M186=0),"",($I186-$M186)/$I186),"")</f>
        <v/>
      </c>
      <c r="O186" s="13" t="n">
        <v>0</v>
      </c>
      <c r="P186" s="13" t="n">
        <v>0</v>
      </c>
      <c r="Q186" s="21" t="n">
        <f aca="false">IF($O186="","",$O186-IF($P186="",0,$P186))</f>
        <v>0</v>
      </c>
      <c r="R186" s="13" t="n">
        <v>2</v>
      </c>
      <c r="S186" s="21" t="str">
        <f aca="false">IF($O186="","",IF($Q186&lt;=$R186,"⚠ REORDER","OK"))</f>
        <v>⚠ REORDER</v>
      </c>
      <c r="T186" s="13"/>
      <c r="U186" s="13"/>
      <c r="V186" s="13" t="s">
        <v>378</v>
      </c>
      <c r="W186" s="12" t="s">
        <v>379</v>
      </c>
      <c r="X186" s="13"/>
      <c r="Y186" s="13"/>
      <c r="Z186" s="12" t="s">
        <v>88</v>
      </c>
      <c r="AA186" s="12" t="s">
        <v>88</v>
      </c>
      <c r="AB186" s="12" t="s">
        <v>88</v>
      </c>
      <c r="AC186" s="12" t="s">
        <v>88</v>
      </c>
      <c r="AD186" s="12" t="s">
        <v>87</v>
      </c>
      <c r="AE186" s="21" t="n">
        <f aca="false">IFERROR(SUMIFS(Transactions!$F:$F,Transactions!$C:$C,$A186,Transactions!$D:$D,"Sale"),0)</f>
        <v>0</v>
      </c>
      <c r="AF186" s="15" t="n">
        <f aca="false">IFERROR(SUMIFS(Transactions!$H:$H,Transactions!$C:$C,$A186,Transactions!$D:$D,"Sale"),0)</f>
        <v>0</v>
      </c>
      <c r="AG186" s="22" t="str">
        <f aca="false">IFERROR(IF(maxifs(Transactions!$B:$B,Transactions!$C:$C,$A186,Transactions!$D:$D,"Sale")=0,"",maxifs(Transactions!$B:$B,Transactions!$C:$C,$A186,Transactions!$D:$D,"Sale")),"")</f>
        <v/>
      </c>
      <c r="AH186" s="12"/>
    </row>
    <row r="187" customFormat="false" ht="18" hidden="false" customHeight="true" outlineLevel="0" collapsed="false">
      <c r="A187" s="12" t="s">
        <v>565</v>
      </c>
      <c r="B187" s="12" t="s">
        <v>188</v>
      </c>
      <c r="C187" s="12" t="s">
        <v>164</v>
      </c>
      <c r="D187" s="12" t="s">
        <v>165</v>
      </c>
      <c r="E187" s="12" t="s">
        <v>79</v>
      </c>
      <c r="F187" s="12" t="s">
        <v>134</v>
      </c>
      <c r="G187" s="12"/>
      <c r="H187" s="12" t="s">
        <v>381</v>
      </c>
      <c r="I187" s="14" t="n">
        <v>19000</v>
      </c>
      <c r="J187" s="18" t="n">
        <f aca="false">IF($I187="","",ROUND($I187*Dropdowns!$K$5,2))</f>
        <v>49.4</v>
      </c>
      <c r="K187" s="19" t="n">
        <f aca="false">IF($I187="","",ROUND($I187*Dropdowns!$K$6,2))</f>
        <v>45.6</v>
      </c>
      <c r="L187" s="20" t="n">
        <f aca="false">IF($I187="","",ROUND($I187*Dropdowns!$K$7,2))</f>
        <v>3895</v>
      </c>
      <c r="M187" s="15" t="str">
        <f aca="false">IFERROR(IF($B187="","",VLOOKUP($B187,Designs!$A$3:$AP$165,27,FALSE())),"")</f>
        <v/>
      </c>
      <c r="N187" s="16" t="str">
        <f aca="false">IFERROR(IF(OR($I187="",$M187="",$M187=0),"",($I187-$M187)/$I187),"")</f>
        <v/>
      </c>
      <c r="O187" s="13" t="n">
        <v>0</v>
      </c>
      <c r="P187" s="13" t="n">
        <v>0</v>
      </c>
      <c r="Q187" s="21" t="n">
        <f aca="false">IF($O187="","",$O187-IF($P187="",0,$P187))</f>
        <v>0</v>
      </c>
      <c r="R187" s="13" t="n">
        <v>2</v>
      </c>
      <c r="S187" s="21" t="str">
        <f aca="false">IF($O187="","",IF($Q187&lt;=$R187,"⚠ REORDER","OK"))</f>
        <v>⚠ REORDER</v>
      </c>
      <c r="T187" s="13"/>
      <c r="U187" s="13"/>
      <c r="V187" s="13" t="s">
        <v>378</v>
      </c>
      <c r="W187" s="12" t="s">
        <v>379</v>
      </c>
      <c r="X187" s="13"/>
      <c r="Y187" s="13"/>
      <c r="Z187" s="12" t="s">
        <v>88</v>
      </c>
      <c r="AA187" s="12" t="s">
        <v>88</v>
      </c>
      <c r="AB187" s="12" t="s">
        <v>88</v>
      </c>
      <c r="AC187" s="12" t="s">
        <v>88</v>
      </c>
      <c r="AD187" s="12" t="s">
        <v>87</v>
      </c>
      <c r="AE187" s="21" t="n">
        <f aca="false">IFERROR(SUMIFS(Transactions!$F:$F,Transactions!$C:$C,$A187,Transactions!$D:$D,"Sale"),0)</f>
        <v>0</v>
      </c>
      <c r="AF187" s="15" t="n">
        <f aca="false">IFERROR(SUMIFS(Transactions!$H:$H,Transactions!$C:$C,$A187,Transactions!$D:$D,"Sale"),0)</f>
        <v>0</v>
      </c>
      <c r="AG187" s="22" t="str">
        <f aca="false">IFERROR(IF(maxifs(Transactions!$B:$B,Transactions!$C:$C,$A187,Transactions!$D:$D,"Sale")=0,"",maxifs(Transactions!$B:$B,Transactions!$C:$C,$A187,Transactions!$D:$D,"Sale")),"")</f>
        <v/>
      </c>
      <c r="AH187" s="12"/>
    </row>
    <row r="188" customFormat="false" ht="18" hidden="false" customHeight="true" outlineLevel="0" collapsed="false">
      <c r="A188" s="12" t="s">
        <v>566</v>
      </c>
      <c r="B188" s="12" t="s">
        <v>188</v>
      </c>
      <c r="C188" s="12" t="s">
        <v>164</v>
      </c>
      <c r="D188" s="12" t="s">
        <v>165</v>
      </c>
      <c r="E188" s="12" t="s">
        <v>79</v>
      </c>
      <c r="F188" s="12" t="s">
        <v>134</v>
      </c>
      <c r="G188" s="12"/>
      <c r="H188" s="12" t="s">
        <v>383</v>
      </c>
      <c r="I188" s="14" t="n">
        <v>19000</v>
      </c>
      <c r="J188" s="18" t="n">
        <f aca="false">IF($I188="","",ROUND($I188*Dropdowns!$K$5,2))</f>
        <v>49.4</v>
      </c>
      <c r="K188" s="19" t="n">
        <f aca="false">IF($I188="","",ROUND($I188*Dropdowns!$K$6,2))</f>
        <v>45.6</v>
      </c>
      <c r="L188" s="20" t="n">
        <f aca="false">IF($I188="","",ROUND($I188*Dropdowns!$K$7,2))</f>
        <v>3895</v>
      </c>
      <c r="M188" s="15" t="str">
        <f aca="false">IFERROR(IF($B188="","",VLOOKUP($B188,Designs!$A$3:$AP$165,27,FALSE())),"")</f>
        <v/>
      </c>
      <c r="N188" s="16" t="str">
        <f aca="false">IFERROR(IF(OR($I188="",$M188="",$M188=0),"",($I188-$M188)/$I188),"")</f>
        <v/>
      </c>
      <c r="O188" s="13" t="n">
        <v>0</v>
      </c>
      <c r="P188" s="13" t="n">
        <v>0</v>
      </c>
      <c r="Q188" s="21" t="n">
        <f aca="false">IF($O188="","",$O188-IF($P188="",0,$P188))</f>
        <v>0</v>
      </c>
      <c r="R188" s="13" t="n">
        <v>2</v>
      </c>
      <c r="S188" s="21" t="str">
        <f aca="false">IF($O188="","",IF($Q188&lt;=$R188,"⚠ REORDER","OK"))</f>
        <v>⚠ REORDER</v>
      </c>
      <c r="T188" s="13"/>
      <c r="U188" s="13"/>
      <c r="V188" s="13" t="s">
        <v>378</v>
      </c>
      <c r="W188" s="12" t="s">
        <v>379</v>
      </c>
      <c r="X188" s="13"/>
      <c r="Y188" s="13"/>
      <c r="Z188" s="12" t="s">
        <v>88</v>
      </c>
      <c r="AA188" s="12" t="s">
        <v>88</v>
      </c>
      <c r="AB188" s="12" t="s">
        <v>88</v>
      </c>
      <c r="AC188" s="12" t="s">
        <v>88</v>
      </c>
      <c r="AD188" s="12" t="s">
        <v>87</v>
      </c>
      <c r="AE188" s="21" t="n">
        <f aca="false">IFERROR(SUMIFS(Transactions!$F:$F,Transactions!$C:$C,$A188,Transactions!$D:$D,"Sale"),0)</f>
        <v>0</v>
      </c>
      <c r="AF188" s="15" t="n">
        <f aca="false">IFERROR(SUMIFS(Transactions!$H:$H,Transactions!$C:$C,$A188,Transactions!$D:$D,"Sale"),0)</f>
        <v>0</v>
      </c>
      <c r="AG188" s="22" t="str">
        <f aca="false">IFERROR(IF(maxifs(Transactions!$B:$B,Transactions!$C:$C,$A188,Transactions!$D:$D,"Sale")=0,"",maxifs(Transactions!$B:$B,Transactions!$C:$C,$A188,Transactions!$D:$D,"Sale")),"")</f>
        <v/>
      </c>
      <c r="AH188" s="12"/>
    </row>
    <row r="189" customFormat="false" ht="18" hidden="false" customHeight="true" outlineLevel="0" collapsed="false">
      <c r="A189" s="12" t="s">
        <v>567</v>
      </c>
      <c r="B189" s="12" t="s">
        <v>189</v>
      </c>
      <c r="C189" s="12" t="s">
        <v>164</v>
      </c>
      <c r="D189" s="12" t="s">
        <v>165</v>
      </c>
      <c r="E189" s="12" t="s">
        <v>79</v>
      </c>
      <c r="F189" s="12" t="s">
        <v>136</v>
      </c>
      <c r="G189" s="12"/>
      <c r="H189" s="12" t="s">
        <v>377</v>
      </c>
      <c r="I189" s="14" t="n">
        <v>19000</v>
      </c>
      <c r="J189" s="18" t="n">
        <f aca="false">IF($I189="","",ROUND($I189*Dropdowns!$K$5,2))</f>
        <v>49.4</v>
      </c>
      <c r="K189" s="19" t="n">
        <f aca="false">IF($I189="","",ROUND($I189*Dropdowns!$K$6,2))</f>
        <v>45.6</v>
      </c>
      <c r="L189" s="20" t="n">
        <f aca="false">IF($I189="","",ROUND($I189*Dropdowns!$K$7,2))</f>
        <v>3895</v>
      </c>
      <c r="M189" s="15" t="str">
        <f aca="false">IFERROR(IF($B189="","",VLOOKUP($B189,Designs!$A$3:$AP$165,27,FALSE())),"")</f>
        <v/>
      </c>
      <c r="N189" s="16" t="str">
        <f aca="false">IFERROR(IF(OR($I189="",$M189="",$M189=0),"",($I189-$M189)/$I189),"")</f>
        <v/>
      </c>
      <c r="O189" s="13" t="n">
        <v>0</v>
      </c>
      <c r="P189" s="13" t="n">
        <v>0</v>
      </c>
      <c r="Q189" s="21" t="n">
        <f aca="false">IF($O189="","",$O189-IF($P189="",0,$P189))</f>
        <v>0</v>
      </c>
      <c r="R189" s="13" t="n">
        <v>2</v>
      </c>
      <c r="S189" s="21" t="str">
        <f aca="false">IF($O189="","",IF($Q189&lt;=$R189,"⚠ REORDER","OK"))</f>
        <v>⚠ REORDER</v>
      </c>
      <c r="T189" s="13"/>
      <c r="U189" s="13"/>
      <c r="V189" s="13" t="s">
        <v>378</v>
      </c>
      <c r="W189" s="12" t="s">
        <v>379</v>
      </c>
      <c r="X189" s="13"/>
      <c r="Y189" s="13"/>
      <c r="Z189" s="12" t="s">
        <v>88</v>
      </c>
      <c r="AA189" s="12" t="s">
        <v>88</v>
      </c>
      <c r="AB189" s="12" t="s">
        <v>88</v>
      </c>
      <c r="AC189" s="12" t="s">
        <v>88</v>
      </c>
      <c r="AD189" s="12" t="s">
        <v>87</v>
      </c>
      <c r="AE189" s="21" t="n">
        <f aca="false">IFERROR(SUMIFS(Transactions!$F:$F,Transactions!$C:$C,$A189,Transactions!$D:$D,"Sale"),0)</f>
        <v>0</v>
      </c>
      <c r="AF189" s="15" t="n">
        <f aca="false">IFERROR(SUMIFS(Transactions!$H:$H,Transactions!$C:$C,$A189,Transactions!$D:$D,"Sale"),0)</f>
        <v>0</v>
      </c>
      <c r="AG189" s="22" t="str">
        <f aca="false">IFERROR(IF(maxifs(Transactions!$B:$B,Transactions!$C:$C,$A189,Transactions!$D:$D,"Sale")=0,"",maxifs(Transactions!$B:$B,Transactions!$C:$C,$A189,Transactions!$D:$D,"Sale")),"")</f>
        <v/>
      </c>
      <c r="AH189" s="12"/>
    </row>
    <row r="190" customFormat="false" ht="18" hidden="false" customHeight="true" outlineLevel="0" collapsed="false">
      <c r="A190" s="12" t="s">
        <v>568</v>
      </c>
      <c r="B190" s="12" t="s">
        <v>189</v>
      </c>
      <c r="C190" s="12" t="s">
        <v>164</v>
      </c>
      <c r="D190" s="12" t="s">
        <v>165</v>
      </c>
      <c r="E190" s="12" t="s">
        <v>79</v>
      </c>
      <c r="F190" s="12" t="s">
        <v>136</v>
      </c>
      <c r="G190" s="12"/>
      <c r="H190" s="12" t="s">
        <v>381</v>
      </c>
      <c r="I190" s="14" t="n">
        <v>19000</v>
      </c>
      <c r="J190" s="18" t="n">
        <f aca="false">IF($I190="","",ROUND($I190*Dropdowns!$K$5,2))</f>
        <v>49.4</v>
      </c>
      <c r="K190" s="19" t="n">
        <f aca="false">IF($I190="","",ROUND($I190*Dropdowns!$K$6,2))</f>
        <v>45.6</v>
      </c>
      <c r="L190" s="20" t="n">
        <f aca="false">IF($I190="","",ROUND($I190*Dropdowns!$K$7,2))</f>
        <v>3895</v>
      </c>
      <c r="M190" s="15" t="str">
        <f aca="false">IFERROR(IF($B190="","",VLOOKUP($B190,Designs!$A$3:$AP$165,27,FALSE())),"")</f>
        <v/>
      </c>
      <c r="N190" s="16" t="str">
        <f aca="false">IFERROR(IF(OR($I190="",$M190="",$M190=0),"",($I190-$M190)/$I190),"")</f>
        <v/>
      </c>
      <c r="O190" s="13" t="n">
        <v>0</v>
      </c>
      <c r="P190" s="13" t="n">
        <v>0</v>
      </c>
      <c r="Q190" s="21" t="n">
        <f aca="false">IF($O190="","",$O190-IF($P190="",0,$P190))</f>
        <v>0</v>
      </c>
      <c r="R190" s="13" t="n">
        <v>2</v>
      </c>
      <c r="S190" s="21" t="str">
        <f aca="false">IF($O190="","",IF($Q190&lt;=$R190,"⚠ REORDER","OK"))</f>
        <v>⚠ REORDER</v>
      </c>
      <c r="T190" s="13"/>
      <c r="U190" s="13"/>
      <c r="V190" s="13" t="s">
        <v>378</v>
      </c>
      <c r="W190" s="12" t="s">
        <v>379</v>
      </c>
      <c r="X190" s="13"/>
      <c r="Y190" s="13"/>
      <c r="Z190" s="12" t="s">
        <v>88</v>
      </c>
      <c r="AA190" s="12" t="s">
        <v>88</v>
      </c>
      <c r="AB190" s="12" t="s">
        <v>88</v>
      </c>
      <c r="AC190" s="12" t="s">
        <v>88</v>
      </c>
      <c r="AD190" s="12" t="s">
        <v>87</v>
      </c>
      <c r="AE190" s="21" t="n">
        <f aca="false">IFERROR(SUMIFS(Transactions!$F:$F,Transactions!$C:$C,$A190,Transactions!$D:$D,"Sale"),0)</f>
        <v>0</v>
      </c>
      <c r="AF190" s="15" t="n">
        <f aca="false">IFERROR(SUMIFS(Transactions!$H:$H,Transactions!$C:$C,$A190,Transactions!$D:$D,"Sale"),0)</f>
        <v>0</v>
      </c>
      <c r="AG190" s="22" t="str">
        <f aca="false">IFERROR(IF(maxifs(Transactions!$B:$B,Transactions!$C:$C,$A190,Transactions!$D:$D,"Sale")=0,"",maxifs(Transactions!$B:$B,Transactions!$C:$C,$A190,Transactions!$D:$D,"Sale")),"")</f>
        <v/>
      </c>
      <c r="AH190" s="12"/>
    </row>
    <row r="191" customFormat="false" ht="18" hidden="false" customHeight="true" outlineLevel="0" collapsed="false">
      <c r="A191" s="12" t="s">
        <v>569</v>
      </c>
      <c r="B191" s="12" t="s">
        <v>189</v>
      </c>
      <c r="C191" s="12" t="s">
        <v>164</v>
      </c>
      <c r="D191" s="12" t="s">
        <v>165</v>
      </c>
      <c r="E191" s="12" t="s">
        <v>79</v>
      </c>
      <c r="F191" s="12" t="s">
        <v>136</v>
      </c>
      <c r="G191" s="12"/>
      <c r="H191" s="12" t="s">
        <v>383</v>
      </c>
      <c r="I191" s="14" t="n">
        <v>19000</v>
      </c>
      <c r="J191" s="18" t="n">
        <f aca="false">IF($I191="","",ROUND($I191*Dropdowns!$K$5,2))</f>
        <v>49.4</v>
      </c>
      <c r="K191" s="19" t="n">
        <f aca="false">IF($I191="","",ROUND($I191*Dropdowns!$K$6,2))</f>
        <v>45.6</v>
      </c>
      <c r="L191" s="20" t="n">
        <f aca="false">IF($I191="","",ROUND($I191*Dropdowns!$K$7,2))</f>
        <v>3895</v>
      </c>
      <c r="M191" s="15" t="str">
        <f aca="false">IFERROR(IF($B191="","",VLOOKUP($B191,Designs!$A$3:$AP$165,27,FALSE())),"")</f>
        <v/>
      </c>
      <c r="N191" s="16" t="str">
        <f aca="false">IFERROR(IF(OR($I191="",$M191="",$M191=0),"",($I191-$M191)/$I191),"")</f>
        <v/>
      </c>
      <c r="O191" s="13" t="n">
        <v>0</v>
      </c>
      <c r="P191" s="13" t="n">
        <v>0</v>
      </c>
      <c r="Q191" s="21" t="n">
        <f aca="false">IF($O191="","",$O191-IF($P191="",0,$P191))</f>
        <v>0</v>
      </c>
      <c r="R191" s="13" t="n">
        <v>2</v>
      </c>
      <c r="S191" s="21" t="str">
        <f aca="false">IF($O191="","",IF($Q191&lt;=$R191,"⚠ REORDER","OK"))</f>
        <v>⚠ REORDER</v>
      </c>
      <c r="T191" s="13"/>
      <c r="U191" s="13"/>
      <c r="V191" s="13" t="s">
        <v>378</v>
      </c>
      <c r="W191" s="12" t="s">
        <v>379</v>
      </c>
      <c r="X191" s="13"/>
      <c r="Y191" s="13"/>
      <c r="Z191" s="12" t="s">
        <v>88</v>
      </c>
      <c r="AA191" s="12" t="s">
        <v>88</v>
      </c>
      <c r="AB191" s="12" t="s">
        <v>88</v>
      </c>
      <c r="AC191" s="12" t="s">
        <v>88</v>
      </c>
      <c r="AD191" s="12" t="s">
        <v>87</v>
      </c>
      <c r="AE191" s="21" t="n">
        <f aca="false">IFERROR(SUMIFS(Transactions!$F:$F,Transactions!$C:$C,$A191,Transactions!$D:$D,"Sale"),0)</f>
        <v>0</v>
      </c>
      <c r="AF191" s="15" t="n">
        <f aca="false">IFERROR(SUMIFS(Transactions!$H:$H,Transactions!$C:$C,$A191,Transactions!$D:$D,"Sale"),0)</f>
        <v>0</v>
      </c>
      <c r="AG191" s="22" t="str">
        <f aca="false">IFERROR(IF(maxifs(Transactions!$B:$B,Transactions!$C:$C,$A191,Transactions!$D:$D,"Sale")=0,"",maxifs(Transactions!$B:$B,Transactions!$C:$C,$A191,Transactions!$D:$D,"Sale")),"")</f>
        <v/>
      </c>
      <c r="AH191" s="12"/>
    </row>
    <row r="192" customFormat="false" ht="18" hidden="false" customHeight="true" outlineLevel="0" collapsed="false">
      <c r="A192" s="12" t="s">
        <v>570</v>
      </c>
      <c r="B192" s="12" t="s">
        <v>190</v>
      </c>
      <c r="C192" s="12" t="s">
        <v>164</v>
      </c>
      <c r="D192" s="12" t="s">
        <v>165</v>
      </c>
      <c r="E192" s="12" t="s">
        <v>79</v>
      </c>
      <c r="F192" s="12" t="s">
        <v>138</v>
      </c>
      <c r="G192" s="12"/>
      <c r="H192" s="12" t="s">
        <v>377</v>
      </c>
      <c r="I192" s="14" t="n">
        <v>19000</v>
      </c>
      <c r="J192" s="18" t="n">
        <f aca="false">IF($I192="","",ROUND($I192*Dropdowns!$K$5,2))</f>
        <v>49.4</v>
      </c>
      <c r="K192" s="19" t="n">
        <f aca="false">IF($I192="","",ROUND($I192*Dropdowns!$K$6,2))</f>
        <v>45.6</v>
      </c>
      <c r="L192" s="20" t="n">
        <f aca="false">IF($I192="","",ROUND($I192*Dropdowns!$K$7,2))</f>
        <v>3895</v>
      </c>
      <c r="M192" s="15" t="str">
        <f aca="false">IFERROR(IF($B192="","",VLOOKUP($B192,Designs!$A$3:$AP$165,27,FALSE())),"")</f>
        <v/>
      </c>
      <c r="N192" s="16" t="str">
        <f aca="false">IFERROR(IF(OR($I192="",$M192="",$M192=0),"",($I192-$M192)/$I192),"")</f>
        <v/>
      </c>
      <c r="O192" s="13" t="n">
        <v>0</v>
      </c>
      <c r="P192" s="13" t="n">
        <v>0</v>
      </c>
      <c r="Q192" s="21" t="n">
        <f aca="false">IF($O192="","",$O192-IF($P192="",0,$P192))</f>
        <v>0</v>
      </c>
      <c r="R192" s="13" t="n">
        <v>2</v>
      </c>
      <c r="S192" s="21" t="str">
        <f aca="false">IF($O192="","",IF($Q192&lt;=$R192,"⚠ REORDER","OK"))</f>
        <v>⚠ REORDER</v>
      </c>
      <c r="T192" s="13"/>
      <c r="U192" s="13"/>
      <c r="V192" s="13" t="s">
        <v>378</v>
      </c>
      <c r="W192" s="12" t="s">
        <v>379</v>
      </c>
      <c r="X192" s="13"/>
      <c r="Y192" s="13"/>
      <c r="Z192" s="12" t="s">
        <v>88</v>
      </c>
      <c r="AA192" s="12" t="s">
        <v>88</v>
      </c>
      <c r="AB192" s="12" t="s">
        <v>88</v>
      </c>
      <c r="AC192" s="12" t="s">
        <v>88</v>
      </c>
      <c r="AD192" s="12" t="s">
        <v>87</v>
      </c>
      <c r="AE192" s="21" t="n">
        <f aca="false">IFERROR(SUMIFS(Transactions!$F:$F,Transactions!$C:$C,$A192,Transactions!$D:$D,"Sale"),0)</f>
        <v>0</v>
      </c>
      <c r="AF192" s="15" t="n">
        <f aca="false">IFERROR(SUMIFS(Transactions!$H:$H,Transactions!$C:$C,$A192,Transactions!$D:$D,"Sale"),0)</f>
        <v>0</v>
      </c>
      <c r="AG192" s="22" t="str">
        <f aca="false">IFERROR(IF(maxifs(Transactions!$B:$B,Transactions!$C:$C,$A192,Transactions!$D:$D,"Sale")=0,"",maxifs(Transactions!$B:$B,Transactions!$C:$C,$A192,Transactions!$D:$D,"Sale")),"")</f>
        <v/>
      </c>
      <c r="AH192" s="12"/>
    </row>
    <row r="193" customFormat="false" ht="18" hidden="false" customHeight="true" outlineLevel="0" collapsed="false">
      <c r="A193" s="12" t="s">
        <v>571</v>
      </c>
      <c r="B193" s="12" t="s">
        <v>190</v>
      </c>
      <c r="C193" s="12" t="s">
        <v>164</v>
      </c>
      <c r="D193" s="12" t="s">
        <v>165</v>
      </c>
      <c r="E193" s="12" t="s">
        <v>79</v>
      </c>
      <c r="F193" s="12" t="s">
        <v>138</v>
      </c>
      <c r="G193" s="12"/>
      <c r="H193" s="12" t="s">
        <v>381</v>
      </c>
      <c r="I193" s="14" t="n">
        <v>19000</v>
      </c>
      <c r="J193" s="18" t="n">
        <f aca="false">IF($I193="","",ROUND($I193*Dropdowns!$K$5,2))</f>
        <v>49.4</v>
      </c>
      <c r="K193" s="19" t="n">
        <f aca="false">IF($I193="","",ROUND($I193*Dropdowns!$K$6,2))</f>
        <v>45.6</v>
      </c>
      <c r="L193" s="20" t="n">
        <f aca="false">IF($I193="","",ROUND($I193*Dropdowns!$K$7,2))</f>
        <v>3895</v>
      </c>
      <c r="M193" s="15" t="str">
        <f aca="false">IFERROR(IF($B193="","",VLOOKUP($B193,Designs!$A$3:$AP$165,27,FALSE())),"")</f>
        <v/>
      </c>
      <c r="N193" s="16" t="str">
        <f aca="false">IFERROR(IF(OR($I193="",$M193="",$M193=0),"",($I193-$M193)/$I193),"")</f>
        <v/>
      </c>
      <c r="O193" s="13" t="n">
        <v>0</v>
      </c>
      <c r="P193" s="13" t="n">
        <v>0</v>
      </c>
      <c r="Q193" s="21" t="n">
        <f aca="false">IF($O193="","",$O193-IF($P193="",0,$P193))</f>
        <v>0</v>
      </c>
      <c r="R193" s="13" t="n">
        <v>2</v>
      </c>
      <c r="S193" s="21" t="str">
        <f aca="false">IF($O193="","",IF($Q193&lt;=$R193,"⚠ REORDER","OK"))</f>
        <v>⚠ REORDER</v>
      </c>
      <c r="T193" s="13"/>
      <c r="U193" s="13"/>
      <c r="V193" s="13" t="s">
        <v>378</v>
      </c>
      <c r="W193" s="12" t="s">
        <v>379</v>
      </c>
      <c r="X193" s="13"/>
      <c r="Y193" s="13"/>
      <c r="Z193" s="12" t="s">
        <v>88</v>
      </c>
      <c r="AA193" s="12" t="s">
        <v>88</v>
      </c>
      <c r="AB193" s="12" t="s">
        <v>88</v>
      </c>
      <c r="AC193" s="12" t="s">
        <v>88</v>
      </c>
      <c r="AD193" s="12" t="s">
        <v>87</v>
      </c>
      <c r="AE193" s="21" t="n">
        <f aca="false">IFERROR(SUMIFS(Transactions!$F:$F,Transactions!$C:$C,$A193,Transactions!$D:$D,"Sale"),0)</f>
        <v>0</v>
      </c>
      <c r="AF193" s="15" t="n">
        <f aca="false">IFERROR(SUMIFS(Transactions!$H:$H,Transactions!$C:$C,$A193,Transactions!$D:$D,"Sale"),0)</f>
        <v>0</v>
      </c>
      <c r="AG193" s="22" t="str">
        <f aca="false">IFERROR(IF(maxifs(Transactions!$B:$B,Transactions!$C:$C,$A193,Transactions!$D:$D,"Sale")=0,"",maxifs(Transactions!$B:$B,Transactions!$C:$C,$A193,Transactions!$D:$D,"Sale")),"")</f>
        <v/>
      </c>
      <c r="AH193" s="12"/>
    </row>
    <row r="194" customFormat="false" ht="18" hidden="false" customHeight="true" outlineLevel="0" collapsed="false">
      <c r="A194" s="12" t="s">
        <v>572</v>
      </c>
      <c r="B194" s="12" t="s">
        <v>190</v>
      </c>
      <c r="C194" s="12" t="s">
        <v>164</v>
      </c>
      <c r="D194" s="12" t="s">
        <v>165</v>
      </c>
      <c r="E194" s="12" t="s">
        <v>79</v>
      </c>
      <c r="F194" s="12" t="s">
        <v>138</v>
      </c>
      <c r="G194" s="12"/>
      <c r="H194" s="12" t="s">
        <v>383</v>
      </c>
      <c r="I194" s="14" t="n">
        <v>19000</v>
      </c>
      <c r="J194" s="18" t="n">
        <f aca="false">IF($I194="","",ROUND($I194*Dropdowns!$K$5,2))</f>
        <v>49.4</v>
      </c>
      <c r="K194" s="19" t="n">
        <f aca="false">IF($I194="","",ROUND($I194*Dropdowns!$K$6,2))</f>
        <v>45.6</v>
      </c>
      <c r="L194" s="20" t="n">
        <f aca="false">IF($I194="","",ROUND($I194*Dropdowns!$K$7,2))</f>
        <v>3895</v>
      </c>
      <c r="M194" s="15" t="str">
        <f aca="false">IFERROR(IF($B194="","",VLOOKUP($B194,Designs!$A$3:$AP$165,27,FALSE())),"")</f>
        <v/>
      </c>
      <c r="N194" s="16" t="str">
        <f aca="false">IFERROR(IF(OR($I194="",$M194="",$M194=0),"",($I194-$M194)/$I194),"")</f>
        <v/>
      </c>
      <c r="O194" s="13" t="n">
        <v>0</v>
      </c>
      <c r="P194" s="13" t="n">
        <v>0</v>
      </c>
      <c r="Q194" s="21" t="n">
        <f aca="false">IF($O194="","",$O194-IF($P194="",0,$P194))</f>
        <v>0</v>
      </c>
      <c r="R194" s="13" t="n">
        <v>2</v>
      </c>
      <c r="S194" s="21" t="str">
        <f aca="false">IF($O194="","",IF($Q194&lt;=$R194,"⚠ REORDER","OK"))</f>
        <v>⚠ REORDER</v>
      </c>
      <c r="T194" s="13"/>
      <c r="U194" s="13"/>
      <c r="V194" s="13" t="s">
        <v>378</v>
      </c>
      <c r="W194" s="12" t="s">
        <v>379</v>
      </c>
      <c r="X194" s="13"/>
      <c r="Y194" s="13"/>
      <c r="Z194" s="12" t="s">
        <v>88</v>
      </c>
      <c r="AA194" s="12" t="s">
        <v>88</v>
      </c>
      <c r="AB194" s="12" t="s">
        <v>88</v>
      </c>
      <c r="AC194" s="12" t="s">
        <v>88</v>
      </c>
      <c r="AD194" s="12" t="s">
        <v>87</v>
      </c>
      <c r="AE194" s="21" t="n">
        <f aca="false">IFERROR(SUMIFS(Transactions!$F:$F,Transactions!$C:$C,$A194,Transactions!$D:$D,"Sale"),0)</f>
        <v>0</v>
      </c>
      <c r="AF194" s="15" t="n">
        <f aca="false">IFERROR(SUMIFS(Transactions!$H:$H,Transactions!$C:$C,$A194,Transactions!$D:$D,"Sale"),0)</f>
        <v>0</v>
      </c>
      <c r="AG194" s="22" t="str">
        <f aca="false">IFERROR(IF(maxifs(Transactions!$B:$B,Transactions!$C:$C,$A194,Transactions!$D:$D,"Sale")=0,"",maxifs(Transactions!$B:$B,Transactions!$C:$C,$A194,Transactions!$D:$D,"Sale")),"")</f>
        <v/>
      </c>
      <c r="AH194" s="12"/>
    </row>
    <row r="195" customFormat="false" ht="18" hidden="false" customHeight="true" outlineLevel="0" collapsed="false">
      <c r="A195" s="12" t="s">
        <v>573</v>
      </c>
      <c r="B195" s="12" t="s">
        <v>191</v>
      </c>
      <c r="C195" s="12" t="s">
        <v>164</v>
      </c>
      <c r="D195" s="12" t="s">
        <v>165</v>
      </c>
      <c r="E195" s="12" t="s">
        <v>79</v>
      </c>
      <c r="F195" s="12" t="s">
        <v>140</v>
      </c>
      <c r="G195" s="12"/>
      <c r="H195" s="12" t="s">
        <v>377</v>
      </c>
      <c r="I195" s="14" t="n">
        <v>19000</v>
      </c>
      <c r="J195" s="18" t="n">
        <f aca="false">IF($I195="","",ROUND($I195*Dropdowns!$K$5,2))</f>
        <v>49.4</v>
      </c>
      <c r="K195" s="19" t="n">
        <f aca="false">IF($I195="","",ROUND($I195*Dropdowns!$K$6,2))</f>
        <v>45.6</v>
      </c>
      <c r="L195" s="20" t="n">
        <f aca="false">IF($I195="","",ROUND($I195*Dropdowns!$K$7,2))</f>
        <v>3895</v>
      </c>
      <c r="M195" s="15" t="str">
        <f aca="false">IFERROR(IF($B195="","",VLOOKUP($B195,Designs!$A$3:$AP$165,27,FALSE())),"")</f>
        <v/>
      </c>
      <c r="N195" s="16" t="str">
        <f aca="false">IFERROR(IF(OR($I195="",$M195="",$M195=0),"",($I195-$M195)/$I195),"")</f>
        <v/>
      </c>
      <c r="O195" s="13" t="n">
        <v>0</v>
      </c>
      <c r="P195" s="13" t="n">
        <v>0</v>
      </c>
      <c r="Q195" s="21" t="n">
        <f aca="false">IF($O195="","",$O195-IF($P195="",0,$P195))</f>
        <v>0</v>
      </c>
      <c r="R195" s="13" t="n">
        <v>2</v>
      </c>
      <c r="S195" s="21" t="str">
        <f aca="false">IF($O195="","",IF($Q195&lt;=$R195,"⚠ REORDER","OK"))</f>
        <v>⚠ REORDER</v>
      </c>
      <c r="T195" s="13"/>
      <c r="U195" s="13"/>
      <c r="V195" s="13" t="s">
        <v>378</v>
      </c>
      <c r="W195" s="12" t="s">
        <v>379</v>
      </c>
      <c r="X195" s="13"/>
      <c r="Y195" s="13"/>
      <c r="Z195" s="12" t="s">
        <v>88</v>
      </c>
      <c r="AA195" s="12" t="s">
        <v>88</v>
      </c>
      <c r="AB195" s="12" t="s">
        <v>88</v>
      </c>
      <c r="AC195" s="12" t="s">
        <v>88</v>
      </c>
      <c r="AD195" s="12" t="s">
        <v>87</v>
      </c>
      <c r="AE195" s="21" t="n">
        <f aca="false">IFERROR(SUMIFS(Transactions!$F:$F,Transactions!$C:$C,$A195,Transactions!$D:$D,"Sale"),0)</f>
        <v>0</v>
      </c>
      <c r="AF195" s="15" t="n">
        <f aca="false">IFERROR(SUMIFS(Transactions!$H:$H,Transactions!$C:$C,$A195,Transactions!$D:$D,"Sale"),0)</f>
        <v>0</v>
      </c>
      <c r="AG195" s="22" t="str">
        <f aca="false">IFERROR(IF(maxifs(Transactions!$B:$B,Transactions!$C:$C,$A195,Transactions!$D:$D,"Sale")=0,"",maxifs(Transactions!$B:$B,Transactions!$C:$C,$A195,Transactions!$D:$D,"Sale")),"")</f>
        <v/>
      </c>
      <c r="AH195" s="12"/>
    </row>
    <row r="196" customFormat="false" ht="18" hidden="false" customHeight="true" outlineLevel="0" collapsed="false">
      <c r="A196" s="12" t="s">
        <v>574</v>
      </c>
      <c r="B196" s="12" t="s">
        <v>191</v>
      </c>
      <c r="C196" s="12" t="s">
        <v>164</v>
      </c>
      <c r="D196" s="12" t="s">
        <v>165</v>
      </c>
      <c r="E196" s="12" t="s">
        <v>79</v>
      </c>
      <c r="F196" s="12" t="s">
        <v>140</v>
      </c>
      <c r="G196" s="12"/>
      <c r="H196" s="12" t="s">
        <v>381</v>
      </c>
      <c r="I196" s="14" t="n">
        <v>19000</v>
      </c>
      <c r="J196" s="18" t="n">
        <f aca="false">IF($I196="","",ROUND($I196*Dropdowns!$K$5,2))</f>
        <v>49.4</v>
      </c>
      <c r="K196" s="19" t="n">
        <f aca="false">IF($I196="","",ROUND($I196*Dropdowns!$K$6,2))</f>
        <v>45.6</v>
      </c>
      <c r="L196" s="20" t="n">
        <f aca="false">IF($I196="","",ROUND($I196*Dropdowns!$K$7,2))</f>
        <v>3895</v>
      </c>
      <c r="M196" s="15" t="str">
        <f aca="false">IFERROR(IF($B196="","",VLOOKUP($B196,Designs!$A$3:$AP$165,27,FALSE())),"")</f>
        <v/>
      </c>
      <c r="N196" s="16" t="str">
        <f aca="false">IFERROR(IF(OR($I196="",$M196="",$M196=0),"",($I196-$M196)/$I196),"")</f>
        <v/>
      </c>
      <c r="O196" s="13" t="n">
        <v>0</v>
      </c>
      <c r="P196" s="13" t="n">
        <v>0</v>
      </c>
      <c r="Q196" s="21" t="n">
        <f aca="false">IF($O196="","",$O196-IF($P196="",0,$P196))</f>
        <v>0</v>
      </c>
      <c r="R196" s="13" t="n">
        <v>2</v>
      </c>
      <c r="S196" s="21" t="str">
        <f aca="false">IF($O196="","",IF($Q196&lt;=$R196,"⚠ REORDER","OK"))</f>
        <v>⚠ REORDER</v>
      </c>
      <c r="T196" s="13"/>
      <c r="U196" s="13"/>
      <c r="V196" s="13" t="s">
        <v>378</v>
      </c>
      <c r="W196" s="12" t="s">
        <v>379</v>
      </c>
      <c r="X196" s="13"/>
      <c r="Y196" s="13"/>
      <c r="Z196" s="12" t="s">
        <v>88</v>
      </c>
      <c r="AA196" s="12" t="s">
        <v>88</v>
      </c>
      <c r="AB196" s="12" t="s">
        <v>88</v>
      </c>
      <c r="AC196" s="12" t="s">
        <v>88</v>
      </c>
      <c r="AD196" s="12" t="s">
        <v>87</v>
      </c>
      <c r="AE196" s="21" t="n">
        <f aca="false">IFERROR(SUMIFS(Transactions!$F:$F,Transactions!$C:$C,$A196,Transactions!$D:$D,"Sale"),0)</f>
        <v>0</v>
      </c>
      <c r="AF196" s="15" t="n">
        <f aca="false">IFERROR(SUMIFS(Transactions!$H:$H,Transactions!$C:$C,$A196,Transactions!$D:$D,"Sale"),0)</f>
        <v>0</v>
      </c>
      <c r="AG196" s="22" t="str">
        <f aca="false">IFERROR(IF(maxifs(Transactions!$B:$B,Transactions!$C:$C,$A196,Transactions!$D:$D,"Sale")=0,"",maxifs(Transactions!$B:$B,Transactions!$C:$C,$A196,Transactions!$D:$D,"Sale")),"")</f>
        <v/>
      </c>
      <c r="AH196" s="12"/>
    </row>
    <row r="197" customFormat="false" ht="18" hidden="false" customHeight="true" outlineLevel="0" collapsed="false">
      <c r="A197" s="12" t="s">
        <v>575</v>
      </c>
      <c r="B197" s="12" t="s">
        <v>191</v>
      </c>
      <c r="C197" s="12" t="s">
        <v>164</v>
      </c>
      <c r="D197" s="12" t="s">
        <v>165</v>
      </c>
      <c r="E197" s="12" t="s">
        <v>79</v>
      </c>
      <c r="F197" s="12" t="s">
        <v>140</v>
      </c>
      <c r="G197" s="12"/>
      <c r="H197" s="12" t="s">
        <v>383</v>
      </c>
      <c r="I197" s="14" t="n">
        <v>19000</v>
      </c>
      <c r="J197" s="18" t="n">
        <f aca="false">IF($I197="","",ROUND($I197*Dropdowns!$K$5,2))</f>
        <v>49.4</v>
      </c>
      <c r="K197" s="19" t="n">
        <f aca="false">IF($I197="","",ROUND($I197*Dropdowns!$K$6,2))</f>
        <v>45.6</v>
      </c>
      <c r="L197" s="20" t="n">
        <f aca="false">IF($I197="","",ROUND($I197*Dropdowns!$K$7,2))</f>
        <v>3895</v>
      </c>
      <c r="M197" s="15" t="str">
        <f aca="false">IFERROR(IF($B197="","",VLOOKUP($B197,Designs!$A$3:$AP$165,27,FALSE())),"")</f>
        <v/>
      </c>
      <c r="N197" s="16" t="str">
        <f aca="false">IFERROR(IF(OR($I197="",$M197="",$M197=0),"",($I197-$M197)/$I197),"")</f>
        <v/>
      </c>
      <c r="O197" s="13" t="n">
        <v>0</v>
      </c>
      <c r="P197" s="13" t="n">
        <v>0</v>
      </c>
      <c r="Q197" s="21" t="n">
        <f aca="false">IF($O197="","",$O197-IF($P197="",0,$P197))</f>
        <v>0</v>
      </c>
      <c r="R197" s="13" t="n">
        <v>2</v>
      </c>
      <c r="S197" s="21" t="str">
        <f aca="false">IF($O197="","",IF($Q197&lt;=$R197,"⚠ REORDER","OK"))</f>
        <v>⚠ REORDER</v>
      </c>
      <c r="T197" s="13"/>
      <c r="U197" s="13"/>
      <c r="V197" s="13" t="s">
        <v>378</v>
      </c>
      <c r="W197" s="12" t="s">
        <v>379</v>
      </c>
      <c r="X197" s="13"/>
      <c r="Y197" s="13"/>
      <c r="Z197" s="12" t="s">
        <v>88</v>
      </c>
      <c r="AA197" s="12" t="s">
        <v>88</v>
      </c>
      <c r="AB197" s="12" t="s">
        <v>88</v>
      </c>
      <c r="AC197" s="12" t="s">
        <v>88</v>
      </c>
      <c r="AD197" s="12" t="s">
        <v>87</v>
      </c>
      <c r="AE197" s="21" t="n">
        <f aca="false">IFERROR(SUMIFS(Transactions!$F:$F,Transactions!$C:$C,$A197,Transactions!$D:$D,"Sale"),0)</f>
        <v>0</v>
      </c>
      <c r="AF197" s="15" t="n">
        <f aca="false">IFERROR(SUMIFS(Transactions!$H:$H,Transactions!$C:$C,$A197,Transactions!$D:$D,"Sale"),0)</f>
        <v>0</v>
      </c>
      <c r="AG197" s="22" t="str">
        <f aca="false">IFERROR(IF(maxifs(Transactions!$B:$B,Transactions!$C:$C,$A197,Transactions!$D:$D,"Sale")=0,"",maxifs(Transactions!$B:$B,Transactions!$C:$C,$A197,Transactions!$D:$D,"Sale")),"")</f>
        <v/>
      </c>
      <c r="AH197" s="12"/>
    </row>
    <row r="198" customFormat="false" ht="18" hidden="false" customHeight="true" outlineLevel="0" collapsed="false">
      <c r="A198" s="12" t="s">
        <v>576</v>
      </c>
      <c r="B198" s="12" t="s">
        <v>192</v>
      </c>
      <c r="C198" s="12" t="s">
        <v>164</v>
      </c>
      <c r="D198" s="12" t="s">
        <v>165</v>
      </c>
      <c r="E198" s="12" t="s">
        <v>79</v>
      </c>
      <c r="F198" s="12" t="s">
        <v>142</v>
      </c>
      <c r="G198" s="12"/>
      <c r="H198" s="12" t="s">
        <v>377</v>
      </c>
      <c r="I198" s="14" t="n">
        <v>19000</v>
      </c>
      <c r="J198" s="18" t="n">
        <f aca="false">IF($I198="","",ROUND($I198*Dropdowns!$K$5,2))</f>
        <v>49.4</v>
      </c>
      <c r="K198" s="19" t="n">
        <f aca="false">IF($I198="","",ROUND($I198*Dropdowns!$K$6,2))</f>
        <v>45.6</v>
      </c>
      <c r="L198" s="20" t="n">
        <f aca="false">IF($I198="","",ROUND($I198*Dropdowns!$K$7,2))</f>
        <v>3895</v>
      </c>
      <c r="M198" s="15" t="str">
        <f aca="false">IFERROR(IF($B198="","",VLOOKUP($B198,Designs!$A$3:$AP$165,27,FALSE())),"")</f>
        <v/>
      </c>
      <c r="N198" s="16" t="str">
        <f aca="false">IFERROR(IF(OR($I198="",$M198="",$M198=0),"",($I198-$M198)/$I198),"")</f>
        <v/>
      </c>
      <c r="O198" s="13" t="n">
        <v>0</v>
      </c>
      <c r="P198" s="13" t="n">
        <v>0</v>
      </c>
      <c r="Q198" s="21" t="n">
        <f aca="false">IF($O198="","",$O198-IF($P198="",0,$P198))</f>
        <v>0</v>
      </c>
      <c r="R198" s="13" t="n">
        <v>2</v>
      </c>
      <c r="S198" s="21" t="str">
        <f aca="false">IF($O198="","",IF($Q198&lt;=$R198,"⚠ REORDER","OK"))</f>
        <v>⚠ REORDER</v>
      </c>
      <c r="T198" s="13"/>
      <c r="U198" s="13"/>
      <c r="V198" s="13" t="s">
        <v>378</v>
      </c>
      <c r="W198" s="12" t="s">
        <v>379</v>
      </c>
      <c r="X198" s="13"/>
      <c r="Y198" s="13"/>
      <c r="Z198" s="12" t="s">
        <v>88</v>
      </c>
      <c r="AA198" s="12" t="s">
        <v>88</v>
      </c>
      <c r="AB198" s="12" t="s">
        <v>88</v>
      </c>
      <c r="AC198" s="12" t="s">
        <v>88</v>
      </c>
      <c r="AD198" s="12" t="s">
        <v>87</v>
      </c>
      <c r="AE198" s="21" t="n">
        <f aca="false">IFERROR(SUMIFS(Transactions!$F:$F,Transactions!$C:$C,$A198,Transactions!$D:$D,"Sale"),0)</f>
        <v>0</v>
      </c>
      <c r="AF198" s="15" t="n">
        <f aca="false">IFERROR(SUMIFS(Transactions!$H:$H,Transactions!$C:$C,$A198,Transactions!$D:$D,"Sale"),0)</f>
        <v>0</v>
      </c>
      <c r="AG198" s="22" t="str">
        <f aca="false">IFERROR(IF(maxifs(Transactions!$B:$B,Transactions!$C:$C,$A198,Transactions!$D:$D,"Sale")=0,"",maxifs(Transactions!$B:$B,Transactions!$C:$C,$A198,Transactions!$D:$D,"Sale")),"")</f>
        <v/>
      </c>
      <c r="AH198" s="12"/>
    </row>
    <row r="199" customFormat="false" ht="18" hidden="false" customHeight="true" outlineLevel="0" collapsed="false">
      <c r="A199" s="12" t="s">
        <v>577</v>
      </c>
      <c r="B199" s="12" t="s">
        <v>192</v>
      </c>
      <c r="C199" s="12" t="s">
        <v>164</v>
      </c>
      <c r="D199" s="12" t="s">
        <v>165</v>
      </c>
      <c r="E199" s="12" t="s">
        <v>79</v>
      </c>
      <c r="F199" s="12" t="s">
        <v>142</v>
      </c>
      <c r="G199" s="12"/>
      <c r="H199" s="12" t="s">
        <v>381</v>
      </c>
      <c r="I199" s="14" t="n">
        <v>19000</v>
      </c>
      <c r="J199" s="18" t="n">
        <f aca="false">IF($I199="","",ROUND($I199*Dropdowns!$K$5,2))</f>
        <v>49.4</v>
      </c>
      <c r="K199" s="19" t="n">
        <f aca="false">IF($I199="","",ROUND($I199*Dropdowns!$K$6,2))</f>
        <v>45.6</v>
      </c>
      <c r="L199" s="20" t="n">
        <f aca="false">IF($I199="","",ROUND($I199*Dropdowns!$K$7,2))</f>
        <v>3895</v>
      </c>
      <c r="M199" s="15" t="str">
        <f aca="false">IFERROR(IF($B199="","",VLOOKUP($B199,Designs!$A$3:$AP$165,27,FALSE())),"")</f>
        <v/>
      </c>
      <c r="N199" s="16" t="str">
        <f aca="false">IFERROR(IF(OR($I199="",$M199="",$M199=0),"",($I199-$M199)/$I199),"")</f>
        <v/>
      </c>
      <c r="O199" s="13" t="n">
        <v>0</v>
      </c>
      <c r="P199" s="13" t="n">
        <v>0</v>
      </c>
      <c r="Q199" s="21" t="n">
        <f aca="false">IF($O199="","",$O199-IF($P199="",0,$P199))</f>
        <v>0</v>
      </c>
      <c r="R199" s="13" t="n">
        <v>2</v>
      </c>
      <c r="S199" s="21" t="str">
        <f aca="false">IF($O199="","",IF($Q199&lt;=$R199,"⚠ REORDER","OK"))</f>
        <v>⚠ REORDER</v>
      </c>
      <c r="T199" s="13"/>
      <c r="U199" s="13"/>
      <c r="V199" s="13" t="s">
        <v>378</v>
      </c>
      <c r="W199" s="12" t="s">
        <v>379</v>
      </c>
      <c r="X199" s="13"/>
      <c r="Y199" s="13"/>
      <c r="Z199" s="12" t="s">
        <v>88</v>
      </c>
      <c r="AA199" s="12" t="s">
        <v>88</v>
      </c>
      <c r="AB199" s="12" t="s">
        <v>88</v>
      </c>
      <c r="AC199" s="12" t="s">
        <v>88</v>
      </c>
      <c r="AD199" s="12" t="s">
        <v>87</v>
      </c>
      <c r="AE199" s="21" t="n">
        <f aca="false">IFERROR(SUMIFS(Transactions!$F:$F,Transactions!$C:$C,$A199,Transactions!$D:$D,"Sale"),0)</f>
        <v>0</v>
      </c>
      <c r="AF199" s="15" t="n">
        <f aca="false">IFERROR(SUMIFS(Transactions!$H:$H,Transactions!$C:$C,$A199,Transactions!$D:$D,"Sale"),0)</f>
        <v>0</v>
      </c>
      <c r="AG199" s="22" t="str">
        <f aca="false">IFERROR(IF(maxifs(Transactions!$B:$B,Transactions!$C:$C,$A199,Transactions!$D:$D,"Sale")=0,"",maxifs(Transactions!$B:$B,Transactions!$C:$C,$A199,Transactions!$D:$D,"Sale")),"")</f>
        <v/>
      </c>
      <c r="AH199" s="12"/>
    </row>
    <row r="200" customFormat="false" ht="18" hidden="false" customHeight="true" outlineLevel="0" collapsed="false">
      <c r="A200" s="12" t="s">
        <v>578</v>
      </c>
      <c r="B200" s="12" t="s">
        <v>192</v>
      </c>
      <c r="C200" s="12" t="s">
        <v>164</v>
      </c>
      <c r="D200" s="12" t="s">
        <v>165</v>
      </c>
      <c r="E200" s="12" t="s">
        <v>79</v>
      </c>
      <c r="F200" s="12" t="s">
        <v>142</v>
      </c>
      <c r="G200" s="12"/>
      <c r="H200" s="12" t="s">
        <v>383</v>
      </c>
      <c r="I200" s="14" t="n">
        <v>19000</v>
      </c>
      <c r="J200" s="18" t="n">
        <f aca="false">IF($I200="","",ROUND($I200*Dropdowns!$K$5,2))</f>
        <v>49.4</v>
      </c>
      <c r="K200" s="19" t="n">
        <f aca="false">IF($I200="","",ROUND($I200*Dropdowns!$K$6,2))</f>
        <v>45.6</v>
      </c>
      <c r="L200" s="20" t="n">
        <f aca="false">IF($I200="","",ROUND($I200*Dropdowns!$K$7,2))</f>
        <v>3895</v>
      </c>
      <c r="M200" s="15" t="str">
        <f aca="false">IFERROR(IF($B200="","",VLOOKUP($B200,Designs!$A$3:$AP$165,27,FALSE())),"")</f>
        <v/>
      </c>
      <c r="N200" s="16" t="str">
        <f aca="false">IFERROR(IF(OR($I200="",$M200="",$M200=0),"",($I200-$M200)/$I200),"")</f>
        <v/>
      </c>
      <c r="O200" s="13" t="n">
        <v>0</v>
      </c>
      <c r="P200" s="13" t="n">
        <v>0</v>
      </c>
      <c r="Q200" s="21" t="n">
        <f aca="false">IF($O200="","",$O200-IF($P200="",0,$P200))</f>
        <v>0</v>
      </c>
      <c r="R200" s="13" t="n">
        <v>2</v>
      </c>
      <c r="S200" s="21" t="str">
        <f aca="false">IF($O200="","",IF($Q200&lt;=$R200,"⚠ REORDER","OK"))</f>
        <v>⚠ REORDER</v>
      </c>
      <c r="T200" s="13"/>
      <c r="U200" s="13"/>
      <c r="V200" s="13" t="s">
        <v>378</v>
      </c>
      <c r="W200" s="12" t="s">
        <v>379</v>
      </c>
      <c r="X200" s="13"/>
      <c r="Y200" s="13"/>
      <c r="Z200" s="12" t="s">
        <v>88</v>
      </c>
      <c r="AA200" s="12" t="s">
        <v>88</v>
      </c>
      <c r="AB200" s="12" t="s">
        <v>88</v>
      </c>
      <c r="AC200" s="12" t="s">
        <v>88</v>
      </c>
      <c r="AD200" s="12" t="s">
        <v>87</v>
      </c>
      <c r="AE200" s="21" t="n">
        <f aca="false">IFERROR(SUMIFS(Transactions!$F:$F,Transactions!$C:$C,$A200,Transactions!$D:$D,"Sale"),0)</f>
        <v>0</v>
      </c>
      <c r="AF200" s="15" t="n">
        <f aca="false">IFERROR(SUMIFS(Transactions!$H:$H,Transactions!$C:$C,$A200,Transactions!$D:$D,"Sale"),0)</f>
        <v>0</v>
      </c>
      <c r="AG200" s="22" t="str">
        <f aca="false">IFERROR(IF(maxifs(Transactions!$B:$B,Transactions!$C:$C,$A200,Transactions!$D:$D,"Sale")=0,"",maxifs(Transactions!$B:$B,Transactions!$C:$C,$A200,Transactions!$D:$D,"Sale")),"")</f>
        <v/>
      </c>
      <c r="AH200" s="12"/>
    </row>
    <row r="201" customFormat="false" ht="18" hidden="false" customHeight="true" outlineLevel="0" collapsed="false">
      <c r="A201" s="12" t="s">
        <v>579</v>
      </c>
      <c r="B201" s="12" t="s">
        <v>193</v>
      </c>
      <c r="C201" s="12" t="s">
        <v>164</v>
      </c>
      <c r="D201" s="12" t="s">
        <v>165</v>
      </c>
      <c r="E201" s="12" t="s">
        <v>79</v>
      </c>
      <c r="F201" s="12" t="s">
        <v>144</v>
      </c>
      <c r="G201" s="12"/>
      <c r="H201" s="12" t="s">
        <v>377</v>
      </c>
      <c r="I201" s="14" t="n">
        <v>19000</v>
      </c>
      <c r="J201" s="18" t="n">
        <f aca="false">IF($I201="","",ROUND($I201*Dropdowns!$K$5,2))</f>
        <v>49.4</v>
      </c>
      <c r="K201" s="19" t="n">
        <f aca="false">IF($I201="","",ROUND($I201*Dropdowns!$K$6,2))</f>
        <v>45.6</v>
      </c>
      <c r="L201" s="20" t="n">
        <f aca="false">IF($I201="","",ROUND($I201*Dropdowns!$K$7,2))</f>
        <v>3895</v>
      </c>
      <c r="M201" s="15" t="str">
        <f aca="false">IFERROR(IF($B201="","",VLOOKUP($B201,Designs!$A$3:$AP$165,27,FALSE())),"")</f>
        <v/>
      </c>
      <c r="N201" s="16" t="str">
        <f aca="false">IFERROR(IF(OR($I201="",$M201="",$M201=0),"",($I201-$M201)/$I201),"")</f>
        <v/>
      </c>
      <c r="O201" s="13" t="n">
        <v>0</v>
      </c>
      <c r="P201" s="13" t="n">
        <v>0</v>
      </c>
      <c r="Q201" s="21" t="n">
        <f aca="false">IF($O201="","",$O201-IF($P201="",0,$P201))</f>
        <v>0</v>
      </c>
      <c r="R201" s="13" t="n">
        <v>2</v>
      </c>
      <c r="S201" s="21" t="str">
        <f aca="false">IF($O201="","",IF($Q201&lt;=$R201,"⚠ REORDER","OK"))</f>
        <v>⚠ REORDER</v>
      </c>
      <c r="T201" s="13"/>
      <c r="U201" s="13"/>
      <c r="V201" s="13" t="s">
        <v>378</v>
      </c>
      <c r="W201" s="12" t="s">
        <v>379</v>
      </c>
      <c r="X201" s="13"/>
      <c r="Y201" s="13"/>
      <c r="Z201" s="12" t="s">
        <v>88</v>
      </c>
      <c r="AA201" s="12" t="s">
        <v>88</v>
      </c>
      <c r="AB201" s="12" t="s">
        <v>88</v>
      </c>
      <c r="AC201" s="12" t="s">
        <v>88</v>
      </c>
      <c r="AD201" s="12" t="s">
        <v>87</v>
      </c>
      <c r="AE201" s="21" t="n">
        <f aca="false">IFERROR(SUMIFS(Transactions!$F:$F,Transactions!$C:$C,$A201,Transactions!$D:$D,"Sale"),0)</f>
        <v>0</v>
      </c>
      <c r="AF201" s="15" t="n">
        <f aca="false">IFERROR(SUMIFS(Transactions!$H:$H,Transactions!$C:$C,$A201,Transactions!$D:$D,"Sale"),0)</f>
        <v>0</v>
      </c>
      <c r="AG201" s="22" t="str">
        <f aca="false">IFERROR(IF(maxifs(Transactions!$B:$B,Transactions!$C:$C,$A201,Transactions!$D:$D,"Sale")=0,"",maxifs(Transactions!$B:$B,Transactions!$C:$C,$A201,Transactions!$D:$D,"Sale")),"")</f>
        <v/>
      </c>
      <c r="AH201" s="12"/>
    </row>
    <row r="202" customFormat="false" ht="18" hidden="false" customHeight="true" outlineLevel="0" collapsed="false">
      <c r="A202" s="12" t="s">
        <v>580</v>
      </c>
      <c r="B202" s="12" t="s">
        <v>193</v>
      </c>
      <c r="C202" s="12" t="s">
        <v>164</v>
      </c>
      <c r="D202" s="12" t="s">
        <v>165</v>
      </c>
      <c r="E202" s="12" t="s">
        <v>79</v>
      </c>
      <c r="F202" s="12" t="s">
        <v>144</v>
      </c>
      <c r="G202" s="12"/>
      <c r="H202" s="12" t="s">
        <v>381</v>
      </c>
      <c r="I202" s="14" t="n">
        <v>19000</v>
      </c>
      <c r="J202" s="18" t="n">
        <f aca="false">IF($I202="","",ROUND($I202*Dropdowns!$K$5,2))</f>
        <v>49.4</v>
      </c>
      <c r="K202" s="19" t="n">
        <f aca="false">IF($I202="","",ROUND($I202*Dropdowns!$K$6,2))</f>
        <v>45.6</v>
      </c>
      <c r="L202" s="20" t="n">
        <f aca="false">IF($I202="","",ROUND($I202*Dropdowns!$K$7,2))</f>
        <v>3895</v>
      </c>
      <c r="M202" s="15" t="str">
        <f aca="false">IFERROR(IF($B202="","",VLOOKUP($B202,Designs!$A$3:$AP$165,27,FALSE())),"")</f>
        <v/>
      </c>
      <c r="N202" s="16" t="str">
        <f aca="false">IFERROR(IF(OR($I202="",$M202="",$M202=0),"",($I202-$M202)/$I202),"")</f>
        <v/>
      </c>
      <c r="O202" s="13" t="n">
        <v>0</v>
      </c>
      <c r="P202" s="13" t="n">
        <v>0</v>
      </c>
      <c r="Q202" s="21" t="n">
        <f aca="false">IF($O202="","",$O202-IF($P202="",0,$P202))</f>
        <v>0</v>
      </c>
      <c r="R202" s="13" t="n">
        <v>2</v>
      </c>
      <c r="S202" s="21" t="str">
        <f aca="false">IF($O202="","",IF($Q202&lt;=$R202,"⚠ REORDER","OK"))</f>
        <v>⚠ REORDER</v>
      </c>
      <c r="T202" s="13"/>
      <c r="U202" s="13"/>
      <c r="V202" s="13" t="s">
        <v>378</v>
      </c>
      <c r="W202" s="12" t="s">
        <v>379</v>
      </c>
      <c r="X202" s="13"/>
      <c r="Y202" s="13"/>
      <c r="Z202" s="12" t="s">
        <v>88</v>
      </c>
      <c r="AA202" s="12" t="s">
        <v>88</v>
      </c>
      <c r="AB202" s="12" t="s">
        <v>88</v>
      </c>
      <c r="AC202" s="12" t="s">
        <v>88</v>
      </c>
      <c r="AD202" s="12" t="s">
        <v>87</v>
      </c>
      <c r="AE202" s="21" t="n">
        <f aca="false">IFERROR(SUMIFS(Transactions!$F:$F,Transactions!$C:$C,$A202,Transactions!$D:$D,"Sale"),0)</f>
        <v>0</v>
      </c>
      <c r="AF202" s="15" t="n">
        <f aca="false">IFERROR(SUMIFS(Transactions!$H:$H,Transactions!$C:$C,$A202,Transactions!$D:$D,"Sale"),0)</f>
        <v>0</v>
      </c>
      <c r="AG202" s="22" t="str">
        <f aca="false">IFERROR(IF(maxifs(Transactions!$B:$B,Transactions!$C:$C,$A202,Transactions!$D:$D,"Sale")=0,"",maxifs(Transactions!$B:$B,Transactions!$C:$C,$A202,Transactions!$D:$D,"Sale")),"")</f>
        <v/>
      </c>
      <c r="AH202" s="12"/>
    </row>
    <row r="203" customFormat="false" ht="18" hidden="false" customHeight="true" outlineLevel="0" collapsed="false">
      <c r="A203" s="12" t="s">
        <v>581</v>
      </c>
      <c r="B203" s="12" t="s">
        <v>193</v>
      </c>
      <c r="C203" s="12" t="s">
        <v>164</v>
      </c>
      <c r="D203" s="12" t="s">
        <v>165</v>
      </c>
      <c r="E203" s="12" t="s">
        <v>79</v>
      </c>
      <c r="F203" s="12" t="s">
        <v>144</v>
      </c>
      <c r="G203" s="12"/>
      <c r="H203" s="12" t="s">
        <v>383</v>
      </c>
      <c r="I203" s="14" t="n">
        <v>19000</v>
      </c>
      <c r="J203" s="18" t="n">
        <f aca="false">IF($I203="","",ROUND($I203*Dropdowns!$K$5,2))</f>
        <v>49.4</v>
      </c>
      <c r="K203" s="19" t="n">
        <f aca="false">IF($I203="","",ROUND($I203*Dropdowns!$K$6,2))</f>
        <v>45.6</v>
      </c>
      <c r="L203" s="20" t="n">
        <f aca="false">IF($I203="","",ROUND($I203*Dropdowns!$K$7,2))</f>
        <v>3895</v>
      </c>
      <c r="M203" s="15" t="str">
        <f aca="false">IFERROR(IF($B203="","",VLOOKUP($B203,Designs!$A$3:$AP$165,27,FALSE())),"")</f>
        <v/>
      </c>
      <c r="N203" s="16" t="str">
        <f aca="false">IFERROR(IF(OR($I203="",$M203="",$M203=0),"",($I203-$M203)/$I203),"")</f>
        <v/>
      </c>
      <c r="O203" s="13" t="n">
        <v>0</v>
      </c>
      <c r="P203" s="13" t="n">
        <v>0</v>
      </c>
      <c r="Q203" s="21" t="n">
        <f aca="false">IF($O203="","",$O203-IF($P203="",0,$P203))</f>
        <v>0</v>
      </c>
      <c r="R203" s="13" t="n">
        <v>2</v>
      </c>
      <c r="S203" s="21" t="str">
        <f aca="false">IF($O203="","",IF($Q203&lt;=$R203,"⚠ REORDER","OK"))</f>
        <v>⚠ REORDER</v>
      </c>
      <c r="T203" s="13"/>
      <c r="U203" s="13"/>
      <c r="V203" s="13" t="s">
        <v>378</v>
      </c>
      <c r="W203" s="12" t="s">
        <v>379</v>
      </c>
      <c r="X203" s="13"/>
      <c r="Y203" s="13"/>
      <c r="Z203" s="12" t="s">
        <v>88</v>
      </c>
      <c r="AA203" s="12" t="s">
        <v>88</v>
      </c>
      <c r="AB203" s="12" t="s">
        <v>88</v>
      </c>
      <c r="AC203" s="12" t="s">
        <v>88</v>
      </c>
      <c r="AD203" s="12" t="s">
        <v>87</v>
      </c>
      <c r="AE203" s="21" t="n">
        <f aca="false">IFERROR(SUMIFS(Transactions!$F:$F,Transactions!$C:$C,$A203,Transactions!$D:$D,"Sale"),0)</f>
        <v>0</v>
      </c>
      <c r="AF203" s="15" t="n">
        <f aca="false">IFERROR(SUMIFS(Transactions!$H:$H,Transactions!$C:$C,$A203,Transactions!$D:$D,"Sale"),0)</f>
        <v>0</v>
      </c>
      <c r="AG203" s="22" t="str">
        <f aca="false">IFERROR(IF(maxifs(Transactions!$B:$B,Transactions!$C:$C,$A203,Transactions!$D:$D,"Sale")=0,"",maxifs(Transactions!$B:$B,Transactions!$C:$C,$A203,Transactions!$D:$D,"Sale")),"")</f>
        <v/>
      </c>
      <c r="AH203" s="12"/>
    </row>
    <row r="204" customFormat="false" ht="18" hidden="false" customHeight="true" outlineLevel="0" collapsed="false">
      <c r="A204" s="12" t="s">
        <v>582</v>
      </c>
      <c r="B204" s="12" t="s">
        <v>194</v>
      </c>
      <c r="C204" s="12" t="s">
        <v>164</v>
      </c>
      <c r="D204" s="12" t="s">
        <v>165</v>
      </c>
      <c r="E204" s="12" t="s">
        <v>79</v>
      </c>
      <c r="F204" s="12" t="s">
        <v>146</v>
      </c>
      <c r="G204" s="12"/>
      <c r="H204" s="12" t="s">
        <v>377</v>
      </c>
      <c r="I204" s="14" t="n">
        <v>19000</v>
      </c>
      <c r="J204" s="18" t="n">
        <f aca="false">IF($I204="","",ROUND($I204*Dropdowns!$K$5,2))</f>
        <v>49.4</v>
      </c>
      <c r="K204" s="19" t="n">
        <f aca="false">IF($I204="","",ROUND($I204*Dropdowns!$K$6,2))</f>
        <v>45.6</v>
      </c>
      <c r="L204" s="20" t="n">
        <f aca="false">IF($I204="","",ROUND($I204*Dropdowns!$K$7,2))</f>
        <v>3895</v>
      </c>
      <c r="M204" s="15" t="str">
        <f aca="false">IFERROR(IF($B204="","",VLOOKUP($B204,Designs!$A$3:$AP$165,27,FALSE())),"")</f>
        <v/>
      </c>
      <c r="N204" s="16" t="str">
        <f aca="false">IFERROR(IF(OR($I204="",$M204="",$M204=0),"",($I204-$M204)/$I204),"")</f>
        <v/>
      </c>
      <c r="O204" s="13" t="n">
        <v>0</v>
      </c>
      <c r="P204" s="13" t="n">
        <v>0</v>
      </c>
      <c r="Q204" s="21" t="n">
        <f aca="false">IF($O204="","",$O204-IF($P204="",0,$P204))</f>
        <v>0</v>
      </c>
      <c r="R204" s="13" t="n">
        <v>2</v>
      </c>
      <c r="S204" s="21" t="str">
        <f aca="false">IF($O204="","",IF($Q204&lt;=$R204,"⚠ REORDER","OK"))</f>
        <v>⚠ REORDER</v>
      </c>
      <c r="T204" s="13"/>
      <c r="U204" s="13"/>
      <c r="V204" s="13" t="s">
        <v>378</v>
      </c>
      <c r="W204" s="12" t="s">
        <v>379</v>
      </c>
      <c r="X204" s="13"/>
      <c r="Y204" s="13"/>
      <c r="Z204" s="12" t="s">
        <v>88</v>
      </c>
      <c r="AA204" s="12" t="s">
        <v>88</v>
      </c>
      <c r="AB204" s="12" t="s">
        <v>88</v>
      </c>
      <c r="AC204" s="12" t="s">
        <v>88</v>
      </c>
      <c r="AD204" s="12" t="s">
        <v>87</v>
      </c>
      <c r="AE204" s="21" t="n">
        <f aca="false">IFERROR(SUMIFS(Transactions!$F:$F,Transactions!$C:$C,$A204,Transactions!$D:$D,"Sale"),0)</f>
        <v>0</v>
      </c>
      <c r="AF204" s="15" t="n">
        <f aca="false">IFERROR(SUMIFS(Transactions!$H:$H,Transactions!$C:$C,$A204,Transactions!$D:$D,"Sale"),0)</f>
        <v>0</v>
      </c>
      <c r="AG204" s="22" t="str">
        <f aca="false">IFERROR(IF(maxifs(Transactions!$B:$B,Transactions!$C:$C,$A204,Transactions!$D:$D,"Sale")=0,"",maxifs(Transactions!$B:$B,Transactions!$C:$C,$A204,Transactions!$D:$D,"Sale")),"")</f>
        <v/>
      </c>
      <c r="AH204" s="12"/>
    </row>
    <row r="205" customFormat="false" ht="18" hidden="false" customHeight="true" outlineLevel="0" collapsed="false">
      <c r="A205" s="12" t="s">
        <v>583</v>
      </c>
      <c r="B205" s="12" t="s">
        <v>194</v>
      </c>
      <c r="C205" s="12" t="s">
        <v>164</v>
      </c>
      <c r="D205" s="12" t="s">
        <v>165</v>
      </c>
      <c r="E205" s="12" t="s">
        <v>79</v>
      </c>
      <c r="F205" s="12" t="s">
        <v>146</v>
      </c>
      <c r="G205" s="12"/>
      <c r="H205" s="12" t="s">
        <v>381</v>
      </c>
      <c r="I205" s="14" t="n">
        <v>19000</v>
      </c>
      <c r="J205" s="18" t="n">
        <f aca="false">IF($I205="","",ROUND($I205*Dropdowns!$K$5,2))</f>
        <v>49.4</v>
      </c>
      <c r="K205" s="19" t="n">
        <f aca="false">IF($I205="","",ROUND($I205*Dropdowns!$K$6,2))</f>
        <v>45.6</v>
      </c>
      <c r="L205" s="20" t="n">
        <f aca="false">IF($I205="","",ROUND($I205*Dropdowns!$K$7,2))</f>
        <v>3895</v>
      </c>
      <c r="M205" s="15" t="str">
        <f aca="false">IFERROR(IF($B205="","",VLOOKUP($B205,Designs!$A$3:$AP$165,27,FALSE())),"")</f>
        <v/>
      </c>
      <c r="N205" s="16" t="str">
        <f aca="false">IFERROR(IF(OR($I205="",$M205="",$M205=0),"",($I205-$M205)/$I205),"")</f>
        <v/>
      </c>
      <c r="O205" s="13" t="n">
        <v>0</v>
      </c>
      <c r="P205" s="13" t="n">
        <v>0</v>
      </c>
      <c r="Q205" s="21" t="n">
        <f aca="false">IF($O205="","",$O205-IF($P205="",0,$P205))</f>
        <v>0</v>
      </c>
      <c r="R205" s="13" t="n">
        <v>2</v>
      </c>
      <c r="S205" s="21" t="str">
        <f aca="false">IF($O205="","",IF($Q205&lt;=$R205,"⚠ REORDER","OK"))</f>
        <v>⚠ REORDER</v>
      </c>
      <c r="T205" s="13"/>
      <c r="U205" s="13"/>
      <c r="V205" s="13" t="s">
        <v>378</v>
      </c>
      <c r="W205" s="12" t="s">
        <v>379</v>
      </c>
      <c r="X205" s="13"/>
      <c r="Y205" s="13"/>
      <c r="Z205" s="12" t="s">
        <v>88</v>
      </c>
      <c r="AA205" s="12" t="s">
        <v>88</v>
      </c>
      <c r="AB205" s="12" t="s">
        <v>88</v>
      </c>
      <c r="AC205" s="12" t="s">
        <v>88</v>
      </c>
      <c r="AD205" s="12" t="s">
        <v>87</v>
      </c>
      <c r="AE205" s="21" t="n">
        <f aca="false">IFERROR(SUMIFS(Transactions!$F:$F,Transactions!$C:$C,$A205,Transactions!$D:$D,"Sale"),0)</f>
        <v>0</v>
      </c>
      <c r="AF205" s="15" t="n">
        <f aca="false">IFERROR(SUMIFS(Transactions!$H:$H,Transactions!$C:$C,$A205,Transactions!$D:$D,"Sale"),0)</f>
        <v>0</v>
      </c>
      <c r="AG205" s="22" t="str">
        <f aca="false">IFERROR(IF(maxifs(Transactions!$B:$B,Transactions!$C:$C,$A205,Transactions!$D:$D,"Sale")=0,"",maxifs(Transactions!$B:$B,Transactions!$C:$C,$A205,Transactions!$D:$D,"Sale")),"")</f>
        <v/>
      </c>
      <c r="AH205" s="12"/>
    </row>
    <row r="206" customFormat="false" ht="18" hidden="false" customHeight="true" outlineLevel="0" collapsed="false">
      <c r="A206" s="12" t="s">
        <v>584</v>
      </c>
      <c r="B206" s="12" t="s">
        <v>194</v>
      </c>
      <c r="C206" s="12" t="s">
        <v>164</v>
      </c>
      <c r="D206" s="12" t="s">
        <v>165</v>
      </c>
      <c r="E206" s="12" t="s">
        <v>79</v>
      </c>
      <c r="F206" s="12" t="s">
        <v>146</v>
      </c>
      <c r="G206" s="12"/>
      <c r="H206" s="12" t="s">
        <v>383</v>
      </c>
      <c r="I206" s="14" t="n">
        <v>19000</v>
      </c>
      <c r="J206" s="18" t="n">
        <f aca="false">IF($I206="","",ROUND($I206*Dropdowns!$K$5,2))</f>
        <v>49.4</v>
      </c>
      <c r="K206" s="19" t="n">
        <f aca="false">IF($I206="","",ROUND($I206*Dropdowns!$K$6,2))</f>
        <v>45.6</v>
      </c>
      <c r="L206" s="20" t="n">
        <f aca="false">IF($I206="","",ROUND($I206*Dropdowns!$K$7,2))</f>
        <v>3895</v>
      </c>
      <c r="M206" s="15" t="str">
        <f aca="false">IFERROR(IF($B206="","",VLOOKUP($B206,Designs!$A$3:$AP$165,27,FALSE())),"")</f>
        <v/>
      </c>
      <c r="N206" s="16" t="str">
        <f aca="false">IFERROR(IF(OR($I206="",$M206="",$M206=0),"",($I206-$M206)/$I206),"")</f>
        <v/>
      </c>
      <c r="O206" s="13" t="n">
        <v>0</v>
      </c>
      <c r="P206" s="13" t="n">
        <v>0</v>
      </c>
      <c r="Q206" s="21" t="n">
        <f aca="false">IF($O206="","",$O206-IF($P206="",0,$P206))</f>
        <v>0</v>
      </c>
      <c r="R206" s="13" t="n">
        <v>2</v>
      </c>
      <c r="S206" s="21" t="str">
        <f aca="false">IF($O206="","",IF($Q206&lt;=$R206,"⚠ REORDER","OK"))</f>
        <v>⚠ REORDER</v>
      </c>
      <c r="T206" s="13"/>
      <c r="U206" s="13"/>
      <c r="V206" s="13" t="s">
        <v>378</v>
      </c>
      <c r="W206" s="12" t="s">
        <v>379</v>
      </c>
      <c r="X206" s="13"/>
      <c r="Y206" s="13"/>
      <c r="Z206" s="12" t="s">
        <v>88</v>
      </c>
      <c r="AA206" s="12" t="s">
        <v>88</v>
      </c>
      <c r="AB206" s="12" t="s">
        <v>88</v>
      </c>
      <c r="AC206" s="12" t="s">
        <v>88</v>
      </c>
      <c r="AD206" s="12" t="s">
        <v>87</v>
      </c>
      <c r="AE206" s="21" t="n">
        <f aca="false">IFERROR(SUMIFS(Transactions!$F:$F,Transactions!$C:$C,$A206,Transactions!$D:$D,"Sale"),0)</f>
        <v>0</v>
      </c>
      <c r="AF206" s="15" t="n">
        <f aca="false">IFERROR(SUMIFS(Transactions!$H:$H,Transactions!$C:$C,$A206,Transactions!$D:$D,"Sale"),0)</f>
        <v>0</v>
      </c>
      <c r="AG206" s="22" t="str">
        <f aca="false">IFERROR(IF(maxifs(Transactions!$B:$B,Transactions!$C:$C,$A206,Transactions!$D:$D,"Sale")=0,"",maxifs(Transactions!$B:$B,Transactions!$C:$C,$A206,Transactions!$D:$D,"Sale")),"")</f>
        <v/>
      </c>
      <c r="AH206" s="12"/>
    </row>
    <row r="207" customFormat="false" ht="18" hidden="false" customHeight="true" outlineLevel="0" collapsed="false">
      <c r="A207" s="12" t="s">
        <v>585</v>
      </c>
      <c r="B207" s="12" t="s">
        <v>195</v>
      </c>
      <c r="C207" s="12" t="s">
        <v>164</v>
      </c>
      <c r="D207" s="12" t="s">
        <v>165</v>
      </c>
      <c r="E207" s="12" t="s">
        <v>79</v>
      </c>
      <c r="F207" s="12" t="s">
        <v>148</v>
      </c>
      <c r="G207" s="12"/>
      <c r="H207" s="12" t="s">
        <v>377</v>
      </c>
      <c r="I207" s="14" t="n">
        <v>19000</v>
      </c>
      <c r="J207" s="18" t="n">
        <f aca="false">IF($I207="","",ROUND($I207*Dropdowns!$K$5,2))</f>
        <v>49.4</v>
      </c>
      <c r="K207" s="19" t="n">
        <f aca="false">IF($I207="","",ROUND($I207*Dropdowns!$K$6,2))</f>
        <v>45.6</v>
      </c>
      <c r="L207" s="20" t="n">
        <f aca="false">IF($I207="","",ROUND($I207*Dropdowns!$K$7,2))</f>
        <v>3895</v>
      </c>
      <c r="M207" s="15" t="str">
        <f aca="false">IFERROR(IF($B207="","",VLOOKUP($B207,Designs!$A$3:$AP$165,27,FALSE())),"")</f>
        <v/>
      </c>
      <c r="N207" s="16" t="str">
        <f aca="false">IFERROR(IF(OR($I207="",$M207="",$M207=0),"",($I207-$M207)/$I207),"")</f>
        <v/>
      </c>
      <c r="O207" s="13" t="n">
        <v>0</v>
      </c>
      <c r="P207" s="13" t="n">
        <v>0</v>
      </c>
      <c r="Q207" s="21" t="n">
        <f aca="false">IF($O207="","",$O207-IF($P207="",0,$P207))</f>
        <v>0</v>
      </c>
      <c r="R207" s="13" t="n">
        <v>2</v>
      </c>
      <c r="S207" s="21" t="str">
        <f aca="false">IF($O207="","",IF($Q207&lt;=$R207,"⚠ REORDER","OK"))</f>
        <v>⚠ REORDER</v>
      </c>
      <c r="T207" s="13"/>
      <c r="U207" s="13"/>
      <c r="V207" s="13" t="s">
        <v>378</v>
      </c>
      <c r="W207" s="12" t="s">
        <v>379</v>
      </c>
      <c r="X207" s="13"/>
      <c r="Y207" s="13"/>
      <c r="Z207" s="12" t="s">
        <v>88</v>
      </c>
      <c r="AA207" s="12" t="s">
        <v>88</v>
      </c>
      <c r="AB207" s="12" t="s">
        <v>88</v>
      </c>
      <c r="AC207" s="12" t="s">
        <v>88</v>
      </c>
      <c r="AD207" s="12" t="s">
        <v>87</v>
      </c>
      <c r="AE207" s="21" t="n">
        <f aca="false">IFERROR(SUMIFS(Transactions!$F:$F,Transactions!$C:$C,$A207,Transactions!$D:$D,"Sale"),0)</f>
        <v>0</v>
      </c>
      <c r="AF207" s="15" t="n">
        <f aca="false">IFERROR(SUMIFS(Transactions!$H:$H,Transactions!$C:$C,$A207,Transactions!$D:$D,"Sale"),0)</f>
        <v>0</v>
      </c>
      <c r="AG207" s="22" t="str">
        <f aca="false">IFERROR(IF(maxifs(Transactions!$B:$B,Transactions!$C:$C,$A207,Transactions!$D:$D,"Sale")=0,"",maxifs(Transactions!$B:$B,Transactions!$C:$C,$A207,Transactions!$D:$D,"Sale")),"")</f>
        <v/>
      </c>
      <c r="AH207" s="12"/>
    </row>
    <row r="208" customFormat="false" ht="18" hidden="false" customHeight="true" outlineLevel="0" collapsed="false">
      <c r="A208" s="12" t="s">
        <v>586</v>
      </c>
      <c r="B208" s="12" t="s">
        <v>195</v>
      </c>
      <c r="C208" s="12" t="s">
        <v>164</v>
      </c>
      <c r="D208" s="12" t="s">
        <v>165</v>
      </c>
      <c r="E208" s="12" t="s">
        <v>79</v>
      </c>
      <c r="F208" s="12" t="s">
        <v>148</v>
      </c>
      <c r="G208" s="12"/>
      <c r="H208" s="12" t="s">
        <v>381</v>
      </c>
      <c r="I208" s="14" t="n">
        <v>19000</v>
      </c>
      <c r="J208" s="18" t="n">
        <f aca="false">IF($I208="","",ROUND($I208*Dropdowns!$K$5,2))</f>
        <v>49.4</v>
      </c>
      <c r="K208" s="19" t="n">
        <f aca="false">IF($I208="","",ROUND($I208*Dropdowns!$K$6,2))</f>
        <v>45.6</v>
      </c>
      <c r="L208" s="20" t="n">
        <f aca="false">IF($I208="","",ROUND($I208*Dropdowns!$K$7,2))</f>
        <v>3895</v>
      </c>
      <c r="M208" s="15" t="str">
        <f aca="false">IFERROR(IF($B208="","",VLOOKUP($B208,Designs!$A$3:$AP$165,27,FALSE())),"")</f>
        <v/>
      </c>
      <c r="N208" s="16" t="str">
        <f aca="false">IFERROR(IF(OR($I208="",$M208="",$M208=0),"",($I208-$M208)/$I208),"")</f>
        <v/>
      </c>
      <c r="O208" s="13" t="n">
        <v>0</v>
      </c>
      <c r="P208" s="13" t="n">
        <v>0</v>
      </c>
      <c r="Q208" s="21" t="n">
        <f aca="false">IF($O208="","",$O208-IF($P208="",0,$P208))</f>
        <v>0</v>
      </c>
      <c r="R208" s="13" t="n">
        <v>2</v>
      </c>
      <c r="S208" s="21" t="str">
        <f aca="false">IF($O208="","",IF($Q208&lt;=$R208,"⚠ REORDER","OK"))</f>
        <v>⚠ REORDER</v>
      </c>
      <c r="T208" s="13"/>
      <c r="U208" s="13"/>
      <c r="V208" s="13" t="s">
        <v>378</v>
      </c>
      <c r="W208" s="12" t="s">
        <v>379</v>
      </c>
      <c r="X208" s="13"/>
      <c r="Y208" s="13"/>
      <c r="Z208" s="12" t="s">
        <v>88</v>
      </c>
      <c r="AA208" s="12" t="s">
        <v>88</v>
      </c>
      <c r="AB208" s="12" t="s">
        <v>88</v>
      </c>
      <c r="AC208" s="12" t="s">
        <v>88</v>
      </c>
      <c r="AD208" s="12" t="s">
        <v>87</v>
      </c>
      <c r="AE208" s="21" t="n">
        <f aca="false">IFERROR(SUMIFS(Transactions!$F:$F,Transactions!$C:$C,$A208,Transactions!$D:$D,"Sale"),0)</f>
        <v>0</v>
      </c>
      <c r="AF208" s="15" t="n">
        <f aca="false">IFERROR(SUMIFS(Transactions!$H:$H,Transactions!$C:$C,$A208,Transactions!$D:$D,"Sale"),0)</f>
        <v>0</v>
      </c>
      <c r="AG208" s="22" t="str">
        <f aca="false">IFERROR(IF(maxifs(Transactions!$B:$B,Transactions!$C:$C,$A208,Transactions!$D:$D,"Sale")=0,"",maxifs(Transactions!$B:$B,Transactions!$C:$C,$A208,Transactions!$D:$D,"Sale")),"")</f>
        <v/>
      </c>
      <c r="AH208" s="12"/>
    </row>
    <row r="209" customFormat="false" ht="18" hidden="false" customHeight="true" outlineLevel="0" collapsed="false">
      <c r="A209" s="12" t="s">
        <v>587</v>
      </c>
      <c r="B209" s="12" t="s">
        <v>195</v>
      </c>
      <c r="C209" s="12" t="s">
        <v>164</v>
      </c>
      <c r="D209" s="12" t="s">
        <v>165</v>
      </c>
      <c r="E209" s="12" t="s">
        <v>79</v>
      </c>
      <c r="F209" s="12" t="s">
        <v>148</v>
      </c>
      <c r="G209" s="12"/>
      <c r="H209" s="12" t="s">
        <v>383</v>
      </c>
      <c r="I209" s="14" t="n">
        <v>19000</v>
      </c>
      <c r="J209" s="18" t="n">
        <f aca="false">IF($I209="","",ROUND($I209*Dropdowns!$K$5,2))</f>
        <v>49.4</v>
      </c>
      <c r="K209" s="19" t="n">
        <f aca="false">IF($I209="","",ROUND($I209*Dropdowns!$K$6,2))</f>
        <v>45.6</v>
      </c>
      <c r="L209" s="20" t="n">
        <f aca="false">IF($I209="","",ROUND($I209*Dropdowns!$K$7,2))</f>
        <v>3895</v>
      </c>
      <c r="M209" s="15" t="str">
        <f aca="false">IFERROR(IF($B209="","",VLOOKUP($B209,Designs!$A$3:$AP$165,27,FALSE())),"")</f>
        <v/>
      </c>
      <c r="N209" s="16" t="str">
        <f aca="false">IFERROR(IF(OR($I209="",$M209="",$M209=0),"",($I209-$M209)/$I209),"")</f>
        <v/>
      </c>
      <c r="O209" s="13" t="n">
        <v>0</v>
      </c>
      <c r="P209" s="13" t="n">
        <v>0</v>
      </c>
      <c r="Q209" s="21" t="n">
        <f aca="false">IF($O209="","",$O209-IF($P209="",0,$P209))</f>
        <v>0</v>
      </c>
      <c r="R209" s="13" t="n">
        <v>2</v>
      </c>
      <c r="S209" s="21" t="str">
        <f aca="false">IF($O209="","",IF($Q209&lt;=$R209,"⚠ REORDER","OK"))</f>
        <v>⚠ REORDER</v>
      </c>
      <c r="T209" s="13"/>
      <c r="U209" s="13"/>
      <c r="V209" s="13" t="s">
        <v>378</v>
      </c>
      <c r="W209" s="12" t="s">
        <v>379</v>
      </c>
      <c r="X209" s="13"/>
      <c r="Y209" s="13"/>
      <c r="Z209" s="12" t="s">
        <v>88</v>
      </c>
      <c r="AA209" s="12" t="s">
        <v>88</v>
      </c>
      <c r="AB209" s="12" t="s">
        <v>88</v>
      </c>
      <c r="AC209" s="12" t="s">
        <v>88</v>
      </c>
      <c r="AD209" s="12" t="s">
        <v>87</v>
      </c>
      <c r="AE209" s="21" t="n">
        <f aca="false">IFERROR(SUMIFS(Transactions!$F:$F,Transactions!$C:$C,$A209,Transactions!$D:$D,"Sale"),0)</f>
        <v>0</v>
      </c>
      <c r="AF209" s="15" t="n">
        <f aca="false">IFERROR(SUMIFS(Transactions!$H:$H,Transactions!$C:$C,$A209,Transactions!$D:$D,"Sale"),0)</f>
        <v>0</v>
      </c>
      <c r="AG209" s="22" t="str">
        <f aca="false">IFERROR(IF(maxifs(Transactions!$B:$B,Transactions!$C:$C,$A209,Transactions!$D:$D,"Sale")=0,"",maxifs(Transactions!$B:$B,Transactions!$C:$C,$A209,Transactions!$D:$D,"Sale")),"")</f>
        <v/>
      </c>
      <c r="AH209" s="12"/>
    </row>
    <row r="210" customFormat="false" ht="18" hidden="false" customHeight="true" outlineLevel="0" collapsed="false">
      <c r="A210" s="12" t="s">
        <v>588</v>
      </c>
      <c r="B210" s="12" t="s">
        <v>196</v>
      </c>
      <c r="C210" s="12" t="s">
        <v>164</v>
      </c>
      <c r="D210" s="12" t="s">
        <v>165</v>
      </c>
      <c r="E210" s="12" t="s">
        <v>79</v>
      </c>
      <c r="F210" s="12" t="s">
        <v>150</v>
      </c>
      <c r="G210" s="12"/>
      <c r="H210" s="12" t="s">
        <v>377</v>
      </c>
      <c r="I210" s="14" t="n">
        <v>19000</v>
      </c>
      <c r="J210" s="18" t="n">
        <f aca="false">IF($I210="","",ROUND($I210*Dropdowns!$K$5,2))</f>
        <v>49.4</v>
      </c>
      <c r="K210" s="19" t="n">
        <f aca="false">IF($I210="","",ROUND($I210*Dropdowns!$K$6,2))</f>
        <v>45.6</v>
      </c>
      <c r="L210" s="20" t="n">
        <f aca="false">IF($I210="","",ROUND($I210*Dropdowns!$K$7,2))</f>
        <v>3895</v>
      </c>
      <c r="M210" s="15" t="str">
        <f aca="false">IFERROR(IF($B210="","",VLOOKUP($B210,Designs!$A$3:$AP$165,27,FALSE())),"")</f>
        <v/>
      </c>
      <c r="N210" s="16" t="str">
        <f aca="false">IFERROR(IF(OR($I210="",$M210="",$M210=0),"",($I210-$M210)/$I210),"")</f>
        <v/>
      </c>
      <c r="O210" s="13" t="n">
        <v>0</v>
      </c>
      <c r="P210" s="13" t="n">
        <v>0</v>
      </c>
      <c r="Q210" s="21" t="n">
        <f aca="false">IF($O210="","",$O210-IF($P210="",0,$P210))</f>
        <v>0</v>
      </c>
      <c r="R210" s="13" t="n">
        <v>2</v>
      </c>
      <c r="S210" s="21" t="str">
        <f aca="false">IF($O210="","",IF($Q210&lt;=$R210,"⚠ REORDER","OK"))</f>
        <v>⚠ REORDER</v>
      </c>
      <c r="T210" s="13"/>
      <c r="U210" s="13"/>
      <c r="V210" s="13" t="s">
        <v>378</v>
      </c>
      <c r="W210" s="12" t="s">
        <v>379</v>
      </c>
      <c r="X210" s="13"/>
      <c r="Y210" s="13"/>
      <c r="Z210" s="12" t="s">
        <v>88</v>
      </c>
      <c r="AA210" s="12" t="s">
        <v>88</v>
      </c>
      <c r="AB210" s="12" t="s">
        <v>88</v>
      </c>
      <c r="AC210" s="12" t="s">
        <v>88</v>
      </c>
      <c r="AD210" s="12" t="s">
        <v>87</v>
      </c>
      <c r="AE210" s="21" t="n">
        <f aca="false">IFERROR(SUMIFS(Transactions!$F:$F,Transactions!$C:$C,$A210,Transactions!$D:$D,"Sale"),0)</f>
        <v>0</v>
      </c>
      <c r="AF210" s="15" t="n">
        <f aca="false">IFERROR(SUMIFS(Transactions!$H:$H,Transactions!$C:$C,$A210,Transactions!$D:$D,"Sale"),0)</f>
        <v>0</v>
      </c>
      <c r="AG210" s="22" t="str">
        <f aca="false">IFERROR(IF(maxifs(Transactions!$B:$B,Transactions!$C:$C,$A210,Transactions!$D:$D,"Sale")=0,"",maxifs(Transactions!$B:$B,Transactions!$C:$C,$A210,Transactions!$D:$D,"Sale")),"")</f>
        <v/>
      </c>
      <c r="AH210" s="12"/>
    </row>
    <row r="211" customFormat="false" ht="18" hidden="false" customHeight="true" outlineLevel="0" collapsed="false">
      <c r="A211" s="12" t="s">
        <v>589</v>
      </c>
      <c r="B211" s="12" t="s">
        <v>196</v>
      </c>
      <c r="C211" s="12" t="s">
        <v>164</v>
      </c>
      <c r="D211" s="12" t="s">
        <v>165</v>
      </c>
      <c r="E211" s="12" t="s">
        <v>79</v>
      </c>
      <c r="F211" s="12" t="s">
        <v>150</v>
      </c>
      <c r="G211" s="12"/>
      <c r="H211" s="12" t="s">
        <v>381</v>
      </c>
      <c r="I211" s="14" t="n">
        <v>19000</v>
      </c>
      <c r="J211" s="18" t="n">
        <f aca="false">IF($I211="","",ROUND($I211*Dropdowns!$K$5,2))</f>
        <v>49.4</v>
      </c>
      <c r="K211" s="19" t="n">
        <f aca="false">IF($I211="","",ROUND($I211*Dropdowns!$K$6,2))</f>
        <v>45.6</v>
      </c>
      <c r="L211" s="20" t="n">
        <f aca="false">IF($I211="","",ROUND($I211*Dropdowns!$K$7,2))</f>
        <v>3895</v>
      </c>
      <c r="M211" s="15" t="str">
        <f aca="false">IFERROR(IF($B211="","",VLOOKUP($B211,Designs!$A$3:$AP$165,27,FALSE())),"")</f>
        <v/>
      </c>
      <c r="N211" s="16" t="str">
        <f aca="false">IFERROR(IF(OR($I211="",$M211="",$M211=0),"",($I211-$M211)/$I211),"")</f>
        <v/>
      </c>
      <c r="O211" s="13" t="n">
        <v>0</v>
      </c>
      <c r="P211" s="13" t="n">
        <v>0</v>
      </c>
      <c r="Q211" s="21" t="n">
        <f aca="false">IF($O211="","",$O211-IF($P211="",0,$P211))</f>
        <v>0</v>
      </c>
      <c r="R211" s="13" t="n">
        <v>2</v>
      </c>
      <c r="S211" s="21" t="str">
        <f aca="false">IF($O211="","",IF($Q211&lt;=$R211,"⚠ REORDER","OK"))</f>
        <v>⚠ REORDER</v>
      </c>
      <c r="T211" s="13"/>
      <c r="U211" s="13"/>
      <c r="V211" s="13" t="s">
        <v>378</v>
      </c>
      <c r="W211" s="12" t="s">
        <v>379</v>
      </c>
      <c r="X211" s="13"/>
      <c r="Y211" s="13"/>
      <c r="Z211" s="12" t="s">
        <v>88</v>
      </c>
      <c r="AA211" s="12" t="s">
        <v>88</v>
      </c>
      <c r="AB211" s="12" t="s">
        <v>88</v>
      </c>
      <c r="AC211" s="12" t="s">
        <v>88</v>
      </c>
      <c r="AD211" s="12" t="s">
        <v>87</v>
      </c>
      <c r="AE211" s="21" t="n">
        <f aca="false">IFERROR(SUMIFS(Transactions!$F:$F,Transactions!$C:$C,$A211,Transactions!$D:$D,"Sale"),0)</f>
        <v>0</v>
      </c>
      <c r="AF211" s="15" t="n">
        <f aca="false">IFERROR(SUMIFS(Transactions!$H:$H,Transactions!$C:$C,$A211,Transactions!$D:$D,"Sale"),0)</f>
        <v>0</v>
      </c>
      <c r="AG211" s="22" t="str">
        <f aca="false">IFERROR(IF(maxifs(Transactions!$B:$B,Transactions!$C:$C,$A211,Transactions!$D:$D,"Sale")=0,"",maxifs(Transactions!$B:$B,Transactions!$C:$C,$A211,Transactions!$D:$D,"Sale")),"")</f>
        <v/>
      </c>
      <c r="AH211" s="12"/>
    </row>
    <row r="212" customFormat="false" ht="18" hidden="false" customHeight="true" outlineLevel="0" collapsed="false">
      <c r="A212" s="12" t="s">
        <v>590</v>
      </c>
      <c r="B212" s="12" t="s">
        <v>196</v>
      </c>
      <c r="C212" s="12" t="s">
        <v>164</v>
      </c>
      <c r="D212" s="12" t="s">
        <v>165</v>
      </c>
      <c r="E212" s="12" t="s">
        <v>79</v>
      </c>
      <c r="F212" s="12" t="s">
        <v>150</v>
      </c>
      <c r="G212" s="12"/>
      <c r="H212" s="12" t="s">
        <v>383</v>
      </c>
      <c r="I212" s="14" t="n">
        <v>19000</v>
      </c>
      <c r="J212" s="18" t="n">
        <f aca="false">IF($I212="","",ROUND($I212*Dropdowns!$K$5,2))</f>
        <v>49.4</v>
      </c>
      <c r="K212" s="19" t="n">
        <f aca="false">IF($I212="","",ROUND($I212*Dropdowns!$K$6,2))</f>
        <v>45.6</v>
      </c>
      <c r="L212" s="20" t="n">
        <f aca="false">IF($I212="","",ROUND($I212*Dropdowns!$K$7,2))</f>
        <v>3895</v>
      </c>
      <c r="M212" s="15" t="str">
        <f aca="false">IFERROR(IF($B212="","",VLOOKUP($B212,Designs!$A$3:$AP$165,27,FALSE())),"")</f>
        <v/>
      </c>
      <c r="N212" s="16" t="str">
        <f aca="false">IFERROR(IF(OR($I212="",$M212="",$M212=0),"",($I212-$M212)/$I212),"")</f>
        <v/>
      </c>
      <c r="O212" s="13" t="n">
        <v>0</v>
      </c>
      <c r="P212" s="13" t="n">
        <v>0</v>
      </c>
      <c r="Q212" s="21" t="n">
        <f aca="false">IF($O212="","",$O212-IF($P212="",0,$P212))</f>
        <v>0</v>
      </c>
      <c r="R212" s="13" t="n">
        <v>2</v>
      </c>
      <c r="S212" s="21" t="str">
        <f aca="false">IF($O212="","",IF($Q212&lt;=$R212,"⚠ REORDER","OK"))</f>
        <v>⚠ REORDER</v>
      </c>
      <c r="T212" s="13"/>
      <c r="U212" s="13"/>
      <c r="V212" s="13" t="s">
        <v>378</v>
      </c>
      <c r="W212" s="12" t="s">
        <v>379</v>
      </c>
      <c r="X212" s="13"/>
      <c r="Y212" s="13"/>
      <c r="Z212" s="12" t="s">
        <v>88</v>
      </c>
      <c r="AA212" s="12" t="s">
        <v>88</v>
      </c>
      <c r="AB212" s="12" t="s">
        <v>88</v>
      </c>
      <c r="AC212" s="12" t="s">
        <v>88</v>
      </c>
      <c r="AD212" s="12" t="s">
        <v>87</v>
      </c>
      <c r="AE212" s="21" t="n">
        <f aca="false">IFERROR(SUMIFS(Transactions!$F:$F,Transactions!$C:$C,$A212,Transactions!$D:$D,"Sale"),0)</f>
        <v>0</v>
      </c>
      <c r="AF212" s="15" t="n">
        <f aca="false">IFERROR(SUMIFS(Transactions!$H:$H,Transactions!$C:$C,$A212,Transactions!$D:$D,"Sale"),0)</f>
        <v>0</v>
      </c>
      <c r="AG212" s="22" t="str">
        <f aca="false">IFERROR(IF(maxifs(Transactions!$B:$B,Transactions!$C:$C,$A212,Transactions!$D:$D,"Sale")=0,"",maxifs(Transactions!$B:$B,Transactions!$C:$C,$A212,Transactions!$D:$D,"Sale")),"")</f>
        <v/>
      </c>
      <c r="AH212" s="12"/>
    </row>
    <row r="213" customFormat="false" ht="18" hidden="false" customHeight="true" outlineLevel="0" collapsed="false">
      <c r="A213" s="12" t="s">
        <v>591</v>
      </c>
      <c r="B213" s="12" t="s">
        <v>197</v>
      </c>
      <c r="C213" s="12" t="s">
        <v>164</v>
      </c>
      <c r="D213" s="12" t="s">
        <v>165</v>
      </c>
      <c r="E213" s="12" t="s">
        <v>79</v>
      </c>
      <c r="F213" s="12" t="s">
        <v>152</v>
      </c>
      <c r="G213" s="12"/>
      <c r="H213" s="12" t="s">
        <v>377</v>
      </c>
      <c r="I213" s="14" t="n">
        <v>19000</v>
      </c>
      <c r="J213" s="18" t="n">
        <f aca="false">IF($I213="","",ROUND($I213*Dropdowns!$K$5,2))</f>
        <v>49.4</v>
      </c>
      <c r="K213" s="19" t="n">
        <f aca="false">IF($I213="","",ROUND($I213*Dropdowns!$K$6,2))</f>
        <v>45.6</v>
      </c>
      <c r="L213" s="20" t="n">
        <f aca="false">IF($I213="","",ROUND($I213*Dropdowns!$K$7,2))</f>
        <v>3895</v>
      </c>
      <c r="M213" s="15" t="str">
        <f aca="false">IFERROR(IF($B213="","",VLOOKUP($B213,Designs!$A$3:$AP$165,27,FALSE())),"")</f>
        <v/>
      </c>
      <c r="N213" s="16" t="str">
        <f aca="false">IFERROR(IF(OR($I213="",$M213="",$M213=0),"",($I213-$M213)/$I213),"")</f>
        <v/>
      </c>
      <c r="O213" s="13" t="n">
        <v>0</v>
      </c>
      <c r="P213" s="13" t="n">
        <v>0</v>
      </c>
      <c r="Q213" s="21" t="n">
        <f aca="false">IF($O213="","",$O213-IF($P213="",0,$P213))</f>
        <v>0</v>
      </c>
      <c r="R213" s="13" t="n">
        <v>2</v>
      </c>
      <c r="S213" s="21" t="str">
        <f aca="false">IF($O213="","",IF($Q213&lt;=$R213,"⚠ REORDER","OK"))</f>
        <v>⚠ REORDER</v>
      </c>
      <c r="T213" s="13"/>
      <c r="U213" s="13"/>
      <c r="V213" s="13" t="s">
        <v>378</v>
      </c>
      <c r="W213" s="12" t="s">
        <v>379</v>
      </c>
      <c r="X213" s="13"/>
      <c r="Y213" s="13"/>
      <c r="Z213" s="12" t="s">
        <v>88</v>
      </c>
      <c r="AA213" s="12" t="s">
        <v>88</v>
      </c>
      <c r="AB213" s="12" t="s">
        <v>88</v>
      </c>
      <c r="AC213" s="12" t="s">
        <v>88</v>
      </c>
      <c r="AD213" s="12" t="s">
        <v>87</v>
      </c>
      <c r="AE213" s="21" t="n">
        <f aca="false">IFERROR(SUMIFS(Transactions!$F:$F,Transactions!$C:$C,$A213,Transactions!$D:$D,"Sale"),0)</f>
        <v>0</v>
      </c>
      <c r="AF213" s="15" t="n">
        <f aca="false">IFERROR(SUMIFS(Transactions!$H:$H,Transactions!$C:$C,$A213,Transactions!$D:$D,"Sale"),0)</f>
        <v>0</v>
      </c>
      <c r="AG213" s="22" t="str">
        <f aca="false">IFERROR(IF(maxifs(Transactions!$B:$B,Transactions!$C:$C,$A213,Transactions!$D:$D,"Sale")=0,"",maxifs(Transactions!$B:$B,Transactions!$C:$C,$A213,Transactions!$D:$D,"Sale")),"")</f>
        <v/>
      </c>
      <c r="AH213" s="12"/>
    </row>
    <row r="214" customFormat="false" ht="18" hidden="false" customHeight="true" outlineLevel="0" collapsed="false">
      <c r="A214" s="12" t="s">
        <v>592</v>
      </c>
      <c r="B214" s="12" t="s">
        <v>197</v>
      </c>
      <c r="C214" s="12" t="s">
        <v>164</v>
      </c>
      <c r="D214" s="12" t="s">
        <v>165</v>
      </c>
      <c r="E214" s="12" t="s">
        <v>79</v>
      </c>
      <c r="F214" s="12" t="s">
        <v>152</v>
      </c>
      <c r="G214" s="12"/>
      <c r="H214" s="12" t="s">
        <v>381</v>
      </c>
      <c r="I214" s="14" t="n">
        <v>19000</v>
      </c>
      <c r="J214" s="18" t="n">
        <f aca="false">IF($I214="","",ROUND($I214*Dropdowns!$K$5,2))</f>
        <v>49.4</v>
      </c>
      <c r="K214" s="19" t="n">
        <f aca="false">IF($I214="","",ROUND($I214*Dropdowns!$K$6,2))</f>
        <v>45.6</v>
      </c>
      <c r="L214" s="20" t="n">
        <f aca="false">IF($I214="","",ROUND($I214*Dropdowns!$K$7,2))</f>
        <v>3895</v>
      </c>
      <c r="M214" s="15" t="str">
        <f aca="false">IFERROR(IF($B214="","",VLOOKUP($B214,Designs!$A$3:$AP$165,27,FALSE())),"")</f>
        <v/>
      </c>
      <c r="N214" s="16" t="str">
        <f aca="false">IFERROR(IF(OR($I214="",$M214="",$M214=0),"",($I214-$M214)/$I214),"")</f>
        <v/>
      </c>
      <c r="O214" s="13" t="n">
        <v>0</v>
      </c>
      <c r="P214" s="13" t="n">
        <v>0</v>
      </c>
      <c r="Q214" s="21" t="n">
        <f aca="false">IF($O214="","",$O214-IF($P214="",0,$P214))</f>
        <v>0</v>
      </c>
      <c r="R214" s="13" t="n">
        <v>2</v>
      </c>
      <c r="S214" s="21" t="str">
        <f aca="false">IF($O214="","",IF($Q214&lt;=$R214,"⚠ REORDER","OK"))</f>
        <v>⚠ REORDER</v>
      </c>
      <c r="T214" s="13"/>
      <c r="U214" s="13"/>
      <c r="V214" s="13" t="s">
        <v>378</v>
      </c>
      <c r="W214" s="12" t="s">
        <v>379</v>
      </c>
      <c r="X214" s="13"/>
      <c r="Y214" s="13"/>
      <c r="Z214" s="12" t="s">
        <v>88</v>
      </c>
      <c r="AA214" s="12" t="s">
        <v>88</v>
      </c>
      <c r="AB214" s="12" t="s">
        <v>88</v>
      </c>
      <c r="AC214" s="12" t="s">
        <v>88</v>
      </c>
      <c r="AD214" s="12" t="s">
        <v>87</v>
      </c>
      <c r="AE214" s="21" t="n">
        <f aca="false">IFERROR(SUMIFS(Transactions!$F:$F,Transactions!$C:$C,$A214,Transactions!$D:$D,"Sale"),0)</f>
        <v>0</v>
      </c>
      <c r="AF214" s="15" t="n">
        <f aca="false">IFERROR(SUMIFS(Transactions!$H:$H,Transactions!$C:$C,$A214,Transactions!$D:$D,"Sale"),0)</f>
        <v>0</v>
      </c>
      <c r="AG214" s="22" t="str">
        <f aca="false">IFERROR(IF(maxifs(Transactions!$B:$B,Transactions!$C:$C,$A214,Transactions!$D:$D,"Sale")=0,"",maxifs(Transactions!$B:$B,Transactions!$C:$C,$A214,Transactions!$D:$D,"Sale")),"")</f>
        <v/>
      </c>
      <c r="AH214" s="12"/>
    </row>
    <row r="215" customFormat="false" ht="18" hidden="false" customHeight="true" outlineLevel="0" collapsed="false">
      <c r="A215" s="12" t="s">
        <v>593</v>
      </c>
      <c r="B215" s="12" t="s">
        <v>197</v>
      </c>
      <c r="C215" s="12" t="s">
        <v>164</v>
      </c>
      <c r="D215" s="12" t="s">
        <v>165</v>
      </c>
      <c r="E215" s="12" t="s">
        <v>79</v>
      </c>
      <c r="F215" s="12" t="s">
        <v>152</v>
      </c>
      <c r="G215" s="12"/>
      <c r="H215" s="12" t="s">
        <v>383</v>
      </c>
      <c r="I215" s="14" t="n">
        <v>19000</v>
      </c>
      <c r="J215" s="18" t="n">
        <f aca="false">IF($I215="","",ROUND($I215*Dropdowns!$K$5,2))</f>
        <v>49.4</v>
      </c>
      <c r="K215" s="19" t="n">
        <f aca="false">IF($I215="","",ROUND($I215*Dropdowns!$K$6,2))</f>
        <v>45.6</v>
      </c>
      <c r="L215" s="20" t="n">
        <f aca="false">IF($I215="","",ROUND($I215*Dropdowns!$K$7,2))</f>
        <v>3895</v>
      </c>
      <c r="M215" s="15" t="str">
        <f aca="false">IFERROR(IF($B215="","",VLOOKUP($B215,Designs!$A$3:$AP$165,27,FALSE())),"")</f>
        <v/>
      </c>
      <c r="N215" s="16" t="str">
        <f aca="false">IFERROR(IF(OR($I215="",$M215="",$M215=0),"",($I215-$M215)/$I215),"")</f>
        <v/>
      </c>
      <c r="O215" s="13" t="n">
        <v>0</v>
      </c>
      <c r="P215" s="13" t="n">
        <v>0</v>
      </c>
      <c r="Q215" s="21" t="n">
        <f aca="false">IF($O215="","",$O215-IF($P215="",0,$P215))</f>
        <v>0</v>
      </c>
      <c r="R215" s="13" t="n">
        <v>2</v>
      </c>
      <c r="S215" s="21" t="str">
        <f aca="false">IF($O215="","",IF($Q215&lt;=$R215,"⚠ REORDER","OK"))</f>
        <v>⚠ REORDER</v>
      </c>
      <c r="T215" s="13"/>
      <c r="U215" s="13"/>
      <c r="V215" s="13" t="s">
        <v>378</v>
      </c>
      <c r="W215" s="12" t="s">
        <v>379</v>
      </c>
      <c r="X215" s="13"/>
      <c r="Y215" s="13"/>
      <c r="Z215" s="12" t="s">
        <v>88</v>
      </c>
      <c r="AA215" s="12" t="s">
        <v>88</v>
      </c>
      <c r="AB215" s="12" t="s">
        <v>88</v>
      </c>
      <c r="AC215" s="12" t="s">
        <v>88</v>
      </c>
      <c r="AD215" s="12" t="s">
        <v>87</v>
      </c>
      <c r="AE215" s="21" t="n">
        <f aca="false">IFERROR(SUMIFS(Transactions!$F:$F,Transactions!$C:$C,$A215,Transactions!$D:$D,"Sale"),0)</f>
        <v>0</v>
      </c>
      <c r="AF215" s="15" t="n">
        <f aca="false">IFERROR(SUMIFS(Transactions!$H:$H,Transactions!$C:$C,$A215,Transactions!$D:$D,"Sale"),0)</f>
        <v>0</v>
      </c>
      <c r="AG215" s="22" t="str">
        <f aca="false">IFERROR(IF(maxifs(Transactions!$B:$B,Transactions!$C:$C,$A215,Transactions!$D:$D,"Sale")=0,"",maxifs(Transactions!$B:$B,Transactions!$C:$C,$A215,Transactions!$D:$D,"Sale")),"")</f>
        <v/>
      </c>
      <c r="AH215" s="12"/>
    </row>
    <row r="216" customFormat="false" ht="18" hidden="false" customHeight="true" outlineLevel="0" collapsed="false">
      <c r="A216" s="12" t="s">
        <v>594</v>
      </c>
      <c r="B216" s="12" t="s">
        <v>198</v>
      </c>
      <c r="C216" s="12" t="s">
        <v>164</v>
      </c>
      <c r="D216" s="12" t="s">
        <v>165</v>
      </c>
      <c r="E216" s="12" t="s">
        <v>79</v>
      </c>
      <c r="F216" s="12" t="s">
        <v>154</v>
      </c>
      <c r="G216" s="12"/>
      <c r="H216" s="12" t="s">
        <v>377</v>
      </c>
      <c r="I216" s="14" t="n">
        <v>19000</v>
      </c>
      <c r="J216" s="18" t="n">
        <f aca="false">IF($I216="","",ROUND($I216*Dropdowns!$K$5,2))</f>
        <v>49.4</v>
      </c>
      <c r="K216" s="19" t="n">
        <f aca="false">IF($I216="","",ROUND($I216*Dropdowns!$K$6,2))</f>
        <v>45.6</v>
      </c>
      <c r="L216" s="20" t="n">
        <f aca="false">IF($I216="","",ROUND($I216*Dropdowns!$K$7,2))</f>
        <v>3895</v>
      </c>
      <c r="M216" s="15" t="str">
        <f aca="false">IFERROR(IF($B216="","",VLOOKUP($B216,Designs!$A$3:$AP$165,27,FALSE())),"")</f>
        <v/>
      </c>
      <c r="N216" s="16" t="str">
        <f aca="false">IFERROR(IF(OR($I216="",$M216="",$M216=0),"",($I216-$M216)/$I216),"")</f>
        <v/>
      </c>
      <c r="O216" s="13" t="n">
        <v>0</v>
      </c>
      <c r="P216" s="13" t="n">
        <v>0</v>
      </c>
      <c r="Q216" s="21" t="n">
        <f aca="false">IF($O216="","",$O216-IF($P216="",0,$P216))</f>
        <v>0</v>
      </c>
      <c r="R216" s="13" t="n">
        <v>2</v>
      </c>
      <c r="S216" s="21" t="str">
        <f aca="false">IF($O216="","",IF($Q216&lt;=$R216,"⚠ REORDER","OK"))</f>
        <v>⚠ REORDER</v>
      </c>
      <c r="T216" s="13"/>
      <c r="U216" s="13"/>
      <c r="V216" s="13" t="s">
        <v>378</v>
      </c>
      <c r="W216" s="12" t="s">
        <v>379</v>
      </c>
      <c r="X216" s="13"/>
      <c r="Y216" s="13"/>
      <c r="Z216" s="12" t="s">
        <v>88</v>
      </c>
      <c r="AA216" s="12" t="s">
        <v>88</v>
      </c>
      <c r="AB216" s="12" t="s">
        <v>88</v>
      </c>
      <c r="AC216" s="12" t="s">
        <v>88</v>
      </c>
      <c r="AD216" s="12" t="s">
        <v>87</v>
      </c>
      <c r="AE216" s="21" t="n">
        <f aca="false">IFERROR(SUMIFS(Transactions!$F:$F,Transactions!$C:$C,$A216,Transactions!$D:$D,"Sale"),0)</f>
        <v>0</v>
      </c>
      <c r="AF216" s="15" t="n">
        <f aca="false">IFERROR(SUMIFS(Transactions!$H:$H,Transactions!$C:$C,$A216,Transactions!$D:$D,"Sale"),0)</f>
        <v>0</v>
      </c>
      <c r="AG216" s="22" t="str">
        <f aca="false">IFERROR(IF(maxifs(Transactions!$B:$B,Transactions!$C:$C,$A216,Transactions!$D:$D,"Sale")=0,"",maxifs(Transactions!$B:$B,Transactions!$C:$C,$A216,Transactions!$D:$D,"Sale")),"")</f>
        <v/>
      </c>
      <c r="AH216" s="12"/>
    </row>
    <row r="217" customFormat="false" ht="18" hidden="false" customHeight="true" outlineLevel="0" collapsed="false">
      <c r="A217" s="12" t="s">
        <v>595</v>
      </c>
      <c r="B217" s="12" t="s">
        <v>198</v>
      </c>
      <c r="C217" s="12" t="s">
        <v>164</v>
      </c>
      <c r="D217" s="12" t="s">
        <v>165</v>
      </c>
      <c r="E217" s="12" t="s">
        <v>79</v>
      </c>
      <c r="F217" s="12" t="s">
        <v>154</v>
      </c>
      <c r="G217" s="12"/>
      <c r="H217" s="12" t="s">
        <v>381</v>
      </c>
      <c r="I217" s="14" t="n">
        <v>19000</v>
      </c>
      <c r="J217" s="18" t="n">
        <f aca="false">IF($I217="","",ROUND($I217*Dropdowns!$K$5,2))</f>
        <v>49.4</v>
      </c>
      <c r="K217" s="19" t="n">
        <f aca="false">IF($I217="","",ROUND($I217*Dropdowns!$K$6,2))</f>
        <v>45.6</v>
      </c>
      <c r="L217" s="20" t="n">
        <f aca="false">IF($I217="","",ROUND($I217*Dropdowns!$K$7,2))</f>
        <v>3895</v>
      </c>
      <c r="M217" s="15" t="str">
        <f aca="false">IFERROR(IF($B217="","",VLOOKUP($B217,Designs!$A$3:$AP$165,27,FALSE())),"")</f>
        <v/>
      </c>
      <c r="N217" s="16" t="str">
        <f aca="false">IFERROR(IF(OR($I217="",$M217="",$M217=0),"",($I217-$M217)/$I217),"")</f>
        <v/>
      </c>
      <c r="O217" s="13" t="n">
        <v>0</v>
      </c>
      <c r="P217" s="13" t="n">
        <v>0</v>
      </c>
      <c r="Q217" s="21" t="n">
        <f aca="false">IF($O217="","",$O217-IF($P217="",0,$P217))</f>
        <v>0</v>
      </c>
      <c r="R217" s="13" t="n">
        <v>2</v>
      </c>
      <c r="S217" s="21" t="str">
        <f aca="false">IF($O217="","",IF($Q217&lt;=$R217,"⚠ REORDER","OK"))</f>
        <v>⚠ REORDER</v>
      </c>
      <c r="T217" s="13"/>
      <c r="U217" s="13"/>
      <c r="V217" s="13" t="s">
        <v>378</v>
      </c>
      <c r="W217" s="12" t="s">
        <v>379</v>
      </c>
      <c r="X217" s="13"/>
      <c r="Y217" s="13"/>
      <c r="Z217" s="12" t="s">
        <v>88</v>
      </c>
      <c r="AA217" s="12" t="s">
        <v>88</v>
      </c>
      <c r="AB217" s="12" t="s">
        <v>88</v>
      </c>
      <c r="AC217" s="12" t="s">
        <v>88</v>
      </c>
      <c r="AD217" s="12" t="s">
        <v>87</v>
      </c>
      <c r="AE217" s="21" t="n">
        <f aca="false">IFERROR(SUMIFS(Transactions!$F:$F,Transactions!$C:$C,$A217,Transactions!$D:$D,"Sale"),0)</f>
        <v>0</v>
      </c>
      <c r="AF217" s="15" t="n">
        <f aca="false">IFERROR(SUMIFS(Transactions!$H:$H,Transactions!$C:$C,$A217,Transactions!$D:$D,"Sale"),0)</f>
        <v>0</v>
      </c>
      <c r="AG217" s="22" t="str">
        <f aca="false">IFERROR(IF(maxifs(Transactions!$B:$B,Transactions!$C:$C,$A217,Transactions!$D:$D,"Sale")=0,"",maxifs(Transactions!$B:$B,Transactions!$C:$C,$A217,Transactions!$D:$D,"Sale")),"")</f>
        <v/>
      </c>
      <c r="AH217" s="12"/>
    </row>
    <row r="218" customFormat="false" ht="18" hidden="false" customHeight="true" outlineLevel="0" collapsed="false">
      <c r="A218" s="12" t="s">
        <v>596</v>
      </c>
      <c r="B218" s="12" t="s">
        <v>198</v>
      </c>
      <c r="C218" s="12" t="s">
        <v>164</v>
      </c>
      <c r="D218" s="12" t="s">
        <v>165</v>
      </c>
      <c r="E218" s="12" t="s">
        <v>79</v>
      </c>
      <c r="F218" s="12" t="s">
        <v>154</v>
      </c>
      <c r="G218" s="12"/>
      <c r="H218" s="12" t="s">
        <v>383</v>
      </c>
      <c r="I218" s="14" t="n">
        <v>19000</v>
      </c>
      <c r="J218" s="18" t="n">
        <f aca="false">IF($I218="","",ROUND($I218*Dropdowns!$K$5,2))</f>
        <v>49.4</v>
      </c>
      <c r="K218" s="19" t="n">
        <f aca="false">IF($I218="","",ROUND($I218*Dropdowns!$K$6,2))</f>
        <v>45.6</v>
      </c>
      <c r="L218" s="20" t="n">
        <f aca="false">IF($I218="","",ROUND($I218*Dropdowns!$K$7,2))</f>
        <v>3895</v>
      </c>
      <c r="M218" s="15" t="str">
        <f aca="false">IFERROR(IF($B218="","",VLOOKUP($B218,Designs!$A$3:$AP$165,27,FALSE())),"")</f>
        <v/>
      </c>
      <c r="N218" s="16" t="str">
        <f aca="false">IFERROR(IF(OR($I218="",$M218="",$M218=0),"",($I218-$M218)/$I218),"")</f>
        <v/>
      </c>
      <c r="O218" s="13" t="n">
        <v>0</v>
      </c>
      <c r="P218" s="13" t="n">
        <v>0</v>
      </c>
      <c r="Q218" s="21" t="n">
        <f aca="false">IF($O218="","",$O218-IF($P218="",0,$P218))</f>
        <v>0</v>
      </c>
      <c r="R218" s="13" t="n">
        <v>2</v>
      </c>
      <c r="S218" s="21" t="str">
        <f aca="false">IF($O218="","",IF($Q218&lt;=$R218,"⚠ REORDER","OK"))</f>
        <v>⚠ REORDER</v>
      </c>
      <c r="T218" s="13"/>
      <c r="U218" s="13"/>
      <c r="V218" s="13" t="s">
        <v>378</v>
      </c>
      <c r="W218" s="12" t="s">
        <v>379</v>
      </c>
      <c r="X218" s="13"/>
      <c r="Y218" s="13"/>
      <c r="Z218" s="12" t="s">
        <v>88</v>
      </c>
      <c r="AA218" s="12" t="s">
        <v>88</v>
      </c>
      <c r="AB218" s="12" t="s">
        <v>88</v>
      </c>
      <c r="AC218" s="12" t="s">
        <v>88</v>
      </c>
      <c r="AD218" s="12" t="s">
        <v>87</v>
      </c>
      <c r="AE218" s="21" t="n">
        <f aca="false">IFERROR(SUMIFS(Transactions!$F:$F,Transactions!$C:$C,$A218,Transactions!$D:$D,"Sale"),0)</f>
        <v>0</v>
      </c>
      <c r="AF218" s="15" t="n">
        <f aca="false">IFERROR(SUMIFS(Transactions!$H:$H,Transactions!$C:$C,$A218,Transactions!$D:$D,"Sale"),0)</f>
        <v>0</v>
      </c>
      <c r="AG218" s="22" t="str">
        <f aca="false">IFERROR(IF(maxifs(Transactions!$B:$B,Transactions!$C:$C,$A218,Transactions!$D:$D,"Sale")=0,"",maxifs(Transactions!$B:$B,Transactions!$C:$C,$A218,Transactions!$D:$D,"Sale")),"")</f>
        <v/>
      </c>
      <c r="AH218" s="12"/>
    </row>
    <row r="219" customFormat="false" ht="18" hidden="false" customHeight="true" outlineLevel="0" collapsed="false">
      <c r="A219" s="12" t="s">
        <v>597</v>
      </c>
      <c r="B219" s="12" t="s">
        <v>199</v>
      </c>
      <c r="C219" s="12" t="s">
        <v>164</v>
      </c>
      <c r="D219" s="12" t="s">
        <v>165</v>
      </c>
      <c r="E219" s="12" t="s">
        <v>79</v>
      </c>
      <c r="F219" s="12" t="s">
        <v>156</v>
      </c>
      <c r="G219" s="12"/>
      <c r="H219" s="12" t="s">
        <v>377</v>
      </c>
      <c r="I219" s="14" t="n">
        <v>19000</v>
      </c>
      <c r="J219" s="18" t="n">
        <f aca="false">IF($I219="","",ROUND($I219*Dropdowns!$K$5,2))</f>
        <v>49.4</v>
      </c>
      <c r="K219" s="19" t="n">
        <f aca="false">IF($I219="","",ROUND($I219*Dropdowns!$K$6,2))</f>
        <v>45.6</v>
      </c>
      <c r="L219" s="20" t="n">
        <f aca="false">IF($I219="","",ROUND($I219*Dropdowns!$K$7,2))</f>
        <v>3895</v>
      </c>
      <c r="M219" s="15" t="str">
        <f aca="false">IFERROR(IF($B219="","",VLOOKUP($B219,Designs!$A$3:$AP$165,27,FALSE())),"")</f>
        <v/>
      </c>
      <c r="N219" s="16" t="str">
        <f aca="false">IFERROR(IF(OR($I219="",$M219="",$M219=0),"",($I219-$M219)/$I219),"")</f>
        <v/>
      </c>
      <c r="O219" s="13" t="n">
        <v>0</v>
      </c>
      <c r="P219" s="13" t="n">
        <v>0</v>
      </c>
      <c r="Q219" s="21" t="n">
        <f aca="false">IF($O219="","",$O219-IF($P219="",0,$P219))</f>
        <v>0</v>
      </c>
      <c r="R219" s="13" t="n">
        <v>2</v>
      </c>
      <c r="S219" s="21" t="str">
        <f aca="false">IF($O219="","",IF($Q219&lt;=$R219,"⚠ REORDER","OK"))</f>
        <v>⚠ REORDER</v>
      </c>
      <c r="T219" s="13"/>
      <c r="U219" s="13"/>
      <c r="V219" s="13" t="s">
        <v>378</v>
      </c>
      <c r="W219" s="12" t="s">
        <v>379</v>
      </c>
      <c r="X219" s="13"/>
      <c r="Y219" s="13"/>
      <c r="Z219" s="12" t="s">
        <v>88</v>
      </c>
      <c r="AA219" s="12" t="s">
        <v>88</v>
      </c>
      <c r="AB219" s="12" t="s">
        <v>88</v>
      </c>
      <c r="AC219" s="12" t="s">
        <v>88</v>
      </c>
      <c r="AD219" s="12" t="s">
        <v>87</v>
      </c>
      <c r="AE219" s="21" t="n">
        <f aca="false">IFERROR(SUMIFS(Transactions!$F:$F,Transactions!$C:$C,$A219,Transactions!$D:$D,"Sale"),0)</f>
        <v>0</v>
      </c>
      <c r="AF219" s="15" t="n">
        <f aca="false">IFERROR(SUMIFS(Transactions!$H:$H,Transactions!$C:$C,$A219,Transactions!$D:$D,"Sale"),0)</f>
        <v>0</v>
      </c>
      <c r="AG219" s="22" t="str">
        <f aca="false">IFERROR(IF(maxifs(Transactions!$B:$B,Transactions!$C:$C,$A219,Transactions!$D:$D,"Sale")=0,"",maxifs(Transactions!$B:$B,Transactions!$C:$C,$A219,Transactions!$D:$D,"Sale")),"")</f>
        <v/>
      </c>
      <c r="AH219" s="12"/>
    </row>
    <row r="220" customFormat="false" ht="18" hidden="false" customHeight="true" outlineLevel="0" collapsed="false">
      <c r="A220" s="12" t="s">
        <v>598</v>
      </c>
      <c r="B220" s="12" t="s">
        <v>199</v>
      </c>
      <c r="C220" s="12" t="s">
        <v>164</v>
      </c>
      <c r="D220" s="12" t="s">
        <v>165</v>
      </c>
      <c r="E220" s="12" t="s">
        <v>79</v>
      </c>
      <c r="F220" s="12" t="s">
        <v>156</v>
      </c>
      <c r="G220" s="12"/>
      <c r="H220" s="12" t="s">
        <v>381</v>
      </c>
      <c r="I220" s="14" t="n">
        <v>19000</v>
      </c>
      <c r="J220" s="18" t="n">
        <f aca="false">IF($I220="","",ROUND($I220*Dropdowns!$K$5,2))</f>
        <v>49.4</v>
      </c>
      <c r="K220" s="19" t="n">
        <f aca="false">IF($I220="","",ROUND($I220*Dropdowns!$K$6,2))</f>
        <v>45.6</v>
      </c>
      <c r="L220" s="20" t="n">
        <f aca="false">IF($I220="","",ROUND($I220*Dropdowns!$K$7,2))</f>
        <v>3895</v>
      </c>
      <c r="M220" s="15" t="str">
        <f aca="false">IFERROR(IF($B220="","",VLOOKUP($B220,Designs!$A$3:$AP$165,27,FALSE())),"")</f>
        <v/>
      </c>
      <c r="N220" s="16" t="str">
        <f aca="false">IFERROR(IF(OR($I220="",$M220="",$M220=0),"",($I220-$M220)/$I220),"")</f>
        <v/>
      </c>
      <c r="O220" s="13" t="n">
        <v>0</v>
      </c>
      <c r="P220" s="13" t="n">
        <v>0</v>
      </c>
      <c r="Q220" s="21" t="n">
        <f aca="false">IF($O220="","",$O220-IF($P220="",0,$P220))</f>
        <v>0</v>
      </c>
      <c r="R220" s="13" t="n">
        <v>2</v>
      </c>
      <c r="S220" s="21" t="str">
        <f aca="false">IF($O220="","",IF($Q220&lt;=$R220,"⚠ REORDER","OK"))</f>
        <v>⚠ REORDER</v>
      </c>
      <c r="T220" s="13"/>
      <c r="U220" s="13"/>
      <c r="V220" s="13" t="s">
        <v>378</v>
      </c>
      <c r="W220" s="12" t="s">
        <v>379</v>
      </c>
      <c r="X220" s="13"/>
      <c r="Y220" s="13"/>
      <c r="Z220" s="12" t="s">
        <v>88</v>
      </c>
      <c r="AA220" s="12" t="s">
        <v>88</v>
      </c>
      <c r="AB220" s="12" t="s">
        <v>88</v>
      </c>
      <c r="AC220" s="12" t="s">
        <v>88</v>
      </c>
      <c r="AD220" s="12" t="s">
        <v>87</v>
      </c>
      <c r="AE220" s="21" t="n">
        <f aca="false">IFERROR(SUMIFS(Transactions!$F:$F,Transactions!$C:$C,$A220,Transactions!$D:$D,"Sale"),0)</f>
        <v>0</v>
      </c>
      <c r="AF220" s="15" t="n">
        <f aca="false">IFERROR(SUMIFS(Transactions!$H:$H,Transactions!$C:$C,$A220,Transactions!$D:$D,"Sale"),0)</f>
        <v>0</v>
      </c>
      <c r="AG220" s="22" t="str">
        <f aca="false">IFERROR(IF(maxifs(Transactions!$B:$B,Transactions!$C:$C,$A220,Transactions!$D:$D,"Sale")=0,"",maxifs(Transactions!$B:$B,Transactions!$C:$C,$A220,Transactions!$D:$D,"Sale")),"")</f>
        <v/>
      </c>
      <c r="AH220" s="12"/>
    </row>
    <row r="221" customFormat="false" ht="18" hidden="false" customHeight="true" outlineLevel="0" collapsed="false">
      <c r="A221" s="12" t="s">
        <v>599</v>
      </c>
      <c r="B221" s="12" t="s">
        <v>199</v>
      </c>
      <c r="C221" s="12" t="s">
        <v>164</v>
      </c>
      <c r="D221" s="12" t="s">
        <v>165</v>
      </c>
      <c r="E221" s="12" t="s">
        <v>79</v>
      </c>
      <c r="F221" s="12" t="s">
        <v>156</v>
      </c>
      <c r="G221" s="12"/>
      <c r="H221" s="12" t="s">
        <v>383</v>
      </c>
      <c r="I221" s="14" t="n">
        <v>19000</v>
      </c>
      <c r="J221" s="18" t="n">
        <f aca="false">IF($I221="","",ROUND($I221*Dropdowns!$K$5,2))</f>
        <v>49.4</v>
      </c>
      <c r="K221" s="19" t="n">
        <f aca="false">IF($I221="","",ROUND($I221*Dropdowns!$K$6,2))</f>
        <v>45.6</v>
      </c>
      <c r="L221" s="20" t="n">
        <f aca="false">IF($I221="","",ROUND($I221*Dropdowns!$K$7,2))</f>
        <v>3895</v>
      </c>
      <c r="M221" s="15" t="str">
        <f aca="false">IFERROR(IF($B221="","",VLOOKUP($B221,Designs!$A$3:$AP$165,27,FALSE())),"")</f>
        <v/>
      </c>
      <c r="N221" s="16" t="str">
        <f aca="false">IFERROR(IF(OR($I221="",$M221="",$M221=0),"",($I221-$M221)/$I221),"")</f>
        <v/>
      </c>
      <c r="O221" s="13" t="n">
        <v>0</v>
      </c>
      <c r="P221" s="13" t="n">
        <v>0</v>
      </c>
      <c r="Q221" s="21" t="n">
        <f aca="false">IF($O221="","",$O221-IF($P221="",0,$P221))</f>
        <v>0</v>
      </c>
      <c r="R221" s="13" t="n">
        <v>2</v>
      </c>
      <c r="S221" s="21" t="str">
        <f aca="false">IF($O221="","",IF($Q221&lt;=$R221,"⚠ REORDER","OK"))</f>
        <v>⚠ REORDER</v>
      </c>
      <c r="T221" s="13"/>
      <c r="U221" s="13"/>
      <c r="V221" s="13" t="s">
        <v>378</v>
      </c>
      <c r="W221" s="12" t="s">
        <v>379</v>
      </c>
      <c r="X221" s="13"/>
      <c r="Y221" s="13"/>
      <c r="Z221" s="12" t="s">
        <v>88</v>
      </c>
      <c r="AA221" s="12" t="s">
        <v>88</v>
      </c>
      <c r="AB221" s="12" t="s">
        <v>88</v>
      </c>
      <c r="AC221" s="12" t="s">
        <v>88</v>
      </c>
      <c r="AD221" s="12" t="s">
        <v>87</v>
      </c>
      <c r="AE221" s="21" t="n">
        <f aca="false">IFERROR(SUMIFS(Transactions!$F:$F,Transactions!$C:$C,$A221,Transactions!$D:$D,"Sale"),0)</f>
        <v>0</v>
      </c>
      <c r="AF221" s="15" t="n">
        <f aca="false">IFERROR(SUMIFS(Transactions!$H:$H,Transactions!$C:$C,$A221,Transactions!$D:$D,"Sale"),0)</f>
        <v>0</v>
      </c>
      <c r="AG221" s="22" t="str">
        <f aca="false">IFERROR(IF(maxifs(Transactions!$B:$B,Transactions!$C:$C,$A221,Transactions!$D:$D,"Sale")=0,"",maxifs(Transactions!$B:$B,Transactions!$C:$C,$A221,Transactions!$D:$D,"Sale")),"")</f>
        <v/>
      </c>
      <c r="AH221" s="12"/>
    </row>
    <row r="222" customFormat="false" ht="18" hidden="false" customHeight="true" outlineLevel="0" collapsed="false">
      <c r="A222" s="12" t="s">
        <v>600</v>
      </c>
      <c r="B222" s="12" t="s">
        <v>200</v>
      </c>
      <c r="C222" s="12" t="s">
        <v>164</v>
      </c>
      <c r="D222" s="12" t="s">
        <v>165</v>
      </c>
      <c r="E222" s="12" t="s">
        <v>79</v>
      </c>
      <c r="F222" s="12" t="s">
        <v>158</v>
      </c>
      <c r="G222" s="12"/>
      <c r="H222" s="12" t="s">
        <v>377</v>
      </c>
      <c r="I222" s="14" t="n">
        <v>19000</v>
      </c>
      <c r="J222" s="18" t="n">
        <f aca="false">IF($I222="","",ROUND($I222*Dropdowns!$K$5,2))</f>
        <v>49.4</v>
      </c>
      <c r="K222" s="19" t="n">
        <f aca="false">IF($I222="","",ROUND($I222*Dropdowns!$K$6,2))</f>
        <v>45.6</v>
      </c>
      <c r="L222" s="20" t="n">
        <f aca="false">IF($I222="","",ROUND($I222*Dropdowns!$K$7,2))</f>
        <v>3895</v>
      </c>
      <c r="M222" s="15" t="str">
        <f aca="false">IFERROR(IF($B222="","",VLOOKUP($B222,Designs!$A$3:$AP$165,27,FALSE())),"")</f>
        <v/>
      </c>
      <c r="N222" s="16" t="str">
        <f aca="false">IFERROR(IF(OR($I222="",$M222="",$M222=0),"",($I222-$M222)/$I222),"")</f>
        <v/>
      </c>
      <c r="O222" s="13" t="n">
        <v>0</v>
      </c>
      <c r="P222" s="13" t="n">
        <v>0</v>
      </c>
      <c r="Q222" s="21" t="n">
        <f aca="false">IF($O222="","",$O222-IF($P222="",0,$P222))</f>
        <v>0</v>
      </c>
      <c r="R222" s="13" t="n">
        <v>2</v>
      </c>
      <c r="S222" s="21" t="str">
        <f aca="false">IF($O222="","",IF($Q222&lt;=$R222,"⚠ REORDER","OK"))</f>
        <v>⚠ REORDER</v>
      </c>
      <c r="T222" s="13"/>
      <c r="U222" s="13"/>
      <c r="V222" s="13" t="s">
        <v>378</v>
      </c>
      <c r="W222" s="12" t="s">
        <v>379</v>
      </c>
      <c r="X222" s="13"/>
      <c r="Y222" s="13"/>
      <c r="Z222" s="12" t="s">
        <v>88</v>
      </c>
      <c r="AA222" s="12" t="s">
        <v>88</v>
      </c>
      <c r="AB222" s="12" t="s">
        <v>88</v>
      </c>
      <c r="AC222" s="12" t="s">
        <v>88</v>
      </c>
      <c r="AD222" s="12" t="s">
        <v>87</v>
      </c>
      <c r="AE222" s="21" t="n">
        <f aca="false">IFERROR(SUMIFS(Transactions!$F:$F,Transactions!$C:$C,$A222,Transactions!$D:$D,"Sale"),0)</f>
        <v>0</v>
      </c>
      <c r="AF222" s="15" t="n">
        <f aca="false">IFERROR(SUMIFS(Transactions!$H:$H,Transactions!$C:$C,$A222,Transactions!$D:$D,"Sale"),0)</f>
        <v>0</v>
      </c>
      <c r="AG222" s="22" t="str">
        <f aca="false">IFERROR(IF(maxifs(Transactions!$B:$B,Transactions!$C:$C,$A222,Transactions!$D:$D,"Sale")=0,"",maxifs(Transactions!$B:$B,Transactions!$C:$C,$A222,Transactions!$D:$D,"Sale")),"")</f>
        <v/>
      </c>
      <c r="AH222" s="12"/>
    </row>
    <row r="223" customFormat="false" ht="18" hidden="false" customHeight="true" outlineLevel="0" collapsed="false">
      <c r="A223" s="12" t="s">
        <v>601</v>
      </c>
      <c r="B223" s="12" t="s">
        <v>200</v>
      </c>
      <c r="C223" s="12" t="s">
        <v>164</v>
      </c>
      <c r="D223" s="12" t="s">
        <v>165</v>
      </c>
      <c r="E223" s="12" t="s">
        <v>79</v>
      </c>
      <c r="F223" s="12" t="s">
        <v>158</v>
      </c>
      <c r="G223" s="12"/>
      <c r="H223" s="12" t="s">
        <v>381</v>
      </c>
      <c r="I223" s="14" t="n">
        <v>19000</v>
      </c>
      <c r="J223" s="18" t="n">
        <f aca="false">IF($I223="","",ROUND($I223*Dropdowns!$K$5,2))</f>
        <v>49.4</v>
      </c>
      <c r="K223" s="19" t="n">
        <f aca="false">IF($I223="","",ROUND($I223*Dropdowns!$K$6,2))</f>
        <v>45.6</v>
      </c>
      <c r="L223" s="20" t="n">
        <f aca="false">IF($I223="","",ROUND($I223*Dropdowns!$K$7,2))</f>
        <v>3895</v>
      </c>
      <c r="M223" s="15" t="str">
        <f aca="false">IFERROR(IF($B223="","",VLOOKUP($B223,Designs!$A$3:$AP$165,27,FALSE())),"")</f>
        <v/>
      </c>
      <c r="N223" s="16" t="str">
        <f aca="false">IFERROR(IF(OR($I223="",$M223="",$M223=0),"",($I223-$M223)/$I223),"")</f>
        <v/>
      </c>
      <c r="O223" s="13" t="n">
        <v>0</v>
      </c>
      <c r="P223" s="13" t="n">
        <v>0</v>
      </c>
      <c r="Q223" s="21" t="n">
        <f aca="false">IF($O223="","",$O223-IF($P223="",0,$P223))</f>
        <v>0</v>
      </c>
      <c r="R223" s="13" t="n">
        <v>2</v>
      </c>
      <c r="S223" s="21" t="str">
        <f aca="false">IF($O223="","",IF($Q223&lt;=$R223,"⚠ REORDER","OK"))</f>
        <v>⚠ REORDER</v>
      </c>
      <c r="T223" s="13"/>
      <c r="U223" s="13"/>
      <c r="V223" s="13" t="s">
        <v>378</v>
      </c>
      <c r="W223" s="12" t="s">
        <v>379</v>
      </c>
      <c r="X223" s="13"/>
      <c r="Y223" s="13"/>
      <c r="Z223" s="12" t="s">
        <v>88</v>
      </c>
      <c r="AA223" s="12" t="s">
        <v>88</v>
      </c>
      <c r="AB223" s="12" t="s">
        <v>88</v>
      </c>
      <c r="AC223" s="12" t="s">
        <v>88</v>
      </c>
      <c r="AD223" s="12" t="s">
        <v>87</v>
      </c>
      <c r="AE223" s="21" t="n">
        <f aca="false">IFERROR(SUMIFS(Transactions!$F:$F,Transactions!$C:$C,$A223,Transactions!$D:$D,"Sale"),0)</f>
        <v>0</v>
      </c>
      <c r="AF223" s="15" t="n">
        <f aca="false">IFERROR(SUMIFS(Transactions!$H:$H,Transactions!$C:$C,$A223,Transactions!$D:$D,"Sale"),0)</f>
        <v>0</v>
      </c>
      <c r="AG223" s="22" t="str">
        <f aca="false">IFERROR(IF(maxifs(Transactions!$B:$B,Transactions!$C:$C,$A223,Transactions!$D:$D,"Sale")=0,"",maxifs(Transactions!$B:$B,Transactions!$C:$C,$A223,Transactions!$D:$D,"Sale")),"")</f>
        <v/>
      </c>
      <c r="AH223" s="12"/>
    </row>
    <row r="224" customFormat="false" ht="18" hidden="false" customHeight="true" outlineLevel="0" collapsed="false">
      <c r="A224" s="12" t="s">
        <v>602</v>
      </c>
      <c r="B224" s="12" t="s">
        <v>200</v>
      </c>
      <c r="C224" s="12" t="s">
        <v>164</v>
      </c>
      <c r="D224" s="12" t="s">
        <v>165</v>
      </c>
      <c r="E224" s="12" t="s">
        <v>79</v>
      </c>
      <c r="F224" s="12" t="s">
        <v>158</v>
      </c>
      <c r="G224" s="12"/>
      <c r="H224" s="12" t="s">
        <v>383</v>
      </c>
      <c r="I224" s="14" t="n">
        <v>19000</v>
      </c>
      <c r="J224" s="18" t="n">
        <f aca="false">IF($I224="","",ROUND($I224*Dropdowns!$K$5,2))</f>
        <v>49.4</v>
      </c>
      <c r="K224" s="19" t="n">
        <f aca="false">IF($I224="","",ROUND($I224*Dropdowns!$K$6,2))</f>
        <v>45.6</v>
      </c>
      <c r="L224" s="20" t="n">
        <f aca="false">IF($I224="","",ROUND($I224*Dropdowns!$K$7,2))</f>
        <v>3895</v>
      </c>
      <c r="M224" s="15" t="str">
        <f aca="false">IFERROR(IF($B224="","",VLOOKUP($B224,Designs!$A$3:$AP$165,27,FALSE())),"")</f>
        <v/>
      </c>
      <c r="N224" s="16" t="str">
        <f aca="false">IFERROR(IF(OR($I224="",$M224="",$M224=0),"",($I224-$M224)/$I224),"")</f>
        <v/>
      </c>
      <c r="O224" s="13" t="n">
        <v>0</v>
      </c>
      <c r="P224" s="13" t="n">
        <v>0</v>
      </c>
      <c r="Q224" s="21" t="n">
        <f aca="false">IF($O224="","",$O224-IF($P224="",0,$P224))</f>
        <v>0</v>
      </c>
      <c r="R224" s="13" t="n">
        <v>2</v>
      </c>
      <c r="S224" s="21" t="str">
        <f aca="false">IF($O224="","",IF($Q224&lt;=$R224,"⚠ REORDER","OK"))</f>
        <v>⚠ REORDER</v>
      </c>
      <c r="T224" s="13"/>
      <c r="U224" s="13"/>
      <c r="V224" s="13" t="s">
        <v>378</v>
      </c>
      <c r="W224" s="12" t="s">
        <v>379</v>
      </c>
      <c r="X224" s="13"/>
      <c r="Y224" s="13"/>
      <c r="Z224" s="12" t="s">
        <v>88</v>
      </c>
      <c r="AA224" s="12" t="s">
        <v>88</v>
      </c>
      <c r="AB224" s="12" t="s">
        <v>88</v>
      </c>
      <c r="AC224" s="12" t="s">
        <v>88</v>
      </c>
      <c r="AD224" s="12" t="s">
        <v>87</v>
      </c>
      <c r="AE224" s="21" t="n">
        <f aca="false">IFERROR(SUMIFS(Transactions!$F:$F,Transactions!$C:$C,$A224,Transactions!$D:$D,"Sale"),0)</f>
        <v>0</v>
      </c>
      <c r="AF224" s="15" t="n">
        <f aca="false">IFERROR(SUMIFS(Transactions!$H:$H,Transactions!$C:$C,$A224,Transactions!$D:$D,"Sale"),0)</f>
        <v>0</v>
      </c>
      <c r="AG224" s="22" t="str">
        <f aca="false">IFERROR(IF(maxifs(Transactions!$B:$B,Transactions!$C:$C,$A224,Transactions!$D:$D,"Sale")=0,"",maxifs(Transactions!$B:$B,Transactions!$C:$C,$A224,Transactions!$D:$D,"Sale")),"")</f>
        <v/>
      </c>
      <c r="AH224" s="12"/>
    </row>
    <row r="225" customFormat="false" ht="18" hidden="false" customHeight="true" outlineLevel="0" collapsed="false">
      <c r="A225" s="12" t="s">
        <v>603</v>
      </c>
      <c r="B225" s="12" t="s">
        <v>201</v>
      </c>
      <c r="C225" s="12" t="s">
        <v>164</v>
      </c>
      <c r="D225" s="12" t="s">
        <v>165</v>
      </c>
      <c r="E225" s="12" t="s">
        <v>79</v>
      </c>
      <c r="F225" s="12" t="s">
        <v>160</v>
      </c>
      <c r="G225" s="12"/>
      <c r="H225" s="12" t="s">
        <v>377</v>
      </c>
      <c r="I225" s="14" t="n">
        <v>19000</v>
      </c>
      <c r="J225" s="18" t="n">
        <f aca="false">IF($I225="","",ROUND($I225*Dropdowns!$K$5,2))</f>
        <v>49.4</v>
      </c>
      <c r="K225" s="19" t="n">
        <f aca="false">IF($I225="","",ROUND($I225*Dropdowns!$K$6,2))</f>
        <v>45.6</v>
      </c>
      <c r="L225" s="20" t="n">
        <f aca="false">IF($I225="","",ROUND($I225*Dropdowns!$K$7,2))</f>
        <v>3895</v>
      </c>
      <c r="M225" s="15" t="str">
        <f aca="false">IFERROR(IF($B225="","",VLOOKUP($B225,Designs!$A$3:$AP$165,27,FALSE())),"")</f>
        <v/>
      </c>
      <c r="N225" s="16" t="str">
        <f aca="false">IFERROR(IF(OR($I225="",$M225="",$M225=0),"",($I225-$M225)/$I225),"")</f>
        <v/>
      </c>
      <c r="O225" s="13" t="n">
        <v>0</v>
      </c>
      <c r="P225" s="13" t="n">
        <v>0</v>
      </c>
      <c r="Q225" s="21" t="n">
        <f aca="false">IF($O225="","",$O225-IF($P225="",0,$P225))</f>
        <v>0</v>
      </c>
      <c r="R225" s="13" t="n">
        <v>2</v>
      </c>
      <c r="S225" s="21" t="str">
        <f aca="false">IF($O225="","",IF($Q225&lt;=$R225,"⚠ REORDER","OK"))</f>
        <v>⚠ REORDER</v>
      </c>
      <c r="T225" s="13"/>
      <c r="U225" s="13"/>
      <c r="V225" s="13" t="s">
        <v>378</v>
      </c>
      <c r="W225" s="12" t="s">
        <v>379</v>
      </c>
      <c r="X225" s="13"/>
      <c r="Y225" s="13"/>
      <c r="Z225" s="12" t="s">
        <v>88</v>
      </c>
      <c r="AA225" s="12" t="s">
        <v>88</v>
      </c>
      <c r="AB225" s="12" t="s">
        <v>88</v>
      </c>
      <c r="AC225" s="12" t="s">
        <v>88</v>
      </c>
      <c r="AD225" s="12" t="s">
        <v>87</v>
      </c>
      <c r="AE225" s="21" t="n">
        <f aca="false">IFERROR(SUMIFS(Transactions!$F:$F,Transactions!$C:$C,$A225,Transactions!$D:$D,"Sale"),0)</f>
        <v>0</v>
      </c>
      <c r="AF225" s="15" t="n">
        <f aca="false">IFERROR(SUMIFS(Transactions!$H:$H,Transactions!$C:$C,$A225,Transactions!$D:$D,"Sale"),0)</f>
        <v>0</v>
      </c>
      <c r="AG225" s="22" t="str">
        <f aca="false">IFERROR(IF(maxifs(Transactions!$B:$B,Transactions!$C:$C,$A225,Transactions!$D:$D,"Sale")=0,"",maxifs(Transactions!$B:$B,Transactions!$C:$C,$A225,Transactions!$D:$D,"Sale")),"")</f>
        <v/>
      </c>
      <c r="AH225" s="12"/>
    </row>
    <row r="226" customFormat="false" ht="18" hidden="false" customHeight="true" outlineLevel="0" collapsed="false">
      <c r="A226" s="12" t="s">
        <v>604</v>
      </c>
      <c r="B226" s="12" t="s">
        <v>201</v>
      </c>
      <c r="C226" s="12" t="s">
        <v>164</v>
      </c>
      <c r="D226" s="12" t="s">
        <v>165</v>
      </c>
      <c r="E226" s="12" t="s">
        <v>79</v>
      </c>
      <c r="F226" s="12" t="s">
        <v>160</v>
      </c>
      <c r="G226" s="12"/>
      <c r="H226" s="12" t="s">
        <v>381</v>
      </c>
      <c r="I226" s="14" t="n">
        <v>19000</v>
      </c>
      <c r="J226" s="18" t="n">
        <f aca="false">IF($I226="","",ROUND($I226*Dropdowns!$K$5,2))</f>
        <v>49.4</v>
      </c>
      <c r="K226" s="19" t="n">
        <f aca="false">IF($I226="","",ROUND($I226*Dropdowns!$K$6,2))</f>
        <v>45.6</v>
      </c>
      <c r="L226" s="20" t="n">
        <f aca="false">IF($I226="","",ROUND($I226*Dropdowns!$K$7,2))</f>
        <v>3895</v>
      </c>
      <c r="M226" s="15" t="str">
        <f aca="false">IFERROR(IF($B226="","",VLOOKUP($B226,Designs!$A$3:$AP$165,27,FALSE())),"")</f>
        <v/>
      </c>
      <c r="N226" s="16" t="str">
        <f aca="false">IFERROR(IF(OR($I226="",$M226="",$M226=0),"",($I226-$M226)/$I226),"")</f>
        <v/>
      </c>
      <c r="O226" s="13" t="n">
        <v>0</v>
      </c>
      <c r="P226" s="13" t="n">
        <v>0</v>
      </c>
      <c r="Q226" s="21" t="n">
        <f aca="false">IF($O226="","",$O226-IF($P226="",0,$P226))</f>
        <v>0</v>
      </c>
      <c r="R226" s="13" t="n">
        <v>2</v>
      </c>
      <c r="S226" s="21" t="str">
        <f aca="false">IF($O226="","",IF($Q226&lt;=$R226,"⚠ REORDER","OK"))</f>
        <v>⚠ REORDER</v>
      </c>
      <c r="T226" s="13"/>
      <c r="U226" s="13"/>
      <c r="V226" s="13" t="s">
        <v>378</v>
      </c>
      <c r="W226" s="12" t="s">
        <v>379</v>
      </c>
      <c r="X226" s="13"/>
      <c r="Y226" s="13"/>
      <c r="Z226" s="12" t="s">
        <v>88</v>
      </c>
      <c r="AA226" s="12" t="s">
        <v>88</v>
      </c>
      <c r="AB226" s="12" t="s">
        <v>88</v>
      </c>
      <c r="AC226" s="12" t="s">
        <v>88</v>
      </c>
      <c r="AD226" s="12" t="s">
        <v>87</v>
      </c>
      <c r="AE226" s="21" t="n">
        <f aca="false">IFERROR(SUMIFS(Transactions!$F:$F,Transactions!$C:$C,$A226,Transactions!$D:$D,"Sale"),0)</f>
        <v>0</v>
      </c>
      <c r="AF226" s="15" t="n">
        <f aca="false">IFERROR(SUMIFS(Transactions!$H:$H,Transactions!$C:$C,$A226,Transactions!$D:$D,"Sale"),0)</f>
        <v>0</v>
      </c>
      <c r="AG226" s="22" t="str">
        <f aca="false">IFERROR(IF(maxifs(Transactions!$B:$B,Transactions!$C:$C,$A226,Transactions!$D:$D,"Sale")=0,"",maxifs(Transactions!$B:$B,Transactions!$C:$C,$A226,Transactions!$D:$D,"Sale")),"")</f>
        <v/>
      </c>
      <c r="AH226" s="12"/>
    </row>
    <row r="227" customFormat="false" ht="18" hidden="false" customHeight="true" outlineLevel="0" collapsed="false">
      <c r="A227" s="12" t="s">
        <v>605</v>
      </c>
      <c r="B227" s="12" t="s">
        <v>201</v>
      </c>
      <c r="C227" s="12" t="s">
        <v>164</v>
      </c>
      <c r="D227" s="12" t="s">
        <v>165</v>
      </c>
      <c r="E227" s="12" t="s">
        <v>79</v>
      </c>
      <c r="F227" s="12" t="s">
        <v>160</v>
      </c>
      <c r="G227" s="12"/>
      <c r="H227" s="12" t="s">
        <v>383</v>
      </c>
      <c r="I227" s="14" t="n">
        <v>19000</v>
      </c>
      <c r="J227" s="18" t="n">
        <f aca="false">IF($I227="","",ROUND($I227*Dropdowns!$K$5,2))</f>
        <v>49.4</v>
      </c>
      <c r="K227" s="19" t="n">
        <f aca="false">IF($I227="","",ROUND($I227*Dropdowns!$K$6,2))</f>
        <v>45.6</v>
      </c>
      <c r="L227" s="20" t="n">
        <f aca="false">IF($I227="","",ROUND($I227*Dropdowns!$K$7,2))</f>
        <v>3895</v>
      </c>
      <c r="M227" s="15" t="str">
        <f aca="false">IFERROR(IF($B227="","",VLOOKUP($B227,Designs!$A$3:$AP$165,27,FALSE())),"")</f>
        <v/>
      </c>
      <c r="N227" s="16" t="str">
        <f aca="false">IFERROR(IF(OR($I227="",$M227="",$M227=0),"",($I227-$M227)/$I227),"")</f>
        <v/>
      </c>
      <c r="O227" s="13" t="n">
        <v>0</v>
      </c>
      <c r="P227" s="13" t="n">
        <v>0</v>
      </c>
      <c r="Q227" s="21" t="n">
        <f aca="false">IF($O227="","",$O227-IF($P227="",0,$P227))</f>
        <v>0</v>
      </c>
      <c r="R227" s="13" t="n">
        <v>2</v>
      </c>
      <c r="S227" s="21" t="str">
        <f aca="false">IF($O227="","",IF($Q227&lt;=$R227,"⚠ REORDER","OK"))</f>
        <v>⚠ REORDER</v>
      </c>
      <c r="T227" s="13"/>
      <c r="U227" s="13"/>
      <c r="V227" s="13" t="s">
        <v>378</v>
      </c>
      <c r="W227" s="12" t="s">
        <v>379</v>
      </c>
      <c r="X227" s="13"/>
      <c r="Y227" s="13"/>
      <c r="Z227" s="12" t="s">
        <v>88</v>
      </c>
      <c r="AA227" s="12" t="s">
        <v>88</v>
      </c>
      <c r="AB227" s="12" t="s">
        <v>88</v>
      </c>
      <c r="AC227" s="12" t="s">
        <v>88</v>
      </c>
      <c r="AD227" s="12" t="s">
        <v>87</v>
      </c>
      <c r="AE227" s="21" t="n">
        <f aca="false">IFERROR(SUMIFS(Transactions!$F:$F,Transactions!$C:$C,$A227,Transactions!$D:$D,"Sale"),0)</f>
        <v>0</v>
      </c>
      <c r="AF227" s="15" t="n">
        <f aca="false">IFERROR(SUMIFS(Transactions!$H:$H,Transactions!$C:$C,$A227,Transactions!$D:$D,"Sale"),0)</f>
        <v>0</v>
      </c>
      <c r="AG227" s="22" t="str">
        <f aca="false">IFERROR(IF(maxifs(Transactions!$B:$B,Transactions!$C:$C,$A227,Transactions!$D:$D,"Sale")=0,"",maxifs(Transactions!$B:$B,Transactions!$C:$C,$A227,Transactions!$D:$D,"Sale")),"")</f>
        <v/>
      </c>
      <c r="AH227" s="12"/>
    </row>
    <row r="228" customFormat="false" ht="18" hidden="false" customHeight="true" outlineLevel="0" collapsed="false">
      <c r="A228" s="12" t="s">
        <v>606</v>
      </c>
      <c r="B228" s="12" t="s">
        <v>202</v>
      </c>
      <c r="C228" s="12" t="s">
        <v>164</v>
      </c>
      <c r="D228" s="12" t="s">
        <v>165</v>
      </c>
      <c r="E228" s="12" t="s">
        <v>79</v>
      </c>
      <c r="F228" s="12" t="s">
        <v>162</v>
      </c>
      <c r="G228" s="12"/>
      <c r="H228" s="12" t="s">
        <v>377</v>
      </c>
      <c r="I228" s="14" t="n">
        <v>19000</v>
      </c>
      <c r="J228" s="18" t="n">
        <f aca="false">IF($I228="","",ROUND($I228*Dropdowns!$K$5,2))</f>
        <v>49.4</v>
      </c>
      <c r="K228" s="19" t="n">
        <f aca="false">IF($I228="","",ROUND($I228*Dropdowns!$K$6,2))</f>
        <v>45.6</v>
      </c>
      <c r="L228" s="20" t="n">
        <f aca="false">IF($I228="","",ROUND($I228*Dropdowns!$K$7,2))</f>
        <v>3895</v>
      </c>
      <c r="M228" s="15" t="str">
        <f aca="false">IFERROR(IF($B228="","",VLOOKUP($B228,Designs!$A$3:$AP$165,27,FALSE())),"")</f>
        <v/>
      </c>
      <c r="N228" s="16" t="str">
        <f aca="false">IFERROR(IF(OR($I228="",$M228="",$M228=0),"",($I228-$M228)/$I228),"")</f>
        <v/>
      </c>
      <c r="O228" s="13" t="n">
        <v>0</v>
      </c>
      <c r="P228" s="13" t="n">
        <v>0</v>
      </c>
      <c r="Q228" s="21" t="n">
        <f aca="false">IF($O228="","",$O228-IF($P228="",0,$P228))</f>
        <v>0</v>
      </c>
      <c r="R228" s="13" t="n">
        <v>2</v>
      </c>
      <c r="S228" s="21" t="str">
        <f aca="false">IF($O228="","",IF($Q228&lt;=$R228,"⚠ REORDER","OK"))</f>
        <v>⚠ REORDER</v>
      </c>
      <c r="T228" s="13"/>
      <c r="U228" s="13"/>
      <c r="V228" s="13" t="s">
        <v>378</v>
      </c>
      <c r="W228" s="12" t="s">
        <v>379</v>
      </c>
      <c r="X228" s="13"/>
      <c r="Y228" s="13"/>
      <c r="Z228" s="12" t="s">
        <v>88</v>
      </c>
      <c r="AA228" s="12" t="s">
        <v>88</v>
      </c>
      <c r="AB228" s="12" t="s">
        <v>88</v>
      </c>
      <c r="AC228" s="12" t="s">
        <v>88</v>
      </c>
      <c r="AD228" s="12" t="s">
        <v>87</v>
      </c>
      <c r="AE228" s="21" t="n">
        <f aca="false">IFERROR(SUMIFS(Transactions!$F:$F,Transactions!$C:$C,$A228,Transactions!$D:$D,"Sale"),0)</f>
        <v>0</v>
      </c>
      <c r="AF228" s="15" t="n">
        <f aca="false">IFERROR(SUMIFS(Transactions!$H:$H,Transactions!$C:$C,$A228,Transactions!$D:$D,"Sale"),0)</f>
        <v>0</v>
      </c>
      <c r="AG228" s="22" t="str">
        <f aca="false">IFERROR(IF(maxifs(Transactions!$B:$B,Transactions!$C:$C,$A228,Transactions!$D:$D,"Sale")=0,"",maxifs(Transactions!$B:$B,Transactions!$C:$C,$A228,Transactions!$D:$D,"Sale")),"")</f>
        <v/>
      </c>
      <c r="AH228" s="12"/>
    </row>
    <row r="229" customFormat="false" ht="18" hidden="false" customHeight="true" outlineLevel="0" collapsed="false">
      <c r="A229" s="12" t="s">
        <v>607</v>
      </c>
      <c r="B229" s="12" t="s">
        <v>202</v>
      </c>
      <c r="C229" s="12" t="s">
        <v>164</v>
      </c>
      <c r="D229" s="12" t="s">
        <v>165</v>
      </c>
      <c r="E229" s="12" t="s">
        <v>79</v>
      </c>
      <c r="F229" s="12" t="s">
        <v>162</v>
      </c>
      <c r="G229" s="12"/>
      <c r="H229" s="12" t="s">
        <v>381</v>
      </c>
      <c r="I229" s="14" t="n">
        <v>19000</v>
      </c>
      <c r="J229" s="18" t="n">
        <f aca="false">IF($I229="","",ROUND($I229*Dropdowns!$K$5,2))</f>
        <v>49.4</v>
      </c>
      <c r="K229" s="19" t="n">
        <f aca="false">IF($I229="","",ROUND($I229*Dropdowns!$K$6,2))</f>
        <v>45.6</v>
      </c>
      <c r="L229" s="20" t="n">
        <f aca="false">IF($I229="","",ROUND($I229*Dropdowns!$K$7,2))</f>
        <v>3895</v>
      </c>
      <c r="M229" s="15" t="str">
        <f aca="false">IFERROR(IF($B229="","",VLOOKUP($B229,Designs!$A$3:$AP$165,27,FALSE())),"")</f>
        <v/>
      </c>
      <c r="N229" s="16" t="str">
        <f aca="false">IFERROR(IF(OR($I229="",$M229="",$M229=0),"",($I229-$M229)/$I229),"")</f>
        <v/>
      </c>
      <c r="O229" s="13" t="n">
        <v>0</v>
      </c>
      <c r="P229" s="13" t="n">
        <v>0</v>
      </c>
      <c r="Q229" s="21" t="n">
        <f aca="false">IF($O229="","",$O229-IF($P229="",0,$P229))</f>
        <v>0</v>
      </c>
      <c r="R229" s="13" t="n">
        <v>2</v>
      </c>
      <c r="S229" s="21" t="str">
        <f aca="false">IF($O229="","",IF($Q229&lt;=$R229,"⚠ REORDER","OK"))</f>
        <v>⚠ REORDER</v>
      </c>
      <c r="T229" s="13"/>
      <c r="U229" s="13"/>
      <c r="V229" s="13" t="s">
        <v>378</v>
      </c>
      <c r="W229" s="12" t="s">
        <v>379</v>
      </c>
      <c r="X229" s="13"/>
      <c r="Y229" s="13"/>
      <c r="Z229" s="12" t="s">
        <v>88</v>
      </c>
      <c r="AA229" s="12" t="s">
        <v>88</v>
      </c>
      <c r="AB229" s="12" t="s">
        <v>88</v>
      </c>
      <c r="AC229" s="12" t="s">
        <v>88</v>
      </c>
      <c r="AD229" s="12" t="s">
        <v>87</v>
      </c>
      <c r="AE229" s="21" t="n">
        <f aca="false">IFERROR(SUMIFS(Transactions!$F:$F,Transactions!$C:$C,$A229,Transactions!$D:$D,"Sale"),0)</f>
        <v>0</v>
      </c>
      <c r="AF229" s="15" t="n">
        <f aca="false">IFERROR(SUMIFS(Transactions!$H:$H,Transactions!$C:$C,$A229,Transactions!$D:$D,"Sale"),0)</f>
        <v>0</v>
      </c>
      <c r="AG229" s="22" t="str">
        <f aca="false">IFERROR(IF(maxifs(Transactions!$B:$B,Transactions!$C:$C,$A229,Transactions!$D:$D,"Sale")=0,"",maxifs(Transactions!$B:$B,Transactions!$C:$C,$A229,Transactions!$D:$D,"Sale")),"")</f>
        <v/>
      </c>
      <c r="AH229" s="12"/>
    </row>
    <row r="230" customFormat="false" ht="18" hidden="false" customHeight="true" outlineLevel="0" collapsed="false">
      <c r="A230" s="12" t="s">
        <v>608</v>
      </c>
      <c r="B230" s="12" t="s">
        <v>202</v>
      </c>
      <c r="C230" s="12" t="s">
        <v>164</v>
      </c>
      <c r="D230" s="12" t="s">
        <v>165</v>
      </c>
      <c r="E230" s="12" t="s">
        <v>79</v>
      </c>
      <c r="F230" s="12" t="s">
        <v>162</v>
      </c>
      <c r="G230" s="12"/>
      <c r="H230" s="12" t="s">
        <v>383</v>
      </c>
      <c r="I230" s="14" t="n">
        <v>19000</v>
      </c>
      <c r="J230" s="18" t="n">
        <f aca="false">IF($I230="","",ROUND($I230*Dropdowns!$K$5,2))</f>
        <v>49.4</v>
      </c>
      <c r="K230" s="19" t="n">
        <f aca="false">IF($I230="","",ROUND($I230*Dropdowns!$K$6,2))</f>
        <v>45.6</v>
      </c>
      <c r="L230" s="20" t="n">
        <f aca="false">IF($I230="","",ROUND($I230*Dropdowns!$K$7,2))</f>
        <v>3895</v>
      </c>
      <c r="M230" s="15" t="str">
        <f aca="false">IFERROR(IF($B230="","",VLOOKUP($B230,Designs!$A$3:$AP$165,27,FALSE())),"")</f>
        <v/>
      </c>
      <c r="N230" s="16" t="str">
        <f aca="false">IFERROR(IF(OR($I230="",$M230="",$M230=0),"",($I230-$M230)/$I230),"")</f>
        <v/>
      </c>
      <c r="O230" s="13" t="n">
        <v>0</v>
      </c>
      <c r="P230" s="13" t="n">
        <v>0</v>
      </c>
      <c r="Q230" s="21" t="n">
        <f aca="false">IF($O230="","",$O230-IF($P230="",0,$P230))</f>
        <v>0</v>
      </c>
      <c r="R230" s="13" t="n">
        <v>2</v>
      </c>
      <c r="S230" s="21" t="str">
        <f aca="false">IF($O230="","",IF($Q230&lt;=$R230,"⚠ REORDER","OK"))</f>
        <v>⚠ REORDER</v>
      </c>
      <c r="T230" s="13"/>
      <c r="U230" s="13"/>
      <c r="V230" s="13" t="s">
        <v>378</v>
      </c>
      <c r="W230" s="12" t="s">
        <v>379</v>
      </c>
      <c r="X230" s="13"/>
      <c r="Y230" s="13"/>
      <c r="Z230" s="12" t="s">
        <v>88</v>
      </c>
      <c r="AA230" s="12" t="s">
        <v>88</v>
      </c>
      <c r="AB230" s="12" t="s">
        <v>88</v>
      </c>
      <c r="AC230" s="12" t="s">
        <v>88</v>
      </c>
      <c r="AD230" s="12" t="s">
        <v>87</v>
      </c>
      <c r="AE230" s="21" t="n">
        <f aca="false">IFERROR(SUMIFS(Transactions!$F:$F,Transactions!$C:$C,$A230,Transactions!$D:$D,"Sale"),0)</f>
        <v>0</v>
      </c>
      <c r="AF230" s="15" t="n">
        <f aca="false">IFERROR(SUMIFS(Transactions!$H:$H,Transactions!$C:$C,$A230,Transactions!$D:$D,"Sale"),0)</f>
        <v>0</v>
      </c>
      <c r="AG230" s="22" t="str">
        <f aca="false">IFERROR(IF(maxifs(Transactions!$B:$B,Transactions!$C:$C,$A230,Transactions!$D:$D,"Sale")=0,"",maxifs(Transactions!$B:$B,Transactions!$C:$C,$A230,Transactions!$D:$D,"Sale")),"")</f>
        <v/>
      </c>
      <c r="AH230" s="12"/>
    </row>
    <row r="231" customFormat="false" ht="18" hidden="false" customHeight="true" outlineLevel="0" collapsed="false">
      <c r="A231" s="12" t="s">
        <v>609</v>
      </c>
      <c r="B231" s="12" t="s">
        <v>203</v>
      </c>
      <c r="C231" s="12" t="s">
        <v>204</v>
      </c>
      <c r="D231" s="12" t="s">
        <v>205</v>
      </c>
      <c r="E231" s="12" t="s">
        <v>79</v>
      </c>
      <c r="F231" s="12" t="s">
        <v>80</v>
      </c>
      <c r="G231" s="12"/>
      <c r="H231" s="12" t="s">
        <v>381</v>
      </c>
      <c r="I231" s="14" t="n">
        <v>25000</v>
      </c>
      <c r="J231" s="18" t="n">
        <f aca="false">IF($I231="","",ROUND($I231*Dropdowns!$K$5,2))</f>
        <v>65</v>
      </c>
      <c r="K231" s="19" t="n">
        <f aca="false">IF($I231="","",ROUND($I231*Dropdowns!$K$6,2))</f>
        <v>60</v>
      </c>
      <c r="L231" s="20" t="n">
        <f aca="false">IF($I231="","",ROUND($I231*Dropdowns!$K$7,2))</f>
        <v>5125</v>
      </c>
      <c r="M231" s="15" t="str">
        <f aca="false">IFERROR(IF($B231="","",VLOOKUP($B231,Designs!$A$3:$AP$165,27,FALSE())),"")</f>
        <v/>
      </c>
      <c r="N231" s="16" t="str">
        <f aca="false">IFERROR(IF(OR($I231="",$M231="",$M231=0),"",($I231-$M231)/$I231),"")</f>
        <v/>
      </c>
      <c r="O231" s="13" t="n">
        <v>0</v>
      </c>
      <c r="P231" s="13" t="n">
        <v>0</v>
      </c>
      <c r="Q231" s="21" t="n">
        <f aca="false">IF($O231="","",$O231-IF($P231="",0,$P231))</f>
        <v>0</v>
      </c>
      <c r="R231" s="13" t="n">
        <v>2</v>
      </c>
      <c r="S231" s="21" t="str">
        <f aca="false">IF($O231="","",IF($Q231&lt;=$R231,"⚠ REORDER","OK"))</f>
        <v>⚠ REORDER</v>
      </c>
      <c r="T231" s="13"/>
      <c r="U231" s="13"/>
      <c r="V231" s="13" t="s">
        <v>378</v>
      </c>
      <c r="W231" s="12" t="s">
        <v>379</v>
      </c>
      <c r="X231" s="13"/>
      <c r="Y231" s="13"/>
      <c r="Z231" s="12" t="s">
        <v>88</v>
      </c>
      <c r="AA231" s="12" t="s">
        <v>88</v>
      </c>
      <c r="AB231" s="12" t="s">
        <v>88</v>
      </c>
      <c r="AC231" s="12" t="s">
        <v>88</v>
      </c>
      <c r="AD231" s="12" t="s">
        <v>87</v>
      </c>
      <c r="AE231" s="21" t="n">
        <f aca="false">IFERROR(SUMIFS(Transactions!$F:$F,Transactions!$C:$C,$A231,Transactions!$D:$D,"Sale"),0)</f>
        <v>0</v>
      </c>
      <c r="AF231" s="15" t="n">
        <f aca="false">IFERROR(SUMIFS(Transactions!$H:$H,Transactions!$C:$C,$A231,Transactions!$D:$D,"Sale"),0)</f>
        <v>0</v>
      </c>
      <c r="AG231" s="22" t="str">
        <f aca="false">IFERROR(IF(maxifs(Transactions!$B:$B,Transactions!$C:$C,$A231,Transactions!$D:$D,"Sale")=0,"",maxifs(Transactions!$B:$B,Transactions!$C:$C,$A231,Transactions!$D:$D,"Sale")),"")</f>
        <v/>
      </c>
      <c r="AH231" s="12"/>
    </row>
    <row r="232" customFormat="false" ht="18" hidden="false" customHeight="true" outlineLevel="0" collapsed="false">
      <c r="A232" s="12" t="s">
        <v>610</v>
      </c>
      <c r="B232" s="12" t="s">
        <v>206</v>
      </c>
      <c r="C232" s="12" t="s">
        <v>204</v>
      </c>
      <c r="D232" s="12" t="s">
        <v>205</v>
      </c>
      <c r="E232" s="12" t="s">
        <v>79</v>
      </c>
      <c r="F232" s="12" t="s">
        <v>90</v>
      </c>
      <c r="G232" s="12"/>
      <c r="H232" s="12" t="s">
        <v>381</v>
      </c>
      <c r="I232" s="14" t="n">
        <v>25000</v>
      </c>
      <c r="J232" s="18" t="n">
        <f aca="false">IF($I232="","",ROUND($I232*Dropdowns!$K$5,2))</f>
        <v>65</v>
      </c>
      <c r="K232" s="19" t="n">
        <f aca="false">IF($I232="","",ROUND($I232*Dropdowns!$K$6,2))</f>
        <v>60</v>
      </c>
      <c r="L232" s="20" t="n">
        <f aca="false">IF($I232="","",ROUND($I232*Dropdowns!$K$7,2))</f>
        <v>5125</v>
      </c>
      <c r="M232" s="15" t="str">
        <f aca="false">IFERROR(IF($B232="","",VLOOKUP($B232,Designs!$A$3:$AP$165,27,FALSE())),"")</f>
        <v/>
      </c>
      <c r="N232" s="16" t="str">
        <f aca="false">IFERROR(IF(OR($I232="",$M232="",$M232=0),"",($I232-$M232)/$I232),"")</f>
        <v/>
      </c>
      <c r="O232" s="13" t="n">
        <v>0</v>
      </c>
      <c r="P232" s="13" t="n">
        <v>0</v>
      </c>
      <c r="Q232" s="21" t="n">
        <f aca="false">IF($O232="","",$O232-IF($P232="",0,$P232))</f>
        <v>0</v>
      </c>
      <c r="R232" s="13" t="n">
        <v>2</v>
      </c>
      <c r="S232" s="21" t="str">
        <f aca="false">IF($O232="","",IF($Q232&lt;=$R232,"⚠ REORDER","OK"))</f>
        <v>⚠ REORDER</v>
      </c>
      <c r="T232" s="13"/>
      <c r="U232" s="13"/>
      <c r="V232" s="13" t="s">
        <v>378</v>
      </c>
      <c r="W232" s="12" t="s">
        <v>379</v>
      </c>
      <c r="X232" s="13"/>
      <c r="Y232" s="13"/>
      <c r="Z232" s="12" t="s">
        <v>88</v>
      </c>
      <c r="AA232" s="12" t="s">
        <v>88</v>
      </c>
      <c r="AB232" s="12" t="s">
        <v>88</v>
      </c>
      <c r="AC232" s="12" t="s">
        <v>88</v>
      </c>
      <c r="AD232" s="12" t="s">
        <v>87</v>
      </c>
      <c r="AE232" s="21" t="n">
        <f aca="false">IFERROR(SUMIFS(Transactions!$F:$F,Transactions!$C:$C,$A232,Transactions!$D:$D,"Sale"),0)</f>
        <v>0</v>
      </c>
      <c r="AF232" s="15" t="n">
        <f aca="false">IFERROR(SUMIFS(Transactions!$H:$H,Transactions!$C:$C,$A232,Transactions!$D:$D,"Sale"),0)</f>
        <v>0</v>
      </c>
      <c r="AG232" s="22" t="str">
        <f aca="false">IFERROR(IF(maxifs(Transactions!$B:$B,Transactions!$C:$C,$A232,Transactions!$D:$D,"Sale")=0,"",maxifs(Transactions!$B:$B,Transactions!$C:$C,$A232,Transactions!$D:$D,"Sale")),"")</f>
        <v/>
      </c>
      <c r="AH232" s="12"/>
    </row>
    <row r="233" customFormat="false" ht="18" hidden="false" customHeight="true" outlineLevel="0" collapsed="false">
      <c r="A233" s="12" t="s">
        <v>611</v>
      </c>
      <c r="B233" s="12" t="s">
        <v>207</v>
      </c>
      <c r="C233" s="12" t="s">
        <v>204</v>
      </c>
      <c r="D233" s="12" t="s">
        <v>205</v>
      </c>
      <c r="E233" s="12" t="s">
        <v>79</v>
      </c>
      <c r="F233" s="12" t="s">
        <v>92</v>
      </c>
      <c r="G233" s="12"/>
      <c r="H233" s="12" t="s">
        <v>381</v>
      </c>
      <c r="I233" s="14" t="n">
        <v>25000</v>
      </c>
      <c r="J233" s="18" t="n">
        <f aca="false">IF($I233="","",ROUND($I233*Dropdowns!$K$5,2))</f>
        <v>65</v>
      </c>
      <c r="K233" s="19" t="n">
        <f aca="false">IF($I233="","",ROUND($I233*Dropdowns!$K$6,2))</f>
        <v>60</v>
      </c>
      <c r="L233" s="20" t="n">
        <f aca="false">IF($I233="","",ROUND($I233*Dropdowns!$K$7,2))</f>
        <v>5125</v>
      </c>
      <c r="M233" s="15" t="str">
        <f aca="false">IFERROR(IF($B233="","",VLOOKUP($B233,Designs!$A$3:$AP$165,27,FALSE())),"")</f>
        <v/>
      </c>
      <c r="N233" s="16" t="str">
        <f aca="false">IFERROR(IF(OR($I233="",$M233="",$M233=0),"",($I233-$M233)/$I233),"")</f>
        <v/>
      </c>
      <c r="O233" s="13" t="n">
        <v>0</v>
      </c>
      <c r="P233" s="13" t="n">
        <v>0</v>
      </c>
      <c r="Q233" s="21" t="n">
        <f aca="false">IF($O233="","",$O233-IF($P233="",0,$P233))</f>
        <v>0</v>
      </c>
      <c r="R233" s="13" t="n">
        <v>2</v>
      </c>
      <c r="S233" s="21" t="str">
        <f aca="false">IF($O233="","",IF($Q233&lt;=$R233,"⚠ REORDER","OK"))</f>
        <v>⚠ REORDER</v>
      </c>
      <c r="T233" s="13"/>
      <c r="U233" s="13"/>
      <c r="V233" s="13" t="s">
        <v>378</v>
      </c>
      <c r="W233" s="12" t="s">
        <v>379</v>
      </c>
      <c r="X233" s="13"/>
      <c r="Y233" s="13"/>
      <c r="Z233" s="12" t="s">
        <v>88</v>
      </c>
      <c r="AA233" s="12" t="s">
        <v>88</v>
      </c>
      <c r="AB233" s="12" t="s">
        <v>88</v>
      </c>
      <c r="AC233" s="12" t="s">
        <v>88</v>
      </c>
      <c r="AD233" s="12" t="s">
        <v>87</v>
      </c>
      <c r="AE233" s="21" t="n">
        <f aca="false">IFERROR(SUMIFS(Transactions!$F:$F,Transactions!$C:$C,$A233,Transactions!$D:$D,"Sale"),0)</f>
        <v>0</v>
      </c>
      <c r="AF233" s="15" t="n">
        <f aca="false">IFERROR(SUMIFS(Transactions!$H:$H,Transactions!$C:$C,$A233,Transactions!$D:$D,"Sale"),0)</f>
        <v>0</v>
      </c>
      <c r="AG233" s="22" t="str">
        <f aca="false">IFERROR(IF(maxifs(Transactions!$B:$B,Transactions!$C:$C,$A233,Transactions!$D:$D,"Sale")=0,"",maxifs(Transactions!$B:$B,Transactions!$C:$C,$A233,Transactions!$D:$D,"Sale")),"")</f>
        <v/>
      </c>
      <c r="AH233" s="12"/>
    </row>
    <row r="234" customFormat="false" ht="18" hidden="false" customHeight="true" outlineLevel="0" collapsed="false">
      <c r="A234" s="12" t="s">
        <v>612</v>
      </c>
      <c r="B234" s="12" t="s">
        <v>208</v>
      </c>
      <c r="C234" s="12" t="s">
        <v>204</v>
      </c>
      <c r="D234" s="12" t="s">
        <v>205</v>
      </c>
      <c r="E234" s="12" t="s">
        <v>79</v>
      </c>
      <c r="F234" s="12" t="s">
        <v>94</v>
      </c>
      <c r="G234" s="12"/>
      <c r="H234" s="12" t="s">
        <v>381</v>
      </c>
      <c r="I234" s="14" t="n">
        <v>25000</v>
      </c>
      <c r="J234" s="18" t="n">
        <f aca="false">IF($I234="","",ROUND($I234*Dropdowns!$K$5,2))</f>
        <v>65</v>
      </c>
      <c r="K234" s="19" t="n">
        <f aca="false">IF($I234="","",ROUND($I234*Dropdowns!$K$6,2))</f>
        <v>60</v>
      </c>
      <c r="L234" s="20" t="n">
        <f aca="false">IF($I234="","",ROUND($I234*Dropdowns!$K$7,2))</f>
        <v>5125</v>
      </c>
      <c r="M234" s="15" t="str">
        <f aca="false">IFERROR(IF($B234="","",VLOOKUP($B234,Designs!$A$3:$AP$165,27,FALSE())),"")</f>
        <v/>
      </c>
      <c r="N234" s="16" t="str">
        <f aca="false">IFERROR(IF(OR($I234="",$M234="",$M234=0),"",($I234-$M234)/$I234),"")</f>
        <v/>
      </c>
      <c r="O234" s="13" t="n">
        <v>0</v>
      </c>
      <c r="P234" s="13" t="n">
        <v>0</v>
      </c>
      <c r="Q234" s="21" t="n">
        <f aca="false">IF($O234="","",$O234-IF($P234="",0,$P234))</f>
        <v>0</v>
      </c>
      <c r="R234" s="13" t="n">
        <v>2</v>
      </c>
      <c r="S234" s="21" t="str">
        <f aca="false">IF($O234="","",IF($Q234&lt;=$R234,"⚠ REORDER","OK"))</f>
        <v>⚠ REORDER</v>
      </c>
      <c r="T234" s="13"/>
      <c r="U234" s="13"/>
      <c r="V234" s="13" t="s">
        <v>378</v>
      </c>
      <c r="W234" s="12" t="s">
        <v>379</v>
      </c>
      <c r="X234" s="13"/>
      <c r="Y234" s="13"/>
      <c r="Z234" s="12" t="s">
        <v>88</v>
      </c>
      <c r="AA234" s="12" t="s">
        <v>88</v>
      </c>
      <c r="AB234" s="12" t="s">
        <v>88</v>
      </c>
      <c r="AC234" s="12" t="s">
        <v>88</v>
      </c>
      <c r="AD234" s="12" t="s">
        <v>87</v>
      </c>
      <c r="AE234" s="21" t="n">
        <f aca="false">IFERROR(SUMIFS(Transactions!$F:$F,Transactions!$C:$C,$A234,Transactions!$D:$D,"Sale"),0)</f>
        <v>0</v>
      </c>
      <c r="AF234" s="15" t="n">
        <f aca="false">IFERROR(SUMIFS(Transactions!$H:$H,Transactions!$C:$C,$A234,Transactions!$D:$D,"Sale"),0)</f>
        <v>0</v>
      </c>
      <c r="AG234" s="22" t="str">
        <f aca="false">IFERROR(IF(maxifs(Transactions!$B:$B,Transactions!$C:$C,$A234,Transactions!$D:$D,"Sale")=0,"",maxifs(Transactions!$B:$B,Transactions!$C:$C,$A234,Transactions!$D:$D,"Sale")),"")</f>
        <v/>
      </c>
      <c r="AH234" s="12"/>
    </row>
    <row r="235" customFormat="false" ht="18" hidden="false" customHeight="true" outlineLevel="0" collapsed="false">
      <c r="A235" s="12" t="s">
        <v>613</v>
      </c>
      <c r="B235" s="12" t="s">
        <v>209</v>
      </c>
      <c r="C235" s="12" t="s">
        <v>204</v>
      </c>
      <c r="D235" s="12" t="s">
        <v>205</v>
      </c>
      <c r="E235" s="12" t="s">
        <v>79</v>
      </c>
      <c r="F235" s="12" t="s">
        <v>96</v>
      </c>
      <c r="G235" s="12"/>
      <c r="H235" s="12" t="s">
        <v>381</v>
      </c>
      <c r="I235" s="14" t="n">
        <v>25000</v>
      </c>
      <c r="J235" s="18" t="n">
        <f aca="false">IF($I235="","",ROUND($I235*Dropdowns!$K$5,2))</f>
        <v>65</v>
      </c>
      <c r="K235" s="19" t="n">
        <f aca="false">IF($I235="","",ROUND($I235*Dropdowns!$K$6,2))</f>
        <v>60</v>
      </c>
      <c r="L235" s="20" t="n">
        <f aca="false">IF($I235="","",ROUND($I235*Dropdowns!$K$7,2))</f>
        <v>5125</v>
      </c>
      <c r="M235" s="15" t="str">
        <f aca="false">IFERROR(IF($B235="","",VLOOKUP($B235,Designs!$A$3:$AP$165,27,FALSE())),"")</f>
        <v/>
      </c>
      <c r="N235" s="16" t="str">
        <f aca="false">IFERROR(IF(OR($I235="",$M235="",$M235=0),"",($I235-$M235)/$I235),"")</f>
        <v/>
      </c>
      <c r="O235" s="13" t="n">
        <v>0</v>
      </c>
      <c r="P235" s="13" t="n">
        <v>0</v>
      </c>
      <c r="Q235" s="21" t="n">
        <f aca="false">IF($O235="","",$O235-IF($P235="",0,$P235))</f>
        <v>0</v>
      </c>
      <c r="R235" s="13" t="n">
        <v>2</v>
      </c>
      <c r="S235" s="21" t="str">
        <f aca="false">IF($O235="","",IF($Q235&lt;=$R235,"⚠ REORDER","OK"))</f>
        <v>⚠ REORDER</v>
      </c>
      <c r="T235" s="13"/>
      <c r="U235" s="13"/>
      <c r="V235" s="13" t="s">
        <v>378</v>
      </c>
      <c r="W235" s="12" t="s">
        <v>379</v>
      </c>
      <c r="X235" s="13"/>
      <c r="Y235" s="13"/>
      <c r="Z235" s="12" t="s">
        <v>88</v>
      </c>
      <c r="AA235" s="12" t="s">
        <v>88</v>
      </c>
      <c r="AB235" s="12" t="s">
        <v>88</v>
      </c>
      <c r="AC235" s="12" t="s">
        <v>88</v>
      </c>
      <c r="AD235" s="12" t="s">
        <v>87</v>
      </c>
      <c r="AE235" s="21" t="n">
        <f aca="false">IFERROR(SUMIFS(Transactions!$F:$F,Transactions!$C:$C,$A235,Transactions!$D:$D,"Sale"),0)</f>
        <v>0</v>
      </c>
      <c r="AF235" s="15" t="n">
        <f aca="false">IFERROR(SUMIFS(Transactions!$H:$H,Transactions!$C:$C,$A235,Transactions!$D:$D,"Sale"),0)</f>
        <v>0</v>
      </c>
      <c r="AG235" s="22" t="str">
        <f aca="false">IFERROR(IF(maxifs(Transactions!$B:$B,Transactions!$C:$C,$A235,Transactions!$D:$D,"Sale")=0,"",maxifs(Transactions!$B:$B,Transactions!$C:$C,$A235,Transactions!$D:$D,"Sale")),"")</f>
        <v/>
      </c>
      <c r="AH235" s="12"/>
    </row>
    <row r="236" customFormat="false" ht="18" hidden="false" customHeight="true" outlineLevel="0" collapsed="false">
      <c r="A236" s="12" t="s">
        <v>614</v>
      </c>
      <c r="B236" s="12" t="s">
        <v>210</v>
      </c>
      <c r="C236" s="12" t="s">
        <v>204</v>
      </c>
      <c r="D236" s="12" t="s">
        <v>205</v>
      </c>
      <c r="E236" s="12" t="s">
        <v>79</v>
      </c>
      <c r="F236" s="12" t="s">
        <v>98</v>
      </c>
      <c r="G236" s="12"/>
      <c r="H236" s="12" t="s">
        <v>381</v>
      </c>
      <c r="I236" s="14" t="n">
        <v>25000</v>
      </c>
      <c r="J236" s="18" t="n">
        <f aca="false">IF($I236="","",ROUND($I236*Dropdowns!$K$5,2))</f>
        <v>65</v>
      </c>
      <c r="K236" s="19" t="n">
        <f aca="false">IF($I236="","",ROUND($I236*Dropdowns!$K$6,2))</f>
        <v>60</v>
      </c>
      <c r="L236" s="20" t="n">
        <f aca="false">IF($I236="","",ROUND($I236*Dropdowns!$K$7,2))</f>
        <v>5125</v>
      </c>
      <c r="M236" s="15" t="str">
        <f aca="false">IFERROR(IF($B236="","",VLOOKUP($B236,Designs!$A$3:$AP$165,27,FALSE())),"")</f>
        <v/>
      </c>
      <c r="N236" s="16" t="str">
        <f aca="false">IFERROR(IF(OR($I236="",$M236="",$M236=0),"",($I236-$M236)/$I236),"")</f>
        <v/>
      </c>
      <c r="O236" s="13" t="n">
        <v>0</v>
      </c>
      <c r="P236" s="13" t="n">
        <v>0</v>
      </c>
      <c r="Q236" s="21" t="n">
        <f aca="false">IF($O236="","",$O236-IF($P236="",0,$P236))</f>
        <v>0</v>
      </c>
      <c r="R236" s="13" t="n">
        <v>2</v>
      </c>
      <c r="S236" s="21" t="str">
        <f aca="false">IF($O236="","",IF($Q236&lt;=$R236,"⚠ REORDER","OK"))</f>
        <v>⚠ REORDER</v>
      </c>
      <c r="T236" s="13"/>
      <c r="U236" s="13"/>
      <c r="V236" s="13" t="s">
        <v>378</v>
      </c>
      <c r="W236" s="12" t="s">
        <v>379</v>
      </c>
      <c r="X236" s="13"/>
      <c r="Y236" s="13"/>
      <c r="Z236" s="12" t="s">
        <v>88</v>
      </c>
      <c r="AA236" s="12" t="s">
        <v>88</v>
      </c>
      <c r="AB236" s="12" t="s">
        <v>88</v>
      </c>
      <c r="AC236" s="12" t="s">
        <v>88</v>
      </c>
      <c r="AD236" s="12" t="s">
        <v>87</v>
      </c>
      <c r="AE236" s="21" t="n">
        <f aca="false">IFERROR(SUMIFS(Transactions!$F:$F,Transactions!$C:$C,$A236,Transactions!$D:$D,"Sale"),0)</f>
        <v>0</v>
      </c>
      <c r="AF236" s="15" t="n">
        <f aca="false">IFERROR(SUMIFS(Transactions!$H:$H,Transactions!$C:$C,$A236,Transactions!$D:$D,"Sale"),0)</f>
        <v>0</v>
      </c>
      <c r="AG236" s="22" t="str">
        <f aca="false">IFERROR(IF(maxifs(Transactions!$B:$B,Transactions!$C:$C,$A236,Transactions!$D:$D,"Sale")=0,"",maxifs(Transactions!$B:$B,Transactions!$C:$C,$A236,Transactions!$D:$D,"Sale")),"")</f>
        <v/>
      </c>
      <c r="AH236" s="12"/>
    </row>
    <row r="237" customFormat="false" ht="18" hidden="false" customHeight="true" outlineLevel="0" collapsed="false">
      <c r="A237" s="12" t="s">
        <v>615</v>
      </c>
      <c r="B237" s="12" t="s">
        <v>211</v>
      </c>
      <c r="C237" s="12" t="s">
        <v>204</v>
      </c>
      <c r="D237" s="12" t="s">
        <v>205</v>
      </c>
      <c r="E237" s="12" t="s">
        <v>79</v>
      </c>
      <c r="F237" s="12" t="s">
        <v>100</v>
      </c>
      <c r="G237" s="12"/>
      <c r="H237" s="12" t="s">
        <v>381</v>
      </c>
      <c r="I237" s="14" t="n">
        <v>25000</v>
      </c>
      <c r="J237" s="18" t="n">
        <f aca="false">IF($I237="","",ROUND($I237*Dropdowns!$K$5,2))</f>
        <v>65</v>
      </c>
      <c r="K237" s="19" t="n">
        <f aca="false">IF($I237="","",ROUND($I237*Dropdowns!$K$6,2))</f>
        <v>60</v>
      </c>
      <c r="L237" s="20" t="n">
        <f aca="false">IF($I237="","",ROUND($I237*Dropdowns!$K$7,2))</f>
        <v>5125</v>
      </c>
      <c r="M237" s="15" t="str">
        <f aca="false">IFERROR(IF($B237="","",VLOOKUP($B237,Designs!$A$3:$AP$165,27,FALSE())),"")</f>
        <v/>
      </c>
      <c r="N237" s="16" t="str">
        <f aca="false">IFERROR(IF(OR($I237="",$M237="",$M237=0),"",($I237-$M237)/$I237),"")</f>
        <v/>
      </c>
      <c r="O237" s="13" t="n">
        <v>0</v>
      </c>
      <c r="P237" s="13" t="n">
        <v>0</v>
      </c>
      <c r="Q237" s="21" t="n">
        <f aca="false">IF($O237="","",$O237-IF($P237="",0,$P237))</f>
        <v>0</v>
      </c>
      <c r="R237" s="13" t="n">
        <v>2</v>
      </c>
      <c r="S237" s="21" t="str">
        <f aca="false">IF($O237="","",IF($Q237&lt;=$R237,"⚠ REORDER","OK"))</f>
        <v>⚠ REORDER</v>
      </c>
      <c r="T237" s="13"/>
      <c r="U237" s="13"/>
      <c r="V237" s="13" t="s">
        <v>378</v>
      </c>
      <c r="W237" s="12" t="s">
        <v>379</v>
      </c>
      <c r="X237" s="13"/>
      <c r="Y237" s="13"/>
      <c r="Z237" s="12" t="s">
        <v>88</v>
      </c>
      <c r="AA237" s="12" t="s">
        <v>88</v>
      </c>
      <c r="AB237" s="12" t="s">
        <v>88</v>
      </c>
      <c r="AC237" s="12" t="s">
        <v>88</v>
      </c>
      <c r="AD237" s="12" t="s">
        <v>87</v>
      </c>
      <c r="AE237" s="21" t="n">
        <f aca="false">IFERROR(SUMIFS(Transactions!$F:$F,Transactions!$C:$C,$A237,Transactions!$D:$D,"Sale"),0)</f>
        <v>0</v>
      </c>
      <c r="AF237" s="15" t="n">
        <f aca="false">IFERROR(SUMIFS(Transactions!$H:$H,Transactions!$C:$C,$A237,Transactions!$D:$D,"Sale"),0)</f>
        <v>0</v>
      </c>
      <c r="AG237" s="22" t="str">
        <f aca="false">IFERROR(IF(maxifs(Transactions!$B:$B,Transactions!$C:$C,$A237,Transactions!$D:$D,"Sale")=0,"",maxifs(Transactions!$B:$B,Transactions!$C:$C,$A237,Transactions!$D:$D,"Sale")),"")</f>
        <v/>
      </c>
      <c r="AH237" s="12"/>
    </row>
    <row r="238" customFormat="false" ht="18" hidden="false" customHeight="true" outlineLevel="0" collapsed="false">
      <c r="A238" s="12" t="s">
        <v>616</v>
      </c>
      <c r="B238" s="12" t="s">
        <v>212</v>
      </c>
      <c r="C238" s="12" t="s">
        <v>204</v>
      </c>
      <c r="D238" s="12" t="s">
        <v>205</v>
      </c>
      <c r="E238" s="12" t="s">
        <v>79</v>
      </c>
      <c r="F238" s="12" t="s">
        <v>102</v>
      </c>
      <c r="G238" s="12"/>
      <c r="H238" s="12" t="s">
        <v>381</v>
      </c>
      <c r="I238" s="14" t="n">
        <v>25000</v>
      </c>
      <c r="J238" s="18" t="n">
        <f aca="false">IF($I238="","",ROUND($I238*Dropdowns!$K$5,2))</f>
        <v>65</v>
      </c>
      <c r="K238" s="19" t="n">
        <f aca="false">IF($I238="","",ROUND($I238*Dropdowns!$K$6,2))</f>
        <v>60</v>
      </c>
      <c r="L238" s="20" t="n">
        <f aca="false">IF($I238="","",ROUND($I238*Dropdowns!$K$7,2))</f>
        <v>5125</v>
      </c>
      <c r="M238" s="15" t="str">
        <f aca="false">IFERROR(IF($B238="","",VLOOKUP($B238,Designs!$A$3:$AP$165,27,FALSE())),"")</f>
        <v/>
      </c>
      <c r="N238" s="16" t="str">
        <f aca="false">IFERROR(IF(OR($I238="",$M238="",$M238=0),"",($I238-$M238)/$I238),"")</f>
        <v/>
      </c>
      <c r="O238" s="13" t="n">
        <v>0</v>
      </c>
      <c r="P238" s="13" t="n">
        <v>0</v>
      </c>
      <c r="Q238" s="21" t="n">
        <f aca="false">IF($O238="","",$O238-IF($P238="",0,$P238))</f>
        <v>0</v>
      </c>
      <c r="R238" s="13" t="n">
        <v>2</v>
      </c>
      <c r="S238" s="21" t="str">
        <f aca="false">IF($O238="","",IF($Q238&lt;=$R238,"⚠ REORDER","OK"))</f>
        <v>⚠ REORDER</v>
      </c>
      <c r="T238" s="13"/>
      <c r="U238" s="13"/>
      <c r="V238" s="13" t="s">
        <v>378</v>
      </c>
      <c r="W238" s="12" t="s">
        <v>379</v>
      </c>
      <c r="X238" s="13"/>
      <c r="Y238" s="13"/>
      <c r="Z238" s="12" t="s">
        <v>88</v>
      </c>
      <c r="AA238" s="12" t="s">
        <v>88</v>
      </c>
      <c r="AB238" s="12" t="s">
        <v>88</v>
      </c>
      <c r="AC238" s="12" t="s">
        <v>88</v>
      </c>
      <c r="AD238" s="12" t="s">
        <v>87</v>
      </c>
      <c r="AE238" s="21" t="n">
        <f aca="false">IFERROR(SUMIFS(Transactions!$F:$F,Transactions!$C:$C,$A238,Transactions!$D:$D,"Sale"),0)</f>
        <v>0</v>
      </c>
      <c r="AF238" s="15" t="n">
        <f aca="false">IFERROR(SUMIFS(Transactions!$H:$H,Transactions!$C:$C,$A238,Transactions!$D:$D,"Sale"),0)</f>
        <v>0</v>
      </c>
      <c r="AG238" s="22" t="str">
        <f aca="false">IFERROR(IF(maxifs(Transactions!$B:$B,Transactions!$C:$C,$A238,Transactions!$D:$D,"Sale")=0,"",maxifs(Transactions!$B:$B,Transactions!$C:$C,$A238,Transactions!$D:$D,"Sale")),"")</f>
        <v/>
      </c>
      <c r="AH238" s="12"/>
    </row>
    <row r="239" customFormat="false" ht="18" hidden="false" customHeight="true" outlineLevel="0" collapsed="false">
      <c r="A239" s="12" t="s">
        <v>617</v>
      </c>
      <c r="B239" s="12" t="s">
        <v>213</v>
      </c>
      <c r="C239" s="12" t="s">
        <v>204</v>
      </c>
      <c r="D239" s="12" t="s">
        <v>205</v>
      </c>
      <c r="E239" s="12" t="s">
        <v>79</v>
      </c>
      <c r="F239" s="12" t="s">
        <v>104</v>
      </c>
      <c r="G239" s="12"/>
      <c r="H239" s="12" t="s">
        <v>381</v>
      </c>
      <c r="I239" s="14" t="n">
        <v>25000</v>
      </c>
      <c r="J239" s="18" t="n">
        <f aca="false">IF($I239="","",ROUND($I239*Dropdowns!$K$5,2))</f>
        <v>65</v>
      </c>
      <c r="K239" s="19" t="n">
        <f aca="false">IF($I239="","",ROUND($I239*Dropdowns!$K$6,2))</f>
        <v>60</v>
      </c>
      <c r="L239" s="20" t="n">
        <f aca="false">IF($I239="","",ROUND($I239*Dropdowns!$K$7,2))</f>
        <v>5125</v>
      </c>
      <c r="M239" s="15" t="str">
        <f aca="false">IFERROR(IF($B239="","",VLOOKUP($B239,Designs!$A$3:$AP$165,27,FALSE())),"")</f>
        <v/>
      </c>
      <c r="N239" s="16" t="str">
        <f aca="false">IFERROR(IF(OR($I239="",$M239="",$M239=0),"",($I239-$M239)/$I239),"")</f>
        <v/>
      </c>
      <c r="O239" s="13" t="n">
        <v>0</v>
      </c>
      <c r="P239" s="13" t="n">
        <v>0</v>
      </c>
      <c r="Q239" s="21" t="n">
        <f aca="false">IF($O239="","",$O239-IF($P239="",0,$P239))</f>
        <v>0</v>
      </c>
      <c r="R239" s="13" t="n">
        <v>2</v>
      </c>
      <c r="S239" s="21" t="str">
        <f aca="false">IF($O239="","",IF($Q239&lt;=$R239,"⚠ REORDER","OK"))</f>
        <v>⚠ REORDER</v>
      </c>
      <c r="T239" s="13"/>
      <c r="U239" s="13"/>
      <c r="V239" s="13" t="s">
        <v>378</v>
      </c>
      <c r="W239" s="12" t="s">
        <v>379</v>
      </c>
      <c r="X239" s="13"/>
      <c r="Y239" s="13"/>
      <c r="Z239" s="12" t="s">
        <v>88</v>
      </c>
      <c r="AA239" s="12" t="s">
        <v>88</v>
      </c>
      <c r="AB239" s="12" t="s">
        <v>88</v>
      </c>
      <c r="AC239" s="12" t="s">
        <v>88</v>
      </c>
      <c r="AD239" s="12" t="s">
        <v>87</v>
      </c>
      <c r="AE239" s="21" t="n">
        <f aca="false">IFERROR(SUMIFS(Transactions!$F:$F,Transactions!$C:$C,$A239,Transactions!$D:$D,"Sale"),0)</f>
        <v>0</v>
      </c>
      <c r="AF239" s="15" t="n">
        <f aca="false">IFERROR(SUMIFS(Transactions!$H:$H,Transactions!$C:$C,$A239,Transactions!$D:$D,"Sale"),0)</f>
        <v>0</v>
      </c>
      <c r="AG239" s="22" t="str">
        <f aca="false">IFERROR(IF(maxifs(Transactions!$B:$B,Transactions!$C:$C,$A239,Transactions!$D:$D,"Sale")=0,"",maxifs(Transactions!$B:$B,Transactions!$C:$C,$A239,Transactions!$D:$D,"Sale")),"")</f>
        <v/>
      </c>
      <c r="AH239" s="12"/>
    </row>
    <row r="240" customFormat="false" ht="18" hidden="false" customHeight="true" outlineLevel="0" collapsed="false">
      <c r="A240" s="12" t="s">
        <v>618</v>
      </c>
      <c r="B240" s="12" t="s">
        <v>214</v>
      </c>
      <c r="C240" s="12" t="s">
        <v>204</v>
      </c>
      <c r="D240" s="12" t="s">
        <v>205</v>
      </c>
      <c r="E240" s="12" t="s">
        <v>79</v>
      </c>
      <c r="F240" s="12" t="s">
        <v>106</v>
      </c>
      <c r="G240" s="12"/>
      <c r="H240" s="12" t="s">
        <v>381</v>
      </c>
      <c r="I240" s="14" t="n">
        <v>25000</v>
      </c>
      <c r="J240" s="18" t="n">
        <f aca="false">IF($I240="","",ROUND($I240*Dropdowns!$K$5,2))</f>
        <v>65</v>
      </c>
      <c r="K240" s="19" t="n">
        <f aca="false">IF($I240="","",ROUND($I240*Dropdowns!$K$6,2))</f>
        <v>60</v>
      </c>
      <c r="L240" s="20" t="n">
        <f aca="false">IF($I240="","",ROUND($I240*Dropdowns!$K$7,2))</f>
        <v>5125</v>
      </c>
      <c r="M240" s="15" t="str">
        <f aca="false">IFERROR(IF($B240="","",VLOOKUP($B240,Designs!$A$3:$AP$165,27,FALSE())),"")</f>
        <v/>
      </c>
      <c r="N240" s="16" t="str">
        <f aca="false">IFERROR(IF(OR($I240="",$M240="",$M240=0),"",($I240-$M240)/$I240),"")</f>
        <v/>
      </c>
      <c r="O240" s="13" t="n">
        <v>0</v>
      </c>
      <c r="P240" s="13" t="n">
        <v>0</v>
      </c>
      <c r="Q240" s="21" t="n">
        <f aca="false">IF($O240="","",$O240-IF($P240="",0,$P240))</f>
        <v>0</v>
      </c>
      <c r="R240" s="13" t="n">
        <v>2</v>
      </c>
      <c r="S240" s="21" t="str">
        <f aca="false">IF($O240="","",IF($Q240&lt;=$R240,"⚠ REORDER","OK"))</f>
        <v>⚠ REORDER</v>
      </c>
      <c r="T240" s="13"/>
      <c r="U240" s="13"/>
      <c r="V240" s="13" t="s">
        <v>378</v>
      </c>
      <c r="W240" s="12" t="s">
        <v>379</v>
      </c>
      <c r="X240" s="13"/>
      <c r="Y240" s="13"/>
      <c r="Z240" s="12" t="s">
        <v>88</v>
      </c>
      <c r="AA240" s="12" t="s">
        <v>88</v>
      </c>
      <c r="AB240" s="12" t="s">
        <v>88</v>
      </c>
      <c r="AC240" s="12" t="s">
        <v>88</v>
      </c>
      <c r="AD240" s="12" t="s">
        <v>87</v>
      </c>
      <c r="AE240" s="21" t="n">
        <f aca="false">IFERROR(SUMIFS(Transactions!$F:$F,Transactions!$C:$C,$A240,Transactions!$D:$D,"Sale"),0)</f>
        <v>0</v>
      </c>
      <c r="AF240" s="15" t="n">
        <f aca="false">IFERROR(SUMIFS(Transactions!$H:$H,Transactions!$C:$C,$A240,Transactions!$D:$D,"Sale"),0)</f>
        <v>0</v>
      </c>
      <c r="AG240" s="22" t="str">
        <f aca="false">IFERROR(IF(maxifs(Transactions!$B:$B,Transactions!$C:$C,$A240,Transactions!$D:$D,"Sale")=0,"",maxifs(Transactions!$B:$B,Transactions!$C:$C,$A240,Transactions!$D:$D,"Sale")),"")</f>
        <v/>
      </c>
      <c r="AH240" s="12"/>
    </row>
    <row r="241" customFormat="false" ht="18" hidden="false" customHeight="true" outlineLevel="0" collapsed="false">
      <c r="A241" s="12" t="s">
        <v>619</v>
      </c>
      <c r="B241" s="12" t="s">
        <v>215</v>
      </c>
      <c r="C241" s="12" t="s">
        <v>204</v>
      </c>
      <c r="D241" s="12" t="s">
        <v>205</v>
      </c>
      <c r="E241" s="12" t="s">
        <v>79</v>
      </c>
      <c r="F241" s="12" t="s">
        <v>108</v>
      </c>
      <c r="G241" s="12"/>
      <c r="H241" s="12" t="s">
        <v>381</v>
      </c>
      <c r="I241" s="14" t="n">
        <v>25000</v>
      </c>
      <c r="J241" s="18" t="n">
        <f aca="false">IF($I241="","",ROUND($I241*Dropdowns!$K$5,2))</f>
        <v>65</v>
      </c>
      <c r="K241" s="19" t="n">
        <f aca="false">IF($I241="","",ROUND($I241*Dropdowns!$K$6,2))</f>
        <v>60</v>
      </c>
      <c r="L241" s="20" t="n">
        <f aca="false">IF($I241="","",ROUND($I241*Dropdowns!$K$7,2))</f>
        <v>5125</v>
      </c>
      <c r="M241" s="15" t="str">
        <f aca="false">IFERROR(IF($B241="","",VLOOKUP($B241,Designs!$A$3:$AP$165,27,FALSE())),"")</f>
        <v/>
      </c>
      <c r="N241" s="16" t="str">
        <f aca="false">IFERROR(IF(OR($I241="",$M241="",$M241=0),"",($I241-$M241)/$I241),"")</f>
        <v/>
      </c>
      <c r="O241" s="13" t="n">
        <v>0</v>
      </c>
      <c r="P241" s="13" t="n">
        <v>0</v>
      </c>
      <c r="Q241" s="21" t="n">
        <f aca="false">IF($O241="","",$O241-IF($P241="",0,$P241))</f>
        <v>0</v>
      </c>
      <c r="R241" s="13" t="n">
        <v>2</v>
      </c>
      <c r="S241" s="21" t="str">
        <f aca="false">IF($O241="","",IF($Q241&lt;=$R241,"⚠ REORDER","OK"))</f>
        <v>⚠ REORDER</v>
      </c>
      <c r="T241" s="13"/>
      <c r="U241" s="13"/>
      <c r="V241" s="13" t="s">
        <v>378</v>
      </c>
      <c r="W241" s="12" t="s">
        <v>379</v>
      </c>
      <c r="X241" s="13"/>
      <c r="Y241" s="13"/>
      <c r="Z241" s="12" t="s">
        <v>88</v>
      </c>
      <c r="AA241" s="12" t="s">
        <v>88</v>
      </c>
      <c r="AB241" s="12" t="s">
        <v>88</v>
      </c>
      <c r="AC241" s="12" t="s">
        <v>88</v>
      </c>
      <c r="AD241" s="12" t="s">
        <v>87</v>
      </c>
      <c r="AE241" s="21" t="n">
        <f aca="false">IFERROR(SUMIFS(Transactions!$F:$F,Transactions!$C:$C,$A241,Transactions!$D:$D,"Sale"),0)</f>
        <v>0</v>
      </c>
      <c r="AF241" s="15" t="n">
        <f aca="false">IFERROR(SUMIFS(Transactions!$H:$H,Transactions!$C:$C,$A241,Transactions!$D:$D,"Sale"),0)</f>
        <v>0</v>
      </c>
      <c r="AG241" s="22" t="str">
        <f aca="false">IFERROR(IF(maxifs(Transactions!$B:$B,Transactions!$C:$C,$A241,Transactions!$D:$D,"Sale")=0,"",maxifs(Transactions!$B:$B,Transactions!$C:$C,$A241,Transactions!$D:$D,"Sale")),"")</f>
        <v/>
      </c>
      <c r="AH241" s="12"/>
    </row>
    <row r="242" customFormat="false" ht="18" hidden="false" customHeight="true" outlineLevel="0" collapsed="false">
      <c r="A242" s="12" t="s">
        <v>620</v>
      </c>
      <c r="B242" s="12" t="s">
        <v>216</v>
      </c>
      <c r="C242" s="12" t="s">
        <v>204</v>
      </c>
      <c r="D242" s="12" t="s">
        <v>205</v>
      </c>
      <c r="E242" s="12" t="s">
        <v>79</v>
      </c>
      <c r="F242" s="12" t="s">
        <v>110</v>
      </c>
      <c r="G242" s="12"/>
      <c r="H242" s="12" t="s">
        <v>381</v>
      </c>
      <c r="I242" s="14" t="n">
        <v>25000</v>
      </c>
      <c r="J242" s="18" t="n">
        <f aca="false">IF($I242="","",ROUND($I242*Dropdowns!$K$5,2))</f>
        <v>65</v>
      </c>
      <c r="K242" s="19" t="n">
        <f aca="false">IF($I242="","",ROUND($I242*Dropdowns!$K$6,2))</f>
        <v>60</v>
      </c>
      <c r="L242" s="20" t="n">
        <f aca="false">IF($I242="","",ROUND($I242*Dropdowns!$K$7,2))</f>
        <v>5125</v>
      </c>
      <c r="M242" s="15" t="str">
        <f aca="false">IFERROR(IF($B242="","",VLOOKUP($B242,Designs!$A$3:$AP$165,27,FALSE())),"")</f>
        <v/>
      </c>
      <c r="N242" s="16" t="str">
        <f aca="false">IFERROR(IF(OR($I242="",$M242="",$M242=0),"",($I242-$M242)/$I242),"")</f>
        <v/>
      </c>
      <c r="O242" s="13" t="n">
        <v>0</v>
      </c>
      <c r="P242" s="13" t="n">
        <v>0</v>
      </c>
      <c r="Q242" s="21" t="n">
        <f aca="false">IF($O242="","",$O242-IF($P242="",0,$P242))</f>
        <v>0</v>
      </c>
      <c r="R242" s="13" t="n">
        <v>2</v>
      </c>
      <c r="S242" s="21" t="str">
        <f aca="false">IF($O242="","",IF($Q242&lt;=$R242,"⚠ REORDER","OK"))</f>
        <v>⚠ REORDER</v>
      </c>
      <c r="T242" s="13"/>
      <c r="U242" s="13"/>
      <c r="V242" s="13" t="s">
        <v>378</v>
      </c>
      <c r="W242" s="12" t="s">
        <v>379</v>
      </c>
      <c r="X242" s="13"/>
      <c r="Y242" s="13"/>
      <c r="Z242" s="12" t="s">
        <v>88</v>
      </c>
      <c r="AA242" s="12" t="s">
        <v>88</v>
      </c>
      <c r="AB242" s="12" t="s">
        <v>88</v>
      </c>
      <c r="AC242" s="12" t="s">
        <v>88</v>
      </c>
      <c r="AD242" s="12" t="s">
        <v>87</v>
      </c>
      <c r="AE242" s="21" t="n">
        <f aca="false">IFERROR(SUMIFS(Transactions!$F:$F,Transactions!$C:$C,$A242,Transactions!$D:$D,"Sale"),0)</f>
        <v>0</v>
      </c>
      <c r="AF242" s="15" t="n">
        <f aca="false">IFERROR(SUMIFS(Transactions!$H:$H,Transactions!$C:$C,$A242,Transactions!$D:$D,"Sale"),0)</f>
        <v>0</v>
      </c>
      <c r="AG242" s="22" t="str">
        <f aca="false">IFERROR(IF(maxifs(Transactions!$B:$B,Transactions!$C:$C,$A242,Transactions!$D:$D,"Sale")=0,"",maxifs(Transactions!$B:$B,Transactions!$C:$C,$A242,Transactions!$D:$D,"Sale")),"")</f>
        <v/>
      </c>
      <c r="AH242" s="12"/>
    </row>
    <row r="243" customFormat="false" ht="18" hidden="false" customHeight="true" outlineLevel="0" collapsed="false">
      <c r="A243" s="12" t="s">
        <v>621</v>
      </c>
      <c r="B243" s="12" t="s">
        <v>217</v>
      </c>
      <c r="C243" s="12" t="s">
        <v>204</v>
      </c>
      <c r="D243" s="12" t="s">
        <v>205</v>
      </c>
      <c r="E243" s="12" t="s">
        <v>79</v>
      </c>
      <c r="F243" s="12" t="s">
        <v>112</v>
      </c>
      <c r="G243" s="12"/>
      <c r="H243" s="12" t="s">
        <v>381</v>
      </c>
      <c r="I243" s="14" t="n">
        <v>25000</v>
      </c>
      <c r="J243" s="18" t="n">
        <f aca="false">IF($I243="","",ROUND($I243*Dropdowns!$K$5,2))</f>
        <v>65</v>
      </c>
      <c r="K243" s="19" t="n">
        <f aca="false">IF($I243="","",ROUND($I243*Dropdowns!$K$6,2))</f>
        <v>60</v>
      </c>
      <c r="L243" s="20" t="n">
        <f aca="false">IF($I243="","",ROUND($I243*Dropdowns!$K$7,2))</f>
        <v>5125</v>
      </c>
      <c r="M243" s="15" t="str">
        <f aca="false">IFERROR(IF($B243="","",VLOOKUP($B243,Designs!$A$3:$AP$165,27,FALSE())),"")</f>
        <v/>
      </c>
      <c r="N243" s="16" t="str">
        <f aca="false">IFERROR(IF(OR($I243="",$M243="",$M243=0),"",($I243-$M243)/$I243),"")</f>
        <v/>
      </c>
      <c r="O243" s="13" t="n">
        <v>0</v>
      </c>
      <c r="P243" s="13" t="n">
        <v>0</v>
      </c>
      <c r="Q243" s="21" t="n">
        <f aca="false">IF($O243="","",$O243-IF($P243="",0,$P243))</f>
        <v>0</v>
      </c>
      <c r="R243" s="13" t="n">
        <v>2</v>
      </c>
      <c r="S243" s="21" t="str">
        <f aca="false">IF($O243="","",IF($Q243&lt;=$R243,"⚠ REORDER","OK"))</f>
        <v>⚠ REORDER</v>
      </c>
      <c r="T243" s="13"/>
      <c r="U243" s="13"/>
      <c r="V243" s="13" t="s">
        <v>378</v>
      </c>
      <c r="W243" s="12" t="s">
        <v>379</v>
      </c>
      <c r="X243" s="13"/>
      <c r="Y243" s="13"/>
      <c r="Z243" s="12" t="s">
        <v>88</v>
      </c>
      <c r="AA243" s="12" t="s">
        <v>88</v>
      </c>
      <c r="AB243" s="12" t="s">
        <v>88</v>
      </c>
      <c r="AC243" s="12" t="s">
        <v>88</v>
      </c>
      <c r="AD243" s="12" t="s">
        <v>87</v>
      </c>
      <c r="AE243" s="21" t="n">
        <f aca="false">IFERROR(SUMIFS(Transactions!$F:$F,Transactions!$C:$C,$A243,Transactions!$D:$D,"Sale"),0)</f>
        <v>0</v>
      </c>
      <c r="AF243" s="15" t="n">
        <f aca="false">IFERROR(SUMIFS(Transactions!$H:$H,Transactions!$C:$C,$A243,Transactions!$D:$D,"Sale"),0)</f>
        <v>0</v>
      </c>
      <c r="AG243" s="22" t="str">
        <f aca="false">IFERROR(IF(maxifs(Transactions!$B:$B,Transactions!$C:$C,$A243,Transactions!$D:$D,"Sale")=0,"",maxifs(Transactions!$B:$B,Transactions!$C:$C,$A243,Transactions!$D:$D,"Sale")),"")</f>
        <v/>
      </c>
      <c r="AH243" s="12"/>
    </row>
    <row r="244" customFormat="false" ht="18" hidden="false" customHeight="true" outlineLevel="0" collapsed="false">
      <c r="A244" s="12" t="s">
        <v>622</v>
      </c>
      <c r="B244" s="12" t="s">
        <v>218</v>
      </c>
      <c r="C244" s="12" t="s">
        <v>204</v>
      </c>
      <c r="D244" s="12" t="s">
        <v>205</v>
      </c>
      <c r="E244" s="12" t="s">
        <v>79</v>
      </c>
      <c r="F244" s="12" t="s">
        <v>114</v>
      </c>
      <c r="G244" s="12"/>
      <c r="H244" s="12" t="s">
        <v>381</v>
      </c>
      <c r="I244" s="14" t="n">
        <v>25000</v>
      </c>
      <c r="J244" s="18" t="n">
        <f aca="false">IF($I244="","",ROUND($I244*Dropdowns!$K$5,2))</f>
        <v>65</v>
      </c>
      <c r="K244" s="19" t="n">
        <f aca="false">IF($I244="","",ROUND($I244*Dropdowns!$K$6,2))</f>
        <v>60</v>
      </c>
      <c r="L244" s="20" t="n">
        <f aca="false">IF($I244="","",ROUND($I244*Dropdowns!$K$7,2))</f>
        <v>5125</v>
      </c>
      <c r="M244" s="15" t="str">
        <f aca="false">IFERROR(IF($B244="","",VLOOKUP($B244,Designs!$A$3:$AP$165,27,FALSE())),"")</f>
        <v/>
      </c>
      <c r="N244" s="16" t="str">
        <f aca="false">IFERROR(IF(OR($I244="",$M244="",$M244=0),"",($I244-$M244)/$I244),"")</f>
        <v/>
      </c>
      <c r="O244" s="13" t="n">
        <v>0</v>
      </c>
      <c r="P244" s="13" t="n">
        <v>0</v>
      </c>
      <c r="Q244" s="21" t="n">
        <f aca="false">IF($O244="","",$O244-IF($P244="",0,$P244))</f>
        <v>0</v>
      </c>
      <c r="R244" s="13" t="n">
        <v>2</v>
      </c>
      <c r="S244" s="21" t="str">
        <f aca="false">IF($O244="","",IF($Q244&lt;=$R244,"⚠ REORDER","OK"))</f>
        <v>⚠ REORDER</v>
      </c>
      <c r="T244" s="13"/>
      <c r="U244" s="13"/>
      <c r="V244" s="13" t="s">
        <v>378</v>
      </c>
      <c r="W244" s="12" t="s">
        <v>379</v>
      </c>
      <c r="X244" s="13"/>
      <c r="Y244" s="13"/>
      <c r="Z244" s="12" t="s">
        <v>88</v>
      </c>
      <c r="AA244" s="12" t="s">
        <v>88</v>
      </c>
      <c r="AB244" s="12" t="s">
        <v>88</v>
      </c>
      <c r="AC244" s="12" t="s">
        <v>88</v>
      </c>
      <c r="AD244" s="12" t="s">
        <v>87</v>
      </c>
      <c r="AE244" s="21" t="n">
        <f aca="false">IFERROR(SUMIFS(Transactions!$F:$F,Transactions!$C:$C,$A244,Transactions!$D:$D,"Sale"),0)</f>
        <v>0</v>
      </c>
      <c r="AF244" s="15" t="n">
        <f aca="false">IFERROR(SUMIFS(Transactions!$H:$H,Transactions!$C:$C,$A244,Transactions!$D:$D,"Sale"),0)</f>
        <v>0</v>
      </c>
      <c r="AG244" s="22" t="str">
        <f aca="false">IFERROR(IF(maxifs(Transactions!$B:$B,Transactions!$C:$C,$A244,Transactions!$D:$D,"Sale")=0,"",maxifs(Transactions!$B:$B,Transactions!$C:$C,$A244,Transactions!$D:$D,"Sale")),"")</f>
        <v/>
      </c>
      <c r="AH244" s="12"/>
    </row>
    <row r="245" customFormat="false" ht="18" hidden="false" customHeight="true" outlineLevel="0" collapsed="false">
      <c r="A245" s="12" t="s">
        <v>623</v>
      </c>
      <c r="B245" s="12" t="s">
        <v>219</v>
      </c>
      <c r="C245" s="12" t="s">
        <v>204</v>
      </c>
      <c r="D245" s="12" t="s">
        <v>205</v>
      </c>
      <c r="E245" s="12" t="s">
        <v>79</v>
      </c>
      <c r="F245" s="12" t="s">
        <v>116</v>
      </c>
      <c r="G245" s="12"/>
      <c r="H245" s="12" t="s">
        <v>381</v>
      </c>
      <c r="I245" s="14" t="n">
        <v>25000</v>
      </c>
      <c r="J245" s="18" t="n">
        <f aca="false">IF($I245="","",ROUND($I245*Dropdowns!$K$5,2))</f>
        <v>65</v>
      </c>
      <c r="K245" s="19" t="n">
        <f aca="false">IF($I245="","",ROUND($I245*Dropdowns!$K$6,2))</f>
        <v>60</v>
      </c>
      <c r="L245" s="20" t="n">
        <f aca="false">IF($I245="","",ROUND($I245*Dropdowns!$K$7,2))</f>
        <v>5125</v>
      </c>
      <c r="M245" s="15" t="str">
        <f aca="false">IFERROR(IF($B245="","",VLOOKUP($B245,Designs!$A$3:$AP$165,27,FALSE())),"")</f>
        <v/>
      </c>
      <c r="N245" s="16" t="str">
        <f aca="false">IFERROR(IF(OR($I245="",$M245="",$M245=0),"",($I245-$M245)/$I245),"")</f>
        <v/>
      </c>
      <c r="O245" s="13" t="n">
        <v>0</v>
      </c>
      <c r="P245" s="13" t="n">
        <v>0</v>
      </c>
      <c r="Q245" s="21" t="n">
        <f aca="false">IF($O245="","",$O245-IF($P245="",0,$P245))</f>
        <v>0</v>
      </c>
      <c r="R245" s="13" t="n">
        <v>2</v>
      </c>
      <c r="S245" s="21" t="str">
        <f aca="false">IF($O245="","",IF($Q245&lt;=$R245,"⚠ REORDER","OK"))</f>
        <v>⚠ REORDER</v>
      </c>
      <c r="T245" s="13"/>
      <c r="U245" s="13"/>
      <c r="V245" s="13" t="s">
        <v>378</v>
      </c>
      <c r="W245" s="12" t="s">
        <v>379</v>
      </c>
      <c r="X245" s="13"/>
      <c r="Y245" s="13"/>
      <c r="Z245" s="12" t="s">
        <v>88</v>
      </c>
      <c r="AA245" s="12" t="s">
        <v>88</v>
      </c>
      <c r="AB245" s="12" t="s">
        <v>88</v>
      </c>
      <c r="AC245" s="12" t="s">
        <v>88</v>
      </c>
      <c r="AD245" s="12" t="s">
        <v>87</v>
      </c>
      <c r="AE245" s="21" t="n">
        <f aca="false">IFERROR(SUMIFS(Transactions!$F:$F,Transactions!$C:$C,$A245,Transactions!$D:$D,"Sale"),0)</f>
        <v>0</v>
      </c>
      <c r="AF245" s="15" t="n">
        <f aca="false">IFERROR(SUMIFS(Transactions!$H:$H,Transactions!$C:$C,$A245,Transactions!$D:$D,"Sale"),0)</f>
        <v>0</v>
      </c>
      <c r="AG245" s="22" t="str">
        <f aca="false">IFERROR(IF(maxifs(Transactions!$B:$B,Transactions!$C:$C,$A245,Transactions!$D:$D,"Sale")=0,"",maxifs(Transactions!$B:$B,Transactions!$C:$C,$A245,Transactions!$D:$D,"Sale")),"")</f>
        <v/>
      </c>
      <c r="AH245" s="12"/>
    </row>
    <row r="246" customFormat="false" ht="18" hidden="false" customHeight="true" outlineLevel="0" collapsed="false">
      <c r="A246" s="12" t="s">
        <v>624</v>
      </c>
      <c r="B246" s="12" t="s">
        <v>220</v>
      </c>
      <c r="C246" s="12" t="s">
        <v>204</v>
      </c>
      <c r="D246" s="12" t="s">
        <v>205</v>
      </c>
      <c r="E246" s="12" t="s">
        <v>79</v>
      </c>
      <c r="F246" s="12" t="s">
        <v>118</v>
      </c>
      <c r="G246" s="12"/>
      <c r="H246" s="12" t="s">
        <v>381</v>
      </c>
      <c r="I246" s="14" t="n">
        <v>25000</v>
      </c>
      <c r="J246" s="18" t="n">
        <f aca="false">IF($I246="","",ROUND($I246*Dropdowns!$K$5,2))</f>
        <v>65</v>
      </c>
      <c r="K246" s="19" t="n">
        <f aca="false">IF($I246="","",ROUND($I246*Dropdowns!$K$6,2))</f>
        <v>60</v>
      </c>
      <c r="L246" s="20" t="n">
        <f aca="false">IF($I246="","",ROUND($I246*Dropdowns!$K$7,2))</f>
        <v>5125</v>
      </c>
      <c r="M246" s="15" t="str">
        <f aca="false">IFERROR(IF($B246="","",VLOOKUP($B246,Designs!$A$3:$AP$165,27,FALSE())),"")</f>
        <v/>
      </c>
      <c r="N246" s="16" t="str">
        <f aca="false">IFERROR(IF(OR($I246="",$M246="",$M246=0),"",($I246-$M246)/$I246),"")</f>
        <v/>
      </c>
      <c r="O246" s="13" t="n">
        <v>0</v>
      </c>
      <c r="P246" s="13" t="n">
        <v>0</v>
      </c>
      <c r="Q246" s="21" t="n">
        <f aca="false">IF($O246="","",$O246-IF($P246="",0,$P246))</f>
        <v>0</v>
      </c>
      <c r="R246" s="13" t="n">
        <v>2</v>
      </c>
      <c r="S246" s="21" t="str">
        <f aca="false">IF($O246="","",IF($Q246&lt;=$R246,"⚠ REORDER","OK"))</f>
        <v>⚠ REORDER</v>
      </c>
      <c r="T246" s="13"/>
      <c r="U246" s="13"/>
      <c r="V246" s="13" t="s">
        <v>378</v>
      </c>
      <c r="W246" s="12" t="s">
        <v>379</v>
      </c>
      <c r="X246" s="13"/>
      <c r="Y246" s="13"/>
      <c r="Z246" s="12" t="s">
        <v>88</v>
      </c>
      <c r="AA246" s="12" t="s">
        <v>88</v>
      </c>
      <c r="AB246" s="12" t="s">
        <v>88</v>
      </c>
      <c r="AC246" s="12" t="s">
        <v>88</v>
      </c>
      <c r="AD246" s="12" t="s">
        <v>87</v>
      </c>
      <c r="AE246" s="21" t="n">
        <f aca="false">IFERROR(SUMIFS(Transactions!$F:$F,Transactions!$C:$C,$A246,Transactions!$D:$D,"Sale"),0)</f>
        <v>0</v>
      </c>
      <c r="AF246" s="15" t="n">
        <f aca="false">IFERROR(SUMIFS(Transactions!$H:$H,Transactions!$C:$C,$A246,Transactions!$D:$D,"Sale"),0)</f>
        <v>0</v>
      </c>
      <c r="AG246" s="22" t="str">
        <f aca="false">IFERROR(IF(maxifs(Transactions!$B:$B,Transactions!$C:$C,$A246,Transactions!$D:$D,"Sale")=0,"",maxifs(Transactions!$B:$B,Transactions!$C:$C,$A246,Transactions!$D:$D,"Sale")),"")</f>
        <v/>
      </c>
      <c r="AH246" s="12"/>
    </row>
    <row r="247" customFormat="false" ht="18" hidden="false" customHeight="true" outlineLevel="0" collapsed="false">
      <c r="A247" s="12" t="s">
        <v>625</v>
      </c>
      <c r="B247" s="12" t="s">
        <v>221</v>
      </c>
      <c r="C247" s="12" t="s">
        <v>204</v>
      </c>
      <c r="D247" s="12" t="s">
        <v>205</v>
      </c>
      <c r="E247" s="12" t="s">
        <v>79</v>
      </c>
      <c r="F247" s="12" t="s">
        <v>120</v>
      </c>
      <c r="G247" s="12"/>
      <c r="H247" s="12" t="s">
        <v>381</v>
      </c>
      <c r="I247" s="14" t="n">
        <v>25000</v>
      </c>
      <c r="J247" s="18" t="n">
        <f aca="false">IF($I247="","",ROUND($I247*Dropdowns!$K$5,2))</f>
        <v>65</v>
      </c>
      <c r="K247" s="19" t="n">
        <f aca="false">IF($I247="","",ROUND($I247*Dropdowns!$K$6,2))</f>
        <v>60</v>
      </c>
      <c r="L247" s="20" t="n">
        <f aca="false">IF($I247="","",ROUND($I247*Dropdowns!$K$7,2))</f>
        <v>5125</v>
      </c>
      <c r="M247" s="15" t="str">
        <f aca="false">IFERROR(IF($B247="","",VLOOKUP($B247,Designs!$A$3:$AP$165,27,FALSE())),"")</f>
        <v/>
      </c>
      <c r="N247" s="16" t="str">
        <f aca="false">IFERROR(IF(OR($I247="",$M247="",$M247=0),"",($I247-$M247)/$I247),"")</f>
        <v/>
      </c>
      <c r="O247" s="13" t="n">
        <v>0</v>
      </c>
      <c r="P247" s="13" t="n">
        <v>0</v>
      </c>
      <c r="Q247" s="21" t="n">
        <f aca="false">IF($O247="","",$O247-IF($P247="",0,$P247))</f>
        <v>0</v>
      </c>
      <c r="R247" s="13" t="n">
        <v>2</v>
      </c>
      <c r="S247" s="21" t="str">
        <f aca="false">IF($O247="","",IF($Q247&lt;=$R247,"⚠ REORDER","OK"))</f>
        <v>⚠ REORDER</v>
      </c>
      <c r="T247" s="13"/>
      <c r="U247" s="13"/>
      <c r="V247" s="13" t="s">
        <v>378</v>
      </c>
      <c r="W247" s="12" t="s">
        <v>379</v>
      </c>
      <c r="X247" s="13"/>
      <c r="Y247" s="13"/>
      <c r="Z247" s="12" t="s">
        <v>88</v>
      </c>
      <c r="AA247" s="12" t="s">
        <v>88</v>
      </c>
      <c r="AB247" s="12" t="s">
        <v>88</v>
      </c>
      <c r="AC247" s="12" t="s">
        <v>88</v>
      </c>
      <c r="AD247" s="12" t="s">
        <v>87</v>
      </c>
      <c r="AE247" s="21" t="n">
        <f aca="false">IFERROR(SUMIFS(Transactions!$F:$F,Transactions!$C:$C,$A247,Transactions!$D:$D,"Sale"),0)</f>
        <v>0</v>
      </c>
      <c r="AF247" s="15" t="n">
        <f aca="false">IFERROR(SUMIFS(Transactions!$H:$H,Transactions!$C:$C,$A247,Transactions!$D:$D,"Sale"),0)</f>
        <v>0</v>
      </c>
      <c r="AG247" s="22" t="str">
        <f aca="false">IFERROR(IF(maxifs(Transactions!$B:$B,Transactions!$C:$C,$A247,Transactions!$D:$D,"Sale")=0,"",maxifs(Transactions!$B:$B,Transactions!$C:$C,$A247,Transactions!$D:$D,"Sale")),"")</f>
        <v/>
      </c>
      <c r="AH247" s="12"/>
    </row>
    <row r="248" customFormat="false" ht="18" hidden="false" customHeight="true" outlineLevel="0" collapsed="false">
      <c r="A248" s="12" t="s">
        <v>626</v>
      </c>
      <c r="B248" s="12" t="s">
        <v>222</v>
      </c>
      <c r="C248" s="12" t="s">
        <v>204</v>
      </c>
      <c r="D248" s="12" t="s">
        <v>205</v>
      </c>
      <c r="E248" s="12" t="s">
        <v>79</v>
      </c>
      <c r="F248" s="12" t="s">
        <v>122</v>
      </c>
      <c r="G248" s="12"/>
      <c r="H248" s="12" t="s">
        <v>381</v>
      </c>
      <c r="I248" s="14" t="n">
        <v>25000</v>
      </c>
      <c r="J248" s="18" t="n">
        <f aca="false">IF($I248="","",ROUND($I248*Dropdowns!$K$5,2))</f>
        <v>65</v>
      </c>
      <c r="K248" s="19" t="n">
        <f aca="false">IF($I248="","",ROUND($I248*Dropdowns!$K$6,2))</f>
        <v>60</v>
      </c>
      <c r="L248" s="20" t="n">
        <f aca="false">IF($I248="","",ROUND($I248*Dropdowns!$K$7,2))</f>
        <v>5125</v>
      </c>
      <c r="M248" s="15" t="str">
        <f aca="false">IFERROR(IF($B248="","",VLOOKUP($B248,Designs!$A$3:$AP$165,27,FALSE())),"")</f>
        <v/>
      </c>
      <c r="N248" s="16" t="str">
        <f aca="false">IFERROR(IF(OR($I248="",$M248="",$M248=0),"",($I248-$M248)/$I248),"")</f>
        <v/>
      </c>
      <c r="O248" s="13" t="n">
        <v>0</v>
      </c>
      <c r="P248" s="13" t="n">
        <v>0</v>
      </c>
      <c r="Q248" s="21" t="n">
        <f aca="false">IF($O248="","",$O248-IF($P248="",0,$P248))</f>
        <v>0</v>
      </c>
      <c r="R248" s="13" t="n">
        <v>2</v>
      </c>
      <c r="S248" s="21" t="str">
        <f aca="false">IF($O248="","",IF($Q248&lt;=$R248,"⚠ REORDER","OK"))</f>
        <v>⚠ REORDER</v>
      </c>
      <c r="T248" s="13"/>
      <c r="U248" s="13"/>
      <c r="V248" s="13" t="s">
        <v>378</v>
      </c>
      <c r="W248" s="12" t="s">
        <v>379</v>
      </c>
      <c r="X248" s="13"/>
      <c r="Y248" s="13"/>
      <c r="Z248" s="12" t="s">
        <v>88</v>
      </c>
      <c r="AA248" s="12" t="s">
        <v>88</v>
      </c>
      <c r="AB248" s="12" t="s">
        <v>88</v>
      </c>
      <c r="AC248" s="12" t="s">
        <v>88</v>
      </c>
      <c r="AD248" s="12" t="s">
        <v>87</v>
      </c>
      <c r="AE248" s="21" t="n">
        <f aca="false">IFERROR(SUMIFS(Transactions!$F:$F,Transactions!$C:$C,$A248,Transactions!$D:$D,"Sale"),0)</f>
        <v>0</v>
      </c>
      <c r="AF248" s="15" t="n">
        <f aca="false">IFERROR(SUMIFS(Transactions!$H:$H,Transactions!$C:$C,$A248,Transactions!$D:$D,"Sale"),0)</f>
        <v>0</v>
      </c>
      <c r="AG248" s="22" t="str">
        <f aca="false">IFERROR(IF(maxifs(Transactions!$B:$B,Transactions!$C:$C,$A248,Transactions!$D:$D,"Sale")=0,"",maxifs(Transactions!$B:$B,Transactions!$C:$C,$A248,Transactions!$D:$D,"Sale")),"")</f>
        <v/>
      </c>
      <c r="AH248" s="12"/>
    </row>
    <row r="249" customFormat="false" ht="18" hidden="false" customHeight="true" outlineLevel="0" collapsed="false">
      <c r="A249" s="12" t="s">
        <v>627</v>
      </c>
      <c r="B249" s="12" t="s">
        <v>223</v>
      </c>
      <c r="C249" s="12" t="s">
        <v>204</v>
      </c>
      <c r="D249" s="12" t="s">
        <v>205</v>
      </c>
      <c r="E249" s="12" t="s">
        <v>79</v>
      </c>
      <c r="F249" s="12" t="s">
        <v>124</v>
      </c>
      <c r="G249" s="12"/>
      <c r="H249" s="12" t="s">
        <v>381</v>
      </c>
      <c r="I249" s="14" t="n">
        <v>25000</v>
      </c>
      <c r="J249" s="18" t="n">
        <f aca="false">IF($I249="","",ROUND($I249*Dropdowns!$K$5,2))</f>
        <v>65</v>
      </c>
      <c r="K249" s="19" t="n">
        <f aca="false">IF($I249="","",ROUND($I249*Dropdowns!$K$6,2))</f>
        <v>60</v>
      </c>
      <c r="L249" s="20" t="n">
        <f aca="false">IF($I249="","",ROUND($I249*Dropdowns!$K$7,2))</f>
        <v>5125</v>
      </c>
      <c r="M249" s="15" t="str">
        <f aca="false">IFERROR(IF($B249="","",VLOOKUP($B249,Designs!$A$3:$AP$165,27,FALSE())),"")</f>
        <v/>
      </c>
      <c r="N249" s="16" t="str">
        <f aca="false">IFERROR(IF(OR($I249="",$M249="",$M249=0),"",($I249-$M249)/$I249),"")</f>
        <v/>
      </c>
      <c r="O249" s="13" t="n">
        <v>0</v>
      </c>
      <c r="P249" s="13" t="n">
        <v>0</v>
      </c>
      <c r="Q249" s="21" t="n">
        <f aca="false">IF($O249="","",$O249-IF($P249="",0,$P249))</f>
        <v>0</v>
      </c>
      <c r="R249" s="13" t="n">
        <v>2</v>
      </c>
      <c r="S249" s="21" t="str">
        <f aca="false">IF($O249="","",IF($Q249&lt;=$R249,"⚠ REORDER","OK"))</f>
        <v>⚠ REORDER</v>
      </c>
      <c r="T249" s="13"/>
      <c r="U249" s="13"/>
      <c r="V249" s="13" t="s">
        <v>378</v>
      </c>
      <c r="W249" s="12" t="s">
        <v>379</v>
      </c>
      <c r="X249" s="13"/>
      <c r="Y249" s="13"/>
      <c r="Z249" s="12" t="s">
        <v>88</v>
      </c>
      <c r="AA249" s="12" t="s">
        <v>88</v>
      </c>
      <c r="AB249" s="12" t="s">
        <v>88</v>
      </c>
      <c r="AC249" s="12" t="s">
        <v>88</v>
      </c>
      <c r="AD249" s="12" t="s">
        <v>87</v>
      </c>
      <c r="AE249" s="21" t="n">
        <f aca="false">IFERROR(SUMIFS(Transactions!$F:$F,Transactions!$C:$C,$A249,Transactions!$D:$D,"Sale"),0)</f>
        <v>0</v>
      </c>
      <c r="AF249" s="15" t="n">
        <f aca="false">IFERROR(SUMIFS(Transactions!$H:$H,Transactions!$C:$C,$A249,Transactions!$D:$D,"Sale"),0)</f>
        <v>0</v>
      </c>
      <c r="AG249" s="22" t="str">
        <f aca="false">IFERROR(IF(maxifs(Transactions!$B:$B,Transactions!$C:$C,$A249,Transactions!$D:$D,"Sale")=0,"",maxifs(Transactions!$B:$B,Transactions!$C:$C,$A249,Transactions!$D:$D,"Sale")),"")</f>
        <v/>
      </c>
      <c r="AH249" s="12"/>
    </row>
    <row r="250" customFormat="false" ht="18" hidden="false" customHeight="true" outlineLevel="0" collapsed="false">
      <c r="A250" s="12" t="s">
        <v>628</v>
      </c>
      <c r="B250" s="12" t="s">
        <v>224</v>
      </c>
      <c r="C250" s="12" t="s">
        <v>204</v>
      </c>
      <c r="D250" s="12" t="s">
        <v>205</v>
      </c>
      <c r="E250" s="12" t="s">
        <v>79</v>
      </c>
      <c r="F250" s="12" t="s">
        <v>126</v>
      </c>
      <c r="G250" s="12"/>
      <c r="H250" s="12" t="s">
        <v>381</v>
      </c>
      <c r="I250" s="14" t="n">
        <v>25000</v>
      </c>
      <c r="J250" s="18" t="n">
        <f aca="false">IF($I250="","",ROUND($I250*Dropdowns!$K$5,2))</f>
        <v>65</v>
      </c>
      <c r="K250" s="19" t="n">
        <f aca="false">IF($I250="","",ROUND($I250*Dropdowns!$K$6,2))</f>
        <v>60</v>
      </c>
      <c r="L250" s="20" t="n">
        <f aca="false">IF($I250="","",ROUND($I250*Dropdowns!$K$7,2))</f>
        <v>5125</v>
      </c>
      <c r="M250" s="15" t="str">
        <f aca="false">IFERROR(IF($B250="","",VLOOKUP($B250,Designs!$A$3:$AP$165,27,FALSE())),"")</f>
        <v/>
      </c>
      <c r="N250" s="16" t="str">
        <f aca="false">IFERROR(IF(OR($I250="",$M250="",$M250=0),"",($I250-$M250)/$I250),"")</f>
        <v/>
      </c>
      <c r="O250" s="13" t="n">
        <v>0</v>
      </c>
      <c r="P250" s="13" t="n">
        <v>0</v>
      </c>
      <c r="Q250" s="21" t="n">
        <f aca="false">IF($O250="","",$O250-IF($P250="",0,$P250))</f>
        <v>0</v>
      </c>
      <c r="R250" s="13" t="n">
        <v>2</v>
      </c>
      <c r="S250" s="21" t="str">
        <f aca="false">IF($O250="","",IF($Q250&lt;=$R250,"⚠ REORDER","OK"))</f>
        <v>⚠ REORDER</v>
      </c>
      <c r="T250" s="13"/>
      <c r="U250" s="13"/>
      <c r="V250" s="13" t="s">
        <v>378</v>
      </c>
      <c r="W250" s="12" t="s">
        <v>379</v>
      </c>
      <c r="X250" s="13"/>
      <c r="Y250" s="13"/>
      <c r="Z250" s="12" t="s">
        <v>88</v>
      </c>
      <c r="AA250" s="12" t="s">
        <v>88</v>
      </c>
      <c r="AB250" s="12" t="s">
        <v>88</v>
      </c>
      <c r="AC250" s="12" t="s">
        <v>88</v>
      </c>
      <c r="AD250" s="12" t="s">
        <v>87</v>
      </c>
      <c r="AE250" s="21" t="n">
        <f aca="false">IFERROR(SUMIFS(Transactions!$F:$F,Transactions!$C:$C,$A250,Transactions!$D:$D,"Sale"),0)</f>
        <v>0</v>
      </c>
      <c r="AF250" s="15" t="n">
        <f aca="false">IFERROR(SUMIFS(Transactions!$H:$H,Transactions!$C:$C,$A250,Transactions!$D:$D,"Sale"),0)</f>
        <v>0</v>
      </c>
      <c r="AG250" s="22" t="str">
        <f aca="false">IFERROR(IF(maxifs(Transactions!$B:$B,Transactions!$C:$C,$A250,Transactions!$D:$D,"Sale")=0,"",maxifs(Transactions!$B:$B,Transactions!$C:$C,$A250,Transactions!$D:$D,"Sale")),"")</f>
        <v/>
      </c>
      <c r="AH250" s="12"/>
    </row>
    <row r="251" customFormat="false" ht="18" hidden="false" customHeight="true" outlineLevel="0" collapsed="false">
      <c r="A251" s="12" t="s">
        <v>629</v>
      </c>
      <c r="B251" s="12" t="s">
        <v>225</v>
      </c>
      <c r="C251" s="12" t="s">
        <v>204</v>
      </c>
      <c r="D251" s="12" t="s">
        <v>205</v>
      </c>
      <c r="E251" s="12" t="s">
        <v>79</v>
      </c>
      <c r="F251" s="12" t="s">
        <v>128</v>
      </c>
      <c r="G251" s="12"/>
      <c r="H251" s="12" t="s">
        <v>381</v>
      </c>
      <c r="I251" s="14" t="n">
        <v>25000</v>
      </c>
      <c r="J251" s="18" t="n">
        <f aca="false">IF($I251="","",ROUND($I251*Dropdowns!$K$5,2))</f>
        <v>65</v>
      </c>
      <c r="K251" s="19" t="n">
        <f aca="false">IF($I251="","",ROUND($I251*Dropdowns!$K$6,2))</f>
        <v>60</v>
      </c>
      <c r="L251" s="20" t="n">
        <f aca="false">IF($I251="","",ROUND($I251*Dropdowns!$K$7,2))</f>
        <v>5125</v>
      </c>
      <c r="M251" s="15" t="str">
        <f aca="false">IFERROR(IF($B251="","",VLOOKUP($B251,Designs!$A$3:$AP$165,27,FALSE())),"")</f>
        <v/>
      </c>
      <c r="N251" s="16" t="str">
        <f aca="false">IFERROR(IF(OR($I251="",$M251="",$M251=0),"",($I251-$M251)/$I251),"")</f>
        <v/>
      </c>
      <c r="O251" s="13" t="n">
        <v>0</v>
      </c>
      <c r="P251" s="13" t="n">
        <v>0</v>
      </c>
      <c r="Q251" s="21" t="n">
        <f aca="false">IF($O251="","",$O251-IF($P251="",0,$P251))</f>
        <v>0</v>
      </c>
      <c r="R251" s="13" t="n">
        <v>2</v>
      </c>
      <c r="S251" s="21" t="str">
        <f aca="false">IF($O251="","",IF($Q251&lt;=$R251,"⚠ REORDER","OK"))</f>
        <v>⚠ REORDER</v>
      </c>
      <c r="T251" s="13"/>
      <c r="U251" s="13"/>
      <c r="V251" s="13" t="s">
        <v>378</v>
      </c>
      <c r="W251" s="12" t="s">
        <v>379</v>
      </c>
      <c r="X251" s="13"/>
      <c r="Y251" s="13"/>
      <c r="Z251" s="12" t="s">
        <v>88</v>
      </c>
      <c r="AA251" s="12" t="s">
        <v>88</v>
      </c>
      <c r="AB251" s="12" t="s">
        <v>88</v>
      </c>
      <c r="AC251" s="12" t="s">
        <v>88</v>
      </c>
      <c r="AD251" s="12" t="s">
        <v>87</v>
      </c>
      <c r="AE251" s="21" t="n">
        <f aca="false">IFERROR(SUMIFS(Transactions!$F:$F,Transactions!$C:$C,$A251,Transactions!$D:$D,"Sale"),0)</f>
        <v>0</v>
      </c>
      <c r="AF251" s="15" t="n">
        <f aca="false">IFERROR(SUMIFS(Transactions!$H:$H,Transactions!$C:$C,$A251,Transactions!$D:$D,"Sale"),0)</f>
        <v>0</v>
      </c>
      <c r="AG251" s="22" t="str">
        <f aca="false">IFERROR(IF(maxifs(Transactions!$B:$B,Transactions!$C:$C,$A251,Transactions!$D:$D,"Sale")=0,"",maxifs(Transactions!$B:$B,Transactions!$C:$C,$A251,Transactions!$D:$D,"Sale")),"")</f>
        <v/>
      </c>
      <c r="AH251" s="12"/>
    </row>
    <row r="252" customFormat="false" ht="18" hidden="false" customHeight="true" outlineLevel="0" collapsed="false">
      <c r="A252" s="12" t="s">
        <v>630</v>
      </c>
      <c r="B252" s="12" t="s">
        <v>226</v>
      </c>
      <c r="C252" s="12" t="s">
        <v>204</v>
      </c>
      <c r="D252" s="12" t="s">
        <v>205</v>
      </c>
      <c r="E252" s="12" t="s">
        <v>79</v>
      </c>
      <c r="F252" s="12" t="s">
        <v>130</v>
      </c>
      <c r="G252" s="12"/>
      <c r="H252" s="12" t="s">
        <v>381</v>
      </c>
      <c r="I252" s="14" t="n">
        <v>25000</v>
      </c>
      <c r="J252" s="18" t="n">
        <f aca="false">IF($I252="","",ROUND($I252*Dropdowns!$K$5,2))</f>
        <v>65</v>
      </c>
      <c r="K252" s="19" t="n">
        <f aca="false">IF($I252="","",ROUND($I252*Dropdowns!$K$6,2))</f>
        <v>60</v>
      </c>
      <c r="L252" s="20" t="n">
        <f aca="false">IF($I252="","",ROUND($I252*Dropdowns!$K$7,2))</f>
        <v>5125</v>
      </c>
      <c r="M252" s="15" t="str">
        <f aca="false">IFERROR(IF($B252="","",VLOOKUP($B252,Designs!$A$3:$AP$165,27,FALSE())),"")</f>
        <v/>
      </c>
      <c r="N252" s="16" t="str">
        <f aca="false">IFERROR(IF(OR($I252="",$M252="",$M252=0),"",($I252-$M252)/$I252),"")</f>
        <v/>
      </c>
      <c r="O252" s="13" t="n">
        <v>0</v>
      </c>
      <c r="P252" s="13" t="n">
        <v>0</v>
      </c>
      <c r="Q252" s="21" t="n">
        <f aca="false">IF($O252="","",$O252-IF($P252="",0,$P252))</f>
        <v>0</v>
      </c>
      <c r="R252" s="13" t="n">
        <v>2</v>
      </c>
      <c r="S252" s="21" t="str">
        <f aca="false">IF($O252="","",IF($Q252&lt;=$R252,"⚠ REORDER","OK"))</f>
        <v>⚠ REORDER</v>
      </c>
      <c r="T252" s="13"/>
      <c r="U252" s="13"/>
      <c r="V252" s="13" t="s">
        <v>378</v>
      </c>
      <c r="W252" s="12" t="s">
        <v>379</v>
      </c>
      <c r="X252" s="13"/>
      <c r="Y252" s="13"/>
      <c r="Z252" s="12" t="s">
        <v>88</v>
      </c>
      <c r="AA252" s="12" t="s">
        <v>88</v>
      </c>
      <c r="AB252" s="12" t="s">
        <v>88</v>
      </c>
      <c r="AC252" s="12" t="s">
        <v>88</v>
      </c>
      <c r="AD252" s="12" t="s">
        <v>87</v>
      </c>
      <c r="AE252" s="21" t="n">
        <f aca="false">IFERROR(SUMIFS(Transactions!$F:$F,Transactions!$C:$C,$A252,Transactions!$D:$D,"Sale"),0)</f>
        <v>0</v>
      </c>
      <c r="AF252" s="15" t="n">
        <f aca="false">IFERROR(SUMIFS(Transactions!$H:$H,Transactions!$C:$C,$A252,Transactions!$D:$D,"Sale"),0)</f>
        <v>0</v>
      </c>
      <c r="AG252" s="22" t="str">
        <f aca="false">IFERROR(IF(maxifs(Transactions!$B:$B,Transactions!$C:$C,$A252,Transactions!$D:$D,"Sale")=0,"",maxifs(Transactions!$B:$B,Transactions!$C:$C,$A252,Transactions!$D:$D,"Sale")),"")</f>
        <v/>
      </c>
      <c r="AH252" s="12"/>
    </row>
    <row r="253" customFormat="false" ht="18" hidden="false" customHeight="true" outlineLevel="0" collapsed="false">
      <c r="A253" s="12" t="s">
        <v>631</v>
      </c>
      <c r="B253" s="12" t="s">
        <v>227</v>
      </c>
      <c r="C253" s="12" t="s">
        <v>204</v>
      </c>
      <c r="D253" s="12" t="s">
        <v>205</v>
      </c>
      <c r="E253" s="12" t="s">
        <v>79</v>
      </c>
      <c r="F253" s="12" t="s">
        <v>132</v>
      </c>
      <c r="G253" s="12"/>
      <c r="H253" s="12" t="s">
        <v>381</v>
      </c>
      <c r="I253" s="14" t="n">
        <v>25000</v>
      </c>
      <c r="J253" s="18" t="n">
        <f aca="false">IF($I253="","",ROUND($I253*Dropdowns!$K$5,2))</f>
        <v>65</v>
      </c>
      <c r="K253" s="19" t="n">
        <f aca="false">IF($I253="","",ROUND($I253*Dropdowns!$K$6,2))</f>
        <v>60</v>
      </c>
      <c r="L253" s="20" t="n">
        <f aca="false">IF($I253="","",ROUND($I253*Dropdowns!$K$7,2))</f>
        <v>5125</v>
      </c>
      <c r="M253" s="15" t="str">
        <f aca="false">IFERROR(IF($B253="","",VLOOKUP($B253,Designs!$A$3:$AP$165,27,FALSE())),"")</f>
        <v/>
      </c>
      <c r="N253" s="16" t="str">
        <f aca="false">IFERROR(IF(OR($I253="",$M253="",$M253=0),"",($I253-$M253)/$I253),"")</f>
        <v/>
      </c>
      <c r="O253" s="13" t="n">
        <v>0</v>
      </c>
      <c r="P253" s="13" t="n">
        <v>0</v>
      </c>
      <c r="Q253" s="21" t="n">
        <f aca="false">IF($O253="","",$O253-IF($P253="",0,$P253))</f>
        <v>0</v>
      </c>
      <c r="R253" s="13" t="n">
        <v>2</v>
      </c>
      <c r="S253" s="21" t="str">
        <f aca="false">IF($O253="","",IF($Q253&lt;=$R253,"⚠ REORDER","OK"))</f>
        <v>⚠ REORDER</v>
      </c>
      <c r="T253" s="13"/>
      <c r="U253" s="13"/>
      <c r="V253" s="13" t="s">
        <v>378</v>
      </c>
      <c r="W253" s="12" t="s">
        <v>379</v>
      </c>
      <c r="X253" s="13"/>
      <c r="Y253" s="13"/>
      <c r="Z253" s="12" t="s">
        <v>88</v>
      </c>
      <c r="AA253" s="12" t="s">
        <v>88</v>
      </c>
      <c r="AB253" s="12" t="s">
        <v>88</v>
      </c>
      <c r="AC253" s="12" t="s">
        <v>88</v>
      </c>
      <c r="AD253" s="12" t="s">
        <v>87</v>
      </c>
      <c r="AE253" s="21" t="n">
        <f aca="false">IFERROR(SUMIFS(Transactions!$F:$F,Transactions!$C:$C,$A253,Transactions!$D:$D,"Sale"),0)</f>
        <v>0</v>
      </c>
      <c r="AF253" s="15" t="n">
        <f aca="false">IFERROR(SUMIFS(Transactions!$H:$H,Transactions!$C:$C,$A253,Transactions!$D:$D,"Sale"),0)</f>
        <v>0</v>
      </c>
      <c r="AG253" s="22" t="str">
        <f aca="false">IFERROR(IF(maxifs(Transactions!$B:$B,Transactions!$C:$C,$A253,Transactions!$D:$D,"Sale")=0,"",maxifs(Transactions!$B:$B,Transactions!$C:$C,$A253,Transactions!$D:$D,"Sale")),"")</f>
        <v/>
      </c>
      <c r="AH253" s="12"/>
    </row>
    <row r="254" customFormat="false" ht="18" hidden="false" customHeight="true" outlineLevel="0" collapsed="false">
      <c r="A254" s="12" t="s">
        <v>632</v>
      </c>
      <c r="B254" s="12" t="s">
        <v>228</v>
      </c>
      <c r="C254" s="12" t="s">
        <v>204</v>
      </c>
      <c r="D254" s="12" t="s">
        <v>205</v>
      </c>
      <c r="E254" s="12" t="s">
        <v>79</v>
      </c>
      <c r="F254" s="12" t="s">
        <v>134</v>
      </c>
      <c r="G254" s="12"/>
      <c r="H254" s="12" t="s">
        <v>381</v>
      </c>
      <c r="I254" s="14" t="n">
        <v>25000</v>
      </c>
      <c r="J254" s="18" t="n">
        <f aca="false">IF($I254="","",ROUND($I254*Dropdowns!$K$5,2))</f>
        <v>65</v>
      </c>
      <c r="K254" s="19" t="n">
        <f aca="false">IF($I254="","",ROUND($I254*Dropdowns!$K$6,2))</f>
        <v>60</v>
      </c>
      <c r="L254" s="20" t="n">
        <f aca="false">IF($I254="","",ROUND($I254*Dropdowns!$K$7,2))</f>
        <v>5125</v>
      </c>
      <c r="M254" s="15" t="str">
        <f aca="false">IFERROR(IF($B254="","",VLOOKUP($B254,Designs!$A$3:$AP$165,27,FALSE())),"")</f>
        <v/>
      </c>
      <c r="N254" s="16" t="str">
        <f aca="false">IFERROR(IF(OR($I254="",$M254="",$M254=0),"",($I254-$M254)/$I254),"")</f>
        <v/>
      </c>
      <c r="O254" s="13" t="n">
        <v>0</v>
      </c>
      <c r="P254" s="13" t="n">
        <v>0</v>
      </c>
      <c r="Q254" s="21" t="n">
        <f aca="false">IF($O254="","",$O254-IF($P254="",0,$P254))</f>
        <v>0</v>
      </c>
      <c r="R254" s="13" t="n">
        <v>2</v>
      </c>
      <c r="S254" s="21" t="str">
        <f aca="false">IF($O254="","",IF($Q254&lt;=$R254,"⚠ REORDER","OK"))</f>
        <v>⚠ REORDER</v>
      </c>
      <c r="T254" s="13"/>
      <c r="U254" s="13"/>
      <c r="V254" s="13" t="s">
        <v>378</v>
      </c>
      <c r="W254" s="12" t="s">
        <v>379</v>
      </c>
      <c r="X254" s="13"/>
      <c r="Y254" s="13"/>
      <c r="Z254" s="12" t="s">
        <v>88</v>
      </c>
      <c r="AA254" s="12" t="s">
        <v>88</v>
      </c>
      <c r="AB254" s="12" t="s">
        <v>88</v>
      </c>
      <c r="AC254" s="12" t="s">
        <v>88</v>
      </c>
      <c r="AD254" s="12" t="s">
        <v>87</v>
      </c>
      <c r="AE254" s="21" t="n">
        <f aca="false">IFERROR(SUMIFS(Transactions!$F:$F,Transactions!$C:$C,$A254,Transactions!$D:$D,"Sale"),0)</f>
        <v>0</v>
      </c>
      <c r="AF254" s="15" t="n">
        <f aca="false">IFERROR(SUMIFS(Transactions!$H:$H,Transactions!$C:$C,$A254,Transactions!$D:$D,"Sale"),0)</f>
        <v>0</v>
      </c>
      <c r="AG254" s="22" t="str">
        <f aca="false">IFERROR(IF(maxifs(Transactions!$B:$B,Transactions!$C:$C,$A254,Transactions!$D:$D,"Sale")=0,"",maxifs(Transactions!$B:$B,Transactions!$C:$C,$A254,Transactions!$D:$D,"Sale")),"")</f>
        <v/>
      </c>
      <c r="AH254" s="12"/>
    </row>
    <row r="255" customFormat="false" ht="18" hidden="false" customHeight="true" outlineLevel="0" collapsed="false">
      <c r="A255" s="12" t="s">
        <v>633</v>
      </c>
      <c r="B255" s="12" t="s">
        <v>229</v>
      </c>
      <c r="C255" s="12" t="s">
        <v>204</v>
      </c>
      <c r="D255" s="12" t="s">
        <v>205</v>
      </c>
      <c r="E255" s="12" t="s">
        <v>79</v>
      </c>
      <c r="F255" s="12" t="s">
        <v>136</v>
      </c>
      <c r="G255" s="12"/>
      <c r="H255" s="12" t="s">
        <v>381</v>
      </c>
      <c r="I255" s="14" t="n">
        <v>25000</v>
      </c>
      <c r="J255" s="18" t="n">
        <f aca="false">IF($I255="","",ROUND($I255*Dropdowns!$K$5,2))</f>
        <v>65</v>
      </c>
      <c r="K255" s="19" t="n">
        <f aca="false">IF($I255="","",ROUND($I255*Dropdowns!$K$6,2))</f>
        <v>60</v>
      </c>
      <c r="L255" s="20" t="n">
        <f aca="false">IF($I255="","",ROUND($I255*Dropdowns!$K$7,2))</f>
        <v>5125</v>
      </c>
      <c r="M255" s="15" t="str">
        <f aca="false">IFERROR(IF($B255="","",VLOOKUP($B255,Designs!$A$3:$AP$165,27,FALSE())),"")</f>
        <v/>
      </c>
      <c r="N255" s="16" t="str">
        <f aca="false">IFERROR(IF(OR($I255="",$M255="",$M255=0),"",($I255-$M255)/$I255),"")</f>
        <v/>
      </c>
      <c r="O255" s="13" t="n">
        <v>0</v>
      </c>
      <c r="P255" s="13" t="n">
        <v>0</v>
      </c>
      <c r="Q255" s="21" t="n">
        <f aca="false">IF($O255="","",$O255-IF($P255="",0,$P255))</f>
        <v>0</v>
      </c>
      <c r="R255" s="13" t="n">
        <v>2</v>
      </c>
      <c r="S255" s="21" t="str">
        <f aca="false">IF($O255="","",IF($Q255&lt;=$R255,"⚠ REORDER","OK"))</f>
        <v>⚠ REORDER</v>
      </c>
      <c r="T255" s="13"/>
      <c r="U255" s="13"/>
      <c r="V255" s="13" t="s">
        <v>378</v>
      </c>
      <c r="W255" s="12" t="s">
        <v>379</v>
      </c>
      <c r="X255" s="13"/>
      <c r="Y255" s="13"/>
      <c r="Z255" s="12" t="s">
        <v>88</v>
      </c>
      <c r="AA255" s="12" t="s">
        <v>88</v>
      </c>
      <c r="AB255" s="12" t="s">
        <v>88</v>
      </c>
      <c r="AC255" s="12" t="s">
        <v>88</v>
      </c>
      <c r="AD255" s="12" t="s">
        <v>87</v>
      </c>
      <c r="AE255" s="21" t="n">
        <f aca="false">IFERROR(SUMIFS(Transactions!$F:$F,Transactions!$C:$C,$A255,Transactions!$D:$D,"Sale"),0)</f>
        <v>0</v>
      </c>
      <c r="AF255" s="15" t="n">
        <f aca="false">IFERROR(SUMIFS(Transactions!$H:$H,Transactions!$C:$C,$A255,Transactions!$D:$D,"Sale"),0)</f>
        <v>0</v>
      </c>
      <c r="AG255" s="22" t="str">
        <f aca="false">IFERROR(IF(maxifs(Transactions!$B:$B,Transactions!$C:$C,$A255,Transactions!$D:$D,"Sale")=0,"",maxifs(Transactions!$B:$B,Transactions!$C:$C,$A255,Transactions!$D:$D,"Sale")),"")</f>
        <v/>
      </c>
      <c r="AH255" s="12"/>
    </row>
    <row r="256" customFormat="false" ht="18" hidden="false" customHeight="true" outlineLevel="0" collapsed="false">
      <c r="A256" s="12" t="s">
        <v>634</v>
      </c>
      <c r="B256" s="12" t="s">
        <v>230</v>
      </c>
      <c r="C256" s="12" t="s">
        <v>204</v>
      </c>
      <c r="D256" s="12" t="s">
        <v>205</v>
      </c>
      <c r="E256" s="12" t="s">
        <v>79</v>
      </c>
      <c r="F256" s="12" t="s">
        <v>138</v>
      </c>
      <c r="G256" s="12"/>
      <c r="H256" s="12" t="s">
        <v>381</v>
      </c>
      <c r="I256" s="14" t="n">
        <v>25000</v>
      </c>
      <c r="J256" s="18" t="n">
        <f aca="false">IF($I256="","",ROUND($I256*Dropdowns!$K$5,2))</f>
        <v>65</v>
      </c>
      <c r="K256" s="19" t="n">
        <f aca="false">IF($I256="","",ROUND($I256*Dropdowns!$K$6,2))</f>
        <v>60</v>
      </c>
      <c r="L256" s="20" t="n">
        <f aca="false">IF($I256="","",ROUND($I256*Dropdowns!$K$7,2))</f>
        <v>5125</v>
      </c>
      <c r="M256" s="15" t="str">
        <f aca="false">IFERROR(IF($B256="","",VLOOKUP($B256,Designs!$A$3:$AP$165,27,FALSE())),"")</f>
        <v/>
      </c>
      <c r="N256" s="16" t="str">
        <f aca="false">IFERROR(IF(OR($I256="",$M256="",$M256=0),"",($I256-$M256)/$I256),"")</f>
        <v/>
      </c>
      <c r="O256" s="13" t="n">
        <v>0</v>
      </c>
      <c r="P256" s="13" t="n">
        <v>0</v>
      </c>
      <c r="Q256" s="21" t="n">
        <f aca="false">IF($O256="","",$O256-IF($P256="",0,$P256))</f>
        <v>0</v>
      </c>
      <c r="R256" s="13" t="n">
        <v>2</v>
      </c>
      <c r="S256" s="21" t="str">
        <f aca="false">IF($O256="","",IF($Q256&lt;=$R256,"⚠ REORDER","OK"))</f>
        <v>⚠ REORDER</v>
      </c>
      <c r="T256" s="13"/>
      <c r="U256" s="13"/>
      <c r="V256" s="13" t="s">
        <v>378</v>
      </c>
      <c r="W256" s="12" t="s">
        <v>379</v>
      </c>
      <c r="X256" s="13"/>
      <c r="Y256" s="13"/>
      <c r="Z256" s="12" t="s">
        <v>88</v>
      </c>
      <c r="AA256" s="12" t="s">
        <v>88</v>
      </c>
      <c r="AB256" s="12" t="s">
        <v>88</v>
      </c>
      <c r="AC256" s="12" t="s">
        <v>88</v>
      </c>
      <c r="AD256" s="12" t="s">
        <v>87</v>
      </c>
      <c r="AE256" s="21" t="n">
        <f aca="false">IFERROR(SUMIFS(Transactions!$F:$F,Transactions!$C:$C,$A256,Transactions!$D:$D,"Sale"),0)</f>
        <v>0</v>
      </c>
      <c r="AF256" s="15" t="n">
        <f aca="false">IFERROR(SUMIFS(Transactions!$H:$H,Transactions!$C:$C,$A256,Transactions!$D:$D,"Sale"),0)</f>
        <v>0</v>
      </c>
      <c r="AG256" s="22" t="str">
        <f aca="false">IFERROR(IF(maxifs(Transactions!$B:$B,Transactions!$C:$C,$A256,Transactions!$D:$D,"Sale")=0,"",maxifs(Transactions!$B:$B,Transactions!$C:$C,$A256,Transactions!$D:$D,"Sale")),"")</f>
        <v/>
      </c>
      <c r="AH256" s="12"/>
    </row>
    <row r="257" customFormat="false" ht="18" hidden="false" customHeight="true" outlineLevel="0" collapsed="false">
      <c r="A257" s="12" t="s">
        <v>635</v>
      </c>
      <c r="B257" s="12" t="s">
        <v>231</v>
      </c>
      <c r="C257" s="12" t="s">
        <v>204</v>
      </c>
      <c r="D257" s="12" t="s">
        <v>205</v>
      </c>
      <c r="E257" s="12" t="s">
        <v>79</v>
      </c>
      <c r="F257" s="12" t="s">
        <v>140</v>
      </c>
      <c r="G257" s="12"/>
      <c r="H257" s="12" t="s">
        <v>381</v>
      </c>
      <c r="I257" s="14" t="n">
        <v>25000</v>
      </c>
      <c r="J257" s="18" t="n">
        <f aca="false">IF($I257="","",ROUND($I257*Dropdowns!$K$5,2))</f>
        <v>65</v>
      </c>
      <c r="K257" s="19" t="n">
        <f aca="false">IF($I257="","",ROUND($I257*Dropdowns!$K$6,2))</f>
        <v>60</v>
      </c>
      <c r="L257" s="20" t="n">
        <f aca="false">IF($I257="","",ROUND($I257*Dropdowns!$K$7,2))</f>
        <v>5125</v>
      </c>
      <c r="M257" s="15" t="str">
        <f aca="false">IFERROR(IF($B257="","",VLOOKUP($B257,Designs!$A$3:$AP$165,27,FALSE())),"")</f>
        <v/>
      </c>
      <c r="N257" s="16" t="str">
        <f aca="false">IFERROR(IF(OR($I257="",$M257="",$M257=0),"",($I257-$M257)/$I257),"")</f>
        <v/>
      </c>
      <c r="O257" s="13" t="n">
        <v>0</v>
      </c>
      <c r="P257" s="13" t="n">
        <v>0</v>
      </c>
      <c r="Q257" s="21" t="n">
        <f aca="false">IF($O257="","",$O257-IF($P257="",0,$P257))</f>
        <v>0</v>
      </c>
      <c r="R257" s="13" t="n">
        <v>2</v>
      </c>
      <c r="S257" s="21" t="str">
        <f aca="false">IF($O257="","",IF($Q257&lt;=$R257,"⚠ REORDER","OK"))</f>
        <v>⚠ REORDER</v>
      </c>
      <c r="T257" s="13"/>
      <c r="U257" s="13"/>
      <c r="V257" s="13" t="s">
        <v>378</v>
      </c>
      <c r="W257" s="12" t="s">
        <v>379</v>
      </c>
      <c r="X257" s="13"/>
      <c r="Y257" s="13"/>
      <c r="Z257" s="12" t="s">
        <v>88</v>
      </c>
      <c r="AA257" s="12" t="s">
        <v>88</v>
      </c>
      <c r="AB257" s="12" t="s">
        <v>88</v>
      </c>
      <c r="AC257" s="12" t="s">
        <v>88</v>
      </c>
      <c r="AD257" s="12" t="s">
        <v>87</v>
      </c>
      <c r="AE257" s="21" t="n">
        <f aca="false">IFERROR(SUMIFS(Transactions!$F:$F,Transactions!$C:$C,$A257,Transactions!$D:$D,"Sale"),0)</f>
        <v>0</v>
      </c>
      <c r="AF257" s="15" t="n">
        <f aca="false">IFERROR(SUMIFS(Transactions!$H:$H,Transactions!$C:$C,$A257,Transactions!$D:$D,"Sale"),0)</f>
        <v>0</v>
      </c>
      <c r="AG257" s="22" t="str">
        <f aca="false">IFERROR(IF(maxifs(Transactions!$B:$B,Transactions!$C:$C,$A257,Transactions!$D:$D,"Sale")=0,"",maxifs(Transactions!$B:$B,Transactions!$C:$C,$A257,Transactions!$D:$D,"Sale")),"")</f>
        <v/>
      </c>
      <c r="AH257" s="12"/>
    </row>
    <row r="258" customFormat="false" ht="18" hidden="false" customHeight="true" outlineLevel="0" collapsed="false">
      <c r="A258" s="12" t="s">
        <v>636</v>
      </c>
      <c r="B258" s="12" t="s">
        <v>232</v>
      </c>
      <c r="C258" s="12" t="s">
        <v>204</v>
      </c>
      <c r="D258" s="12" t="s">
        <v>205</v>
      </c>
      <c r="E258" s="12" t="s">
        <v>79</v>
      </c>
      <c r="F258" s="12" t="s">
        <v>142</v>
      </c>
      <c r="G258" s="12"/>
      <c r="H258" s="12" t="s">
        <v>381</v>
      </c>
      <c r="I258" s="14" t="n">
        <v>25000</v>
      </c>
      <c r="J258" s="18" t="n">
        <f aca="false">IF($I258="","",ROUND($I258*Dropdowns!$K$5,2))</f>
        <v>65</v>
      </c>
      <c r="K258" s="19" t="n">
        <f aca="false">IF($I258="","",ROUND($I258*Dropdowns!$K$6,2))</f>
        <v>60</v>
      </c>
      <c r="L258" s="20" t="n">
        <f aca="false">IF($I258="","",ROUND($I258*Dropdowns!$K$7,2))</f>
        <v>5125</v>
      </c>
      <c r="M258" s="15" t="str">
        <f aca="false">IFERROR(IF($B258="","",VLOOKUP($B258,Designs!$A$3:$AP$165,27,FALSE())),"")</f>
        <v/>
      </c>
      <c r="N258" s="16" t="str">
        <f aca="false">IFERROR(IF(OR($I258="",$M258="",$M258=0),"",($I258-$M258)/$I258),"")</f>
        <v/>
      </c>
      <c r="O258" s="13" t="n">
        <v>0</v>
      </c>
      <c r="P258" s="13" t="n">
        <v>0</v>
      </c>
      <c r="Q258" s="21" t="n">
        <f aca="false">IF($O258="","",$O258-IF($P258="",0,$P258))</f>
        <v>0</v>
      </c>
      <c r="R258" s="13" t="n">
        <v>2</v>
      </c>
      <c r="S258" s="21" t="str">
        <f aca="false">IF($O258="","",IF($Q258&lt;=$R258,"⚠ REORDER","OK"))</f>
        <v>⚠ REORDER</v>
      </c>
      <c r="T258" s="13"/>
      <c r="U258" s="13"/>
      <c r="V258" s="13" t="s">
        <v>378</v>
      </c>
      <c r="W258" s="12" t="s">
        <v>379</v>
      </c>
      <c r="X258" s="13"/>
      <c r="Y258" s="13"/>
      <c r="Z258" s="12" t="s">
        <v>88</v>
      </c>
      <c r="AA258" s="12" t="s">
        <v>88</v>
      </c>
      <c r="AB258" s="12" t="s">
        <v>88</v>
      </c>
      <c r="AC258" s="12" t="s">
        <v>88</v>
      </c>
      <c r="AD258" s="12" t="s">
        <v>87</v>
      </c>
      <c r="AE258" s="21" t="n">
        <f aca="false">IFERROR(SUMIFS(Transactions!$F:$F,Transactions!$C:$C,$A258,Transactions!$D:$D,"Sale"),0)</f>
        <v>0</v>
      </c>
      <c r="AF258" s="15" t="n">
        <f aca="false">IFERROR(SUMIFS(Transactions!$H:$H,Transactions!$C:$C,$A258,Transactions!$D:$D,"Sale"),0)</f>
        <v>0</v>
      </c>
      <c r="AG258" s="22" t="str">
        <f aca="false">IFERROR(IF(maxifs(Transactions!$B:$B,Transactions!$C:$C,$A258,Transactions!$D:$D,"Sale")=0,"",maxifs(Transactions!$B:$B,Transactions!$C:$C,$A258,Transactions!$D:$D,"Sale")),"")</f>
        <v/>
      </c>
      <c r="AH258" s="12"/>
    </row>
    <row r="259" customFormat="false" ht="18" hidden="false" customHeight="true" outlineLevel="0" collapsed="false">
      <c r="A259" s="12" t="s">
        <v>637</v>
      </c>
      <c r="B259" s="12" t="s">
        <v>233</v>
      </c>
      <c r="C259" s="12" t="s">
        <v>204</v>
      </c>
      <c r="D259" s="12" t="s">
        <v>205</v>
      </c>
      <c r="E259" s="12" t="s">
        <v>79</v>
      </c>
      <c r="F259" s="12" t="s">
        <v>144</v>
      </c>
      <c r="G259" s="12"/>
      <c r="H259" s="12" t="s">
        <v>381</v>
      </c>
      <c r="I259" s="14" t="n">
        <v>25000</v>
      </c>
      <c r="J259" s="18" t="n">
        <f aca="false">IF($I259="","",ROUND($I259*Dropdowns!$K$5,2))</f>
        <v>65</v>
      </c>
      <c r="K259" s="19" t="n">
        <f aca="false">IF($I259="","",ROUND($I259*Dropdowns!$K$6,2))</f>
        <v>60</v>
      </c>
      <c r="L259" s="20" t="n">
        <f aca="false">IF($I259="","",ROUND($I259*Dropdowns!$K$7,2))</f>
        <v>5125</v>
      </c>
      <c r="M259" s="15" t="str">
        <f aca="false">IFERROR(IF($B259="","",VLOOKUP($B259,Designs!$A$3:$AP$165,27,FALSE())),"")</f>
        <v/>
      </c>
      <c r="N259" s="16" t="str">
        <f aca="false">IFERROR(IF(OR($I259="",$M259="",$M259=0),"",($I259-$M259)/$I259),"")</f>
        <v/>
      </c>
      <c r="O259" s="13" t="n">
        <v>0</v>
      </c>
      <c r="P259" s="13" t="n">
        <v>0</v>
      </c>
      <c r="Q259" s="21" t="n">
        <f aca="false">IF($O259="","",$O259-IF($P259="",0,$P259))</f>
        <v>0</v>
      </c>
      <c r="R259" s="13" t="n">
        <v>2</v>
      </c>
      <c r="S259" s="21" t="str">
        <f aca="false">IF($O259="","",IF($Q259&lt;=$R259,"⚠ REORDER","OK"))</f>
        <v>⚠ REORDER</v>
      </c>
      <c r="T259" s="13"/>
      <c r="U259" s="13"/>
      <c r="V259" s="13" t="s">
        <v>378</v>
      </c>
      <c r="W259" s="12" t="s">
        <v>379</v>
      </c>
      <c r="X259" s="13"/>
      <c r="Y259" s="13"/>
      <c r="Z259" s="12" t="s">
        <v>88</v>
      </c>
      <c r="AA259" s="12" t="s">
        <v>88</v>
      </c>
      <c r="AB259" s="12" t="s">
        <v>88</v>
      </c>
      <c r="AC259" s="12" t="s">
        <v>88</v>
      </c>
      <c r="AD259" s="12" t="s">
        <v>87</v>
      </c>
      <c r="AE259" s="21" t="n">
        <f aca="false">IFERROR(SUMIFS(Transactions!$F:$F,Transactions!$C:$C,$A259,Transactions!$D:$D,"Sale"),0)</f>
        <v>0</v>
      </c>
      <c r="AF259" s="15" t="n">
        <f aca="false">IFERROR(SUMIFS(Transactions!$H:$H,Transactions!$C:$C,$A259,Transactions!$D:$D,"Sale"),0)</f>
        <v>0</v>
      </c>
      <c r="AG259" s="22" t="str">
        <f aca="false">IFERROR(IF(maxifs(Transactions!$B:$B,Transactions!$C:$C,$A259,Transactions!$D:$D,"Sale")=0,"",maxifs(Transactions!$B:$B,Transactions!$C:$C,$A259,Transactions!$D:$D,"Sale")),"")</f>
        <v/>
      </c>
      <c r="AH259" s="12"/>
    </row>
    <row r="260" customFormat="false" ht="18" hidden="false" customHeight="true" outlineLevel="0" collapsed="false">
      <c r="A260" s="12" t="s">
        <v>638</v>
      </c>
      <c r="B260" s="12" t="s">
        <v>234</v>
      </c>
      <c r="C260" s="12" t="s">
        <v>204</v>
      </c>
      <c r="D260" s="12" t="s">
        <v>205</v>
      </c>
      <c r="E260" s="12" t="s">
        <v>79</v>
      </c>
      <c r="F260" s="12" t="s">
        <v>146</v>
      </c>
      <c r="G260" s="12"/>
      <c r="H260" s="12" t="s">
        <v>381</v>
      </c>
      <c r="I260" s="14" t="n">
        <v>25000</v>
      </c>
      <c r="J260" s="18" t="n">
        <f aca="false">IF($I260="","",ROUND($I260*Dropdowns!$K$5,2))</f>
        <v>65</v>
      </c>
      <c r="K260" s="19" t="n">
        <f aca="false">IF($I260="","",ROUND($I260*Dropdowns!$K$6,2))</f>
        <v>60</v>
      </c>
      <c r="L260" s="20" t="n">
        <f aca="false">IF($I260="","",ROUND($I260*Dropdowns!$K$7,2))</f>
        <v>5125</v>
      </c>
      <c r="M260" s="15" t="str">
        <f aca="false">IFERROR(IF($B260="","",VLOOKUP($B260,Designs!$A$3:$AP$165,27,FALSE())),"")</f>
        <v/>
      </c>
      <c r="N260" s="16" t="str">
        <f aca="false">IFERROR(IF(OR($I260="",$M260="",$M260=0),"",($I260-$M260)/$I260),"")</f>
        <v/>
      </c>
      <c r="O260" s="13" t="n">
        <v>0</v>
      </c>
      <c r="P260" s="13" t="n">
        <v>0</v>
      </c>
      <c r="Q260" s="21" t="n">
        <f aca="false">IF($O260="","",$O260-IF($P260="",0,$P260))</f>
        <v>0</v>
      </c>
      <c r="R260" s="13" t="n">
        <v>2</v>
      </c>
      <c r="S260" s="21" t="str">
        <f aca="false">IF($O260="","",IF($Q260&lt;=$R260,"⚠ REORDER","OK"))</f>
        <v>⚠ REORDER</v>
      </c>
      <c r="T260" s="13"/>
      <c r="U260" s="13"/>
      <c r="V260" s="13" t="s">
        <v>378</v>
      </c>
      <c r="W260" s="12" t="s">
        <v>379</v>
      </c>
      <c r="X260" s="13"/>
      <c r="Y260" s="13"/>
      <c r="Z260" s="12" t="s">
        <v>88</v>
      </c>
      <c r="AA260" s="12" t="s">
        <v>88</v>
      </c>
      <c r="AB260" s="12" t="s">
        <v>88</v>
      </c>
      <c r="AC260" s="12" t="s">
        <v>88</v>
      </c>
      <c r="AD260" s="12" t="s">
        <v>87</v>
      </c>
      <c r="AE260" s="21" t="n">
        <f aca="false">IFERROR(SUMIFS(Transactions!$F:$F,Transactions!$C:$C,$A260,Transactions!$D:$D,"Sale"),0)</f>
        <v>0</v>
      </c>
      <c r="AF260" s="15" t="n">
        <f aca="false">IFERROR(SUMIFS(Transactions!$H:$H,Transactions!$C:$C,$A260,Transactions!$D:$D,"Sale"),0)</f>
        <v>0</v>
      </c>
      <c r="AG260" s="22" t="str">
        <f aca="false">IFERROR(IF(maxifs(Transactions!$B:$B,Transactions!$C:$C,$A260,Transactions!$D:$D,"Sale")=0,"",maxifs(Transactions!$B:$B,Transactions!$C:$C,$A260,Transactions!$D:$D,"Sale")),"")</f>
        <v/>
      </c>
      <c r="AH260" s="12"/>
    </row>
    <row r="261" customFormat="false" ht="18" hidden="false" customHeight="true" outlineLevel="0" collapsed="false">
      <c r="A261" s="12" t="s">
        <v>639</v>
      </c>
      <c r="B261" s="12" t="s">
        <v>235</v>
      </c>
      <c r="C261" s="12" t="s">
        <v>204</v>
      </c>
      <c r="D261" s="12" t="s">
        <v>205</v>
      </c>
      <c r="E261" s="12" t="s">
        <v>79</v>
      </c>
      <c r="F261" s="12" t="s">
        <v>148</v>
      </c>
      <c r="G261" s="12"/>
      <c r="H261" s="12" t="s">
        <v>381</v>
      </c>
      <c r="I261" s="14" t="n">
        <v>25000</v>
      </c>
      <c r="J261" s="18" t="n">
        <f aca="false">IF($I261="","",ROUND($I261*Dropdowns!$K$5,2))</f>
        <v>65</v>
      </c>
      <c r="K261" s="19" t="n">
        <f aca="false">IF($I261="","",ROUND($I261*Dropdowns!$K$6,2))</f>
        <v>60</v>
      </c>
      <c r="L261" s="20" t="n">
        <f aca="false">IF($I261="","",ROUND($I261*Dropdowns!$K$7,2))</f>
        <v>5125</v>
      </c>
      <c r="M261" s="15" t="str">
        <f aca="false">IFERROR(IF($B261="","",VLOOKUP($B261,Designs!$A$3:$AP$165,27,FALSE())),"")</f>
        <v/>
      </c>
      <c r="N261" s="16" t="str">
        <f aca="false">IFERROR(IF(OR($I261="",$M261="",$M261=0),"",($I261-$M261)/$I261),"")</f>
        <v/>
      </c>
      <c r="O261" s="13" t="n">
        <v>0</v>
      </c>
      <c r="P261" s="13" t="n">
        <v>0</v>
      </c>
      <c r="Q261" s="21" t="n">
        <f aca="false">IF($O261="","",$O261-IF($P261="",0,$P261))</f>
        <v>0</v>
      </c>
      <c r="R261" s="13" t="n">
        <v>2</v>
      </c>
      <c r="S261" s="21" t="str">
        <f aca="false">IF($O261="","",IF($Q261&lt;=$R261,"⚠ REORDER","OK"))</f>
        <v>⚠ REORDER</v>
      </c>
      <c r="T261" s="13"/>
      <c r="U261" s="13"/>
      <c r="V261" s="13" t="s">
        <v>378</v>
      </c>
      <c r="W261" s="12" t="s">
        <v>379</v>
      </c>
      <c r="X261" s="13"/>
      <c r="Y261" s="13"/>
      <c r="Z261" s="12" t="s">
        <v>88</v>
      </c>
      <c r="AA261" s="12" t="s">
        <v>88</v>
      </c>
      <c r="AB261" s="12" t="s">
        <v>88</v>
      </c>
      <c r="AC261" s="12" t="s">
        <v>88</v>
      </c>
      <c r="AD261" s="12" t="s">
        <v>87</v>
      </c>
      <c r="AE261" s="21" t="n">
        <f aca="false">IFERROR(SUMIFS(Transactions!$F:$F,Transactions!$C:$C,$A261,Transactions!$D:$D,"Sale"),0)</f>
        <v>0</v>
      </c>
      <c r="AF261" s="15" t="n">
        <f aca="false">IFERROR(SUMIFS(Transactions!$H:$H,Transactions!$C:$C,$A261,Transactions!$D:$D,"Sale"),0)</f>
        <v>0</v>
      </c>
      <c r="AG261" s="22" t="str">
        <f aca="false">IFERROR(IF(maxifs(Transactions!$B:$B,Transactions!$C:$C,$A261,Transactions!$D:$D,"Sale")=0,"",maxifs(Transactions!$B:$B,Transactions!$C:$C,$A261,Transactions!$D:$D,"Sale")),"")</f>
        <v/>
      </c>
      <c r="AH261" s="12"/>
    </row>
    <row r="262" customFormat="false" ht="18" hidden="false" customHeight="true" outlineLevel="0" collapsed="false">
      <c r="A262" s="12" t="s">
        <v>640</v>
      </c>
      <c r="B262" s="12" t="s">
        <v>236</v>
      </c>
      <c r="C262" s="12" t="s">
        <v>204</v>
      </c>
      <c r="D262" s="12" t="s">
        <v>205</v>
      </c>
      <c r="E262" s="12" t="s">
        <v>79</v>
      </c>
      <c r="F262" s="12" t="s">
        <v>150</v>
      </c>
      <c r="G262" s="12"/>
      <c r="H262" s="12" t="s">
        <v>381</v>
      </c>
      <c r="I262" s="14" t="n">
        <v>25000</v>
      </c>
      <c r="J262" s="18" t="n">
        <f aca="false">IF($I262="","",ROUND($I262*Dropdowns!$K$5,2))</f>
        <v>65</v>
      </c>
      <c r="K262" s="19" t="n">
        <f aca="false">IF($I262="","",ROUND($I262*Dropdowns!$K$6,2))</f>
        <v>60</v>
      </c>
      <c r="L262" s="20" t="n">
        <f aca="false">IF($I262="","",ROUND($I262*Dropdowns!$K$7,2))</f>
        <v>5125</v>
      </c>
      <c r="M262" s="15" t="str">
        <f aca="false">IFERROR(IF($B262="","",VLOOKUP($B262,Designs!$A$3:$AP$165,27,FALSE())),"")</f>
        <v/>
      </c>
      <c r="N262" s="16" t="str">
        <f aca="false">IFERROR(IF(OR($I262="",$M262="",$M262=0),"",($I262-$M262)/$I262),"")</f>
        <v/>
      </c>
      <c r="O262" s="13" t="n">
        <v>0</v>
      </c>
      <c r="P262" s="13" t="n">
        <v>0</v>
      </c>
      <c r="Q262" s="21" t="n">
        <f aca="false">IF($O262="","",$O262-IF($P262="",0,$P262))</f>
        <v>0</v>
      </c>
      <c r="R262" s="13" t="n">
        <v>2</v>
      </c>
      <c r="S262" s="21" t="str">
        <f aca="false">IF($O262="","",IF($Q262&lt;=$R262,"⚠ REORDER","OK"))</f>
        <v>⚠ REORDER</v>
      </c>
      <c r="T262" s="13"/>
      <c r="U262" s="13"/>
      <c r="V262" s="13" t="s">
        <v>378</v>
      </c>
      <c r="W262" s="12" t="s">
        <v>379</v>
      </c>
      <c r="X262" s="13"/>
      <c r="Y262" s="13"/>
      <c r="Z262" s="12" t="s">
        <v>88</v>
      </c>
      <c r="AA262" s="12" t="s">
        <v>88</v>
      </c>
      <c r="AB262" s="12" t="s">
        <v>88</v>
      </c>
      <c r="AC262" s="12" t="s">
        <v>88</v>
      </c>
      <c r="AD262" s="12" t="s">
        <v>87</v>
      </c>
      <c r="AE262" s="21" t="n">
        <f aca="false">IFERROR(SUMIFS(Transactions!$F:$F,Transactions!$C:$C,$A262,Transactions!$D:$D,"Sale"),0)</f>
        <v>0</v>
      </c>
      <c r="AF262" s="15" t="n">
        <f aca="false">IFERROR(SUMIFS(Transactions!$H:$H,Transactions!$C:$C,$A262,Transactions!$D:$D,"Sale"),0)</f>
        <v>0</v>
      </c>
      <c r="AG262" s="22" t="str">
        <f aca="false">IFERROR(IF(maxifs(Transactions!$B:$B,Transactions!$C:$C,$A262,Transactions!$D:$D,"Sale")=0,"",maxifs(Transactions!$B:$B,Transactions!$C:$C,$A262,Transactions!$D:$D,"Sale")),"")</f>
        <v/>
      </c>
      <c r="AH262" s="12"/>
    </row>
    <row r="263" customFormat="false" ht="18" hidden="false" customHeight="true" outlineLevel="0" collapsed="false">
      <c r="A263" s="12" t="s">
        <v>641</v>
      </c>
      <c r="B263" s="12" t="s">
        <v>237</v>
      </c>
      <c r="C263" s="12" t="s">
        <v>204</v>
      </c>
      <c r="D263" s="12" t="s">
        <v>205</v>
      </c>
      <c r="E263" s="12" t="s">
        <v>79</v>
      </c>
      <c r="F263" s="12" t="s">
        <v>152</v>
      </c>
      <c r="G263" s="12"/>
      <c r="H263" s="12" t="s">
        <v>381</v>
      </c>
      <c r="I263" s="14" t="n">
        <v>25000</v>
      </c>
      <c r="J263" s="18" t="n">
        <f aca="false">IF($I263="","",ROUND($I263*Dropdowns!$K$5,2))</f>
        <v>65</v>
      </c>
      <c r="K263" s="19" t="n">
        <f aca="false">IF($I263="","",ROUND($I263*Dropdowns!$K$6,2))</f>
        <v>60</v>
      </c>
      <c r="L263" s="20" t="n">
        <f aca="false">IF($I263="","",ROUND($I263*Dropdowns!$K$7,2))</f>
        <v>5125</v>
      </c>
      <c r="M263" s="15" t="str">
        <f aca="false">IFERROR(IF($B263="","",VLOOKUP($B263,Designs!$A$3:$AP$165,27,FALSE())),"")</f>
        <v/>
      </c>
      <c r="N263" s="16" t="str">
        <f aca="false">IFERROR(IF(OR($I263="",$M263="",$M263=0),"",($I263-$M263)/$I263),"")</f>
        <v/>
      </c>
      <c r="O263" s="13" t="n">
        <v>0</v>
      </c>
      <c r="P263" s="13" t="n">
        <v>0</v>
      </c>
      <c r="Q263" s="21" t="n">
        <f aca="false">IF($O263="","",$O263-IF($P263="",0,$P263))</f>
        <v>0</v>
      </c>
      <c r="R263" s="13" t="n">
        <v>2</v>
      </c>
      <c r="S263" s="21" t="str">
        <f aca="false">IF($O263="","",IF($Q263&lt;=$R263,"⚠ REORDER","OK"))</f>
        <v>⚠ REORDER</v>
      </c>
      <c r="T263" s="13"/>
      <c r="U263" s="13"/>
      <c r="V263" s="13" t="s">
        <v>378</v>
      </c>
      <c r="W263" s="12" t="s">
        <v>379</v>
      </c>
      <c r="X263" s="13"/>
      <c r="Y263" s="13"/>
      <c r="Z263" s="12" t="s">
        <v>88</v>
      </c>
      <c r="AA263" s="12" t="s">
        <v>88</v>
      </c>
      <c r="AB263" s="12" t="s">
        <v>88</v>
      </c>
      <c r="AC263" s="12" t="s">
        <v>88</v>
      </c>
      <c r="AD263" s="12" t="s">
        <v>87</v>
      </c>
      <c r="AE263" s="21" t="n">
        <f aca="false">IFERROR(SUMIFS(Transactions!$F:$F,Transactions!$C:$C,$A263,Transactions!$D:$D,"Sale"),0)</f>
        <v>0</v>
      </c>
      <c r="AF263" s="15" t="n">
        <f aca="false">IFERROR(SUMIFS(Transactions!$H:$H,Transactions!$C:$C,$A263,Transactions!$D:$D,"Sale"),0)</f>
        <v>0</v>
      </c>
      <c r="AG263" s="22" t="str">
        <f aca="false">IFERROR(IF(maxifs(Transactions!$B:$B,Transactions!$C:$C,$A263,Transactions!$D:$D,"Sale")=0,"",maxifs(Transactions!$B:$B,Transactions!$C:$C,$A263,Transactions!$D:$D,"Sale")),"")</f>
        <v/>
      </c>
      <c r="AH263" s="12"/>
    </row>
    <row r="264" customFormat="false" ht="18" hidden="false" customHeight="true" outlineLevel="0" collapsed="false">
      <c r="A264" s="12" t="s">
        <v>642</v>
      </c>
      <c r="B264" s="12" t="s">
        <v>238</v>
      </c>
      <c r="C264" s="12" t="s">
        <v>204</v>
      </c>
      <c r="D264" s="12" t="s">
        <v>205</v>
      </c>
      <c r="E264" s="12" t="s">
        <v>79</v>
      </c>
      <c r="F264" s="12" t="s">
        <v>154</v>
      </c>
      <c r="G264" s="12"/>
      <c r="H264" s="12" t="s">
        <v>381</v>
      </c>
      <c r="I264" s="14" t="n">
        <v>25000</v>
      </c>
      <c r="J264" s="18" t="n">
        <f aca="false">IF($I264="","",ROUND($I264*Dropdowns!$K$5,2))</f>
        <v>65</v>
      </c>
      <c r="K264" s="19" t="n">
        <f aca="false">IF($I264="","",ROUND($I264*Dropdowns!$K$6,2))</f>
        <v>60</v>
      </c>
      <c r="L264" s="20" t="n">
        <f aca="false">IF($I264="","",ROUND($I264*Dropdowns!$K$7,2))</f>
        <v>5125</v>
      </c>
      <c r="M264" s="15" t="str">
        <f aca="false">IFERROR(IF($B264="","",VLOOKUP($B264,Designs!$A$3:$AP$165,27,FALSE())),"")</f>
        <v/>
      </c>
      <c r="N264" s="16" t="str">
        <f aca="false">IFERROR(IF(OR($I264="",$M264="",$M264=0),"",($I264-$M264)/$I264),"")</f>
        <v/>
      </c>
      <c r="O264" s="13" t="n">
        <v>0</v>
      </c>
      <c r="P264" s="13" t="n">
        <v>0</v>
      </c>
      <c r="Q264" s="21" t="n">
        <f aca="false">IF($O264="","",$O264-IF($P264="",0,$P264))</f>
        <v>0</v>
      </c>
      <c r="R264" s="13" t="n">
        <v>2</v>
      </c>
      <c r="S264" s="21" t="str">
        <f aca="false">IF($O264="","",IF($Q264&lt;=$R264,"⚠ REORDER","OK"))</f>
        <v>⚠ REORDER</v>
      </c>
      <c r="T264" s="13"/>
      <c r="U264" s="13"/>
      <c r="V264" s="13" t="s">
        <v>378</v>
      </c>
      <c r="W264" s="12" t="s">
        <v>379</v>
      </c>
      <c r="X264" s="13"/>
      <c r="Y264" s="13"/>
      <c r="Z264" s="12" t="s">
        <v>88</v>
      </c>
      <c r="AA264" s="12" t="s">
        <v>88</v>
      </c>
      <c r="AB264" s="12" t="s">
        <v>88</v>
      </c>
      <c r="AC264" s="12" t="s">
        <v>88</v>
      </c>
      <c r="AD264" s="12" t="s">
        <v>87</v>
      </c>
      <c r="AE264" s="21" t="n">
        <f aca="false">IFERROR(SUMIFS(Transactions!$F:$F,Transactions!$C:$C,$A264,Transactions!$D:$D,"Sale"),0)</f>
        <v>0</v>
      </c>
      <c r="AF264" s="15" t="n">
        <f aca="false">IFERROR(SUMIFS(Transactions!$H:$H,Transactions!$C:$C,$A264,Transactions!$D:$D,"Sale"),0)</f>
        <v>0</v>
      </c>
      <c r="AG264" s="22" t="str">
        <f aca="false">IFERROR(IF(maxifs(Transactions!$B:$B,Transactions!$C:$C,$A264,Transactions!$D:$D,"Sale")=0,"",maxifs(Transactions!$B:$B,Transactions!$C:$C,$A264,Transactions!$D:$D,"Sale")),"")</f>
        <v/>
      </c>
      <c r="AH264" s="12"/>
    </row>
    <row r="265" customFormat="false" ht="18" hidden="false" customHeight="true" outlineLevel="0" collapsed="false">
      <c r="A265" s="12" t="s">
        <v>643</v>
      </c>
      <c r="B265" s="12" t="s">
        <v>239</v>
      </c>
      <c r="C265" s="12" t="s">
        <v>204</v>
      </c>
      <c r="D265" s="12" t="s">
        <v>205</v>
      </c>
      <c r="E265" s="12" t="s">
        <v>79</v>
      </c>
      <c r="F265" s="12" t="s">
        <v>156</v>
      </c>
      <c r="G265" s="12"/>
      <c r="H265" s="12" t="s">
        <v>381</v>
      </c>
      <c r="I265" s="14" t="n">
        <v>25000</v>
      </c>
      <c r="J265" s="18" t="n">
        <f aca="false">IF($I265="","",ROUND($I265*Dropdowns!$K$5,2))</f>
        <v>65</v>
      </c>
      <c r="K265" s="19" t="n">
        <f aca="false">IF($I265="","",ROUND($I265*Dropdowns!$K$6,2))</f>
        <v>60</v>
      </c>
      <c r="L265" s="20" t="n">
        <f aca="false">IF($I265="","",ROUND($I265*Dropdowns!$K$7,2))</f>
        <v>5125</v>
      </c>
      <c r="M265" s="15" t="str">
        <f aca="false">IFERROR(IF($B265="","",VLOOKUP($B265,Designs!$A$3:$AP$165,27,FALSE())),"")</f>
        <v/>
      </c>
      <c r="N265" s="16" t="str">
        <f aca="false">IFERROR(IF(OR($I265="",$M265="",$M265=0),"",($I265-$M265)/$I265),"")</f>
        <v/>
      </c>
      <c r="O265" s="13" t="n">
        <v>0</v>
      </c>
      <c r="P265" s="13" t="n">
        <v>0</v>
      </c>
      <c r="Q265" s="21" t="n">
        <f aca="false">IF($O265="","",$O265-IF($P265="",0,$P265))</f>
        <v>0</v>
      </c>
      <c r="R265" s="13" t="n">
        <v>2</v>
      </c>
      <c r="S265" s="21" t="str">
        <f aca="false">IF($O265="","",IF($Q265&lt;=$R265,"⚠ REORDER","OK"))</f>
        <v>⚠ REORDER</v>
      </c>
      <c r="T265" s="13"/>
      <c r="U265" s="13"/>
      <c r="V265" s="13" t="s">
        <v>378</v>
      </c>
      <c r="W265" s="12" t="s">
        <v>379</v>
      </c>
      <c r="X265" s="13"/>
      <c r="Y265" s="13"/>
      <c r="Z265" s="12" t="s">
        <v>88</v>
      </c>
      <c r="AA265" s="12" t="s">
        <v>88</v>
      </c>
      <c r="AB265" s="12" t="s">
        <v>88</v>
      </c>
      <c r="AC265" s="12" t="s">
        <v>88</v>
      </c>
      <c r="AD265" s="12" t="s">
        <v>87</v>
      </c>
      <c r="AE265" s="21" t="n">
        <f aca="false">IFERROR(SUMIFS(Transactions!$F:$F,Transactions!$C:$C,$A265,Transactions!$D:$D,"Sale"),0)</f>
        <v>0</v>
      </c>
      <c r="AF265" s="15" t="n">
        <f aca="false">IFERROR(SUMIFS(Transactions!$H:$H,Transactions!$C:$C,$A265,Transactions!$D:$D,"Sale"),0)</f>
        <v>0</v>
      </c>
      <c r="AG265" s="22" t="str">
        <f aca="false">IFERROR(IF(maxifs(Transactions!$B:$B,Transactions!$C:$C,$A265,Transactions!$D:$D,"Sale")=0,"",maxifs(Transactions!$B:$B,Transactions!$C:$C,$A265,Transactions!$D:$D,"Sale")),"")</f>
        <v/>
      </c>
      <c r="AH265" s="12"/>
    </row>
    <row r="266" customFormat="false" ht="18" hidden="false" customHeight="true" outlineLevel="0" collapsed="false">
      <c r="A266" s="12" t="s">
        <v>644</v>
      </c>
      <c r="B266" s="12" t="s">
        <v>240</v>
      </c>
      <c r="C266" s="12" t="s">
        <v>204</v>
      </c>
      <c r="D266" s="12" t="s">
        <v>205</v>
      </c>
      <c r="E266" s="12" t="s">
        <v>79</v>
      </c>
      <c r="F266" s="12" t="s">
        <v>158</v>
      </c>
      <c r="G266" s="12"/>
      <c r="H266" s="12" t="s">
        <v>381</v>
      </c>
      <c r="I266" s="14" t="n">
        <v>25000</v>
      </c>
      <c r="J266" s="18" t="n">
        <f aca="false">IF($I266="","",ROUND($I266*Dropdowns!$K$5,2))</f>
        <v>65</v>
      </c>
      <c r="K266" s="19" t="n">
        <f aca="false">IF($I266="","",ROUND($I266*Dropdowns!$K$6,2))</f>
        <v>60</v>
      </c>
      <c r="L266" s="20" t="n">
        <f aca="false">IF($I266="","",ROUND($I266*Dropdowns!$K$7,2))</f>
        <v>5125</v>
      </c>
      <c r="M266" s="15" t="str">
        <f aca="false">IFERROR(IF($B266="","",VLOOKUP($B266,Designs!$A$3:$AP$165,27,FALSE())),"")</f>
        <v/>
      </c>
      <c r="N266" s="16" t="str">
        <f aca="false">IFERROR(IF(OR($I266="",$M266="",$M266=0),"",($I266-$M266)/$I266),"")</f>
        <v/>
      </c>
      <c r="O266" s="13" t="n">
        <v>0</v>
      </c>
      <c r="P266" s="13" t="n">
        <v>0</v>
      </c>
      <c r="Q266" s="21" t="n">
        <f aca="false">IF($O266="","",$O266-IF($P266="",0,$P266))</f>
        <v>0</v>
      </c>
      <c r="R266" s="13" t="n">
        <v>2</v>
      </c>
      <c r="S266" s="21" t="str">
        <f aca="false">IF($O266="","",IF($Q266&lt;=$R266,"⚠ REORDER","OK"))</f>
        <v>⚠ REORDER</v>
      </c>
      <c r="T266" s="13"/>
      <c r="U266" s="13"/>
      <c r="V266" s="13" t="s">
        <v>378</v>
      </c>
      <c r="W266" s="12" t="s">
        <v>379</v>
      </c>
      <c r="X266" s="13"/>
      <c r="Y266" s="13"/>
      <c r="Z266" s="12" t="s">
        <v>88</v>
      </c>
      <c r="AA266" s="12" t="s">
        <v>88</v>
      </c>
      <c r="AB266" s="12" t="s">
        <v>88</v>
      </c>
      <c r="AC266" s="12" t="s">
        <v>88</v>
      </c>
      <c r="AD266" s="12" t="s">
        <v>87</v>
      </c>
      <c r="AE266" s="21" t="n">
        <f aca="false">IFERROR(SUMIFS(Transactions!$F:$F,Transactions!$C:$C,$A266,Transactions!$D:$D,"Sale"),0)</f>
        <v>0</v>
      </c>
      <c r="AF266" s="15" t="n">
        <f aca="false">IFERROR(SUMIFS(Transactions!$H:$H,Transactions!$C:$C,$A266,Transactions!$D:$D,"Sale"),0)</f>
        <v>0</v>
      </c>
      <c r="AG266" s="22" t="str">
        <f aca="false">IFERROR(IF(maxifs(Transactions!$B:$B,Transactions!$C:$C,$A266,Transactions!$D:$D,"Sale")=0,"",maxifs(Transactions!$B:$B,Transactions!$C:$C,$A266,Transactions!$D:$D,"Sale")),"")</f>
        <v/>
      </c>
      <c r="AH266" s="12"/>
    </row>
    <row r="267" customFormat="false" ht="18" hidden="false" customHeight="true" outlineLevel="0" collapsed="false">
      <c r="A267" s="12" t="s">
        <v>645</v>
      </c>
      <c r="B267" s="12" t="s">
        <v>241</v>
      </c>
      <c r="C267" s="12" t="s">
        <v>204</v>
      </c>
      <c r="D267" s="12" t="s">
        <v>205</v>
      </c>
      <c r="E267" s="12" t="s">
        <v>79</v>
      </c>
      <c r="F267" s="12" t="s">
        <v>160</v>
      </c>
      <c r="G267" s="12"/>
      <c r="H267" s="12" t="s">
        <v>381</v>
      </c>
      <c r="I267" s="14" t="n">
        <v>25000</v>
      </c>
      <c r="J267" s="18" t="n">
        <f aca="false">IF($I267="","",ROUND($I267*Dropdowns!$K$5,2))</f>
        <v>65</v>
      </c>
      <c r="K267" s="19" t="n">
        <f aca="false">IF($I267="","",ROUND($I267*Dropdowns!$K$6,2))</f>
        <v>60</v>
      </c>
      <c r="L267" s="20" t="n">
        <f aca="false">IF($I267="","",ROUND($I267*Dropdowns!$K$7,2))</f>
        <v>5125</v>
      </c>
      <c r="M267" s="15" t="str">
        <f aca="false">IFERROR(IF($B267="","",VLOOKUP($B267,Designs!$A$3:$AP$165,27,FALSE())),"")</f>
        <v/>
      </c>
      <c r="N267" s="16" t="str">
        <f aca="false">IFERROR(IF(OR($I267="",$M267="",$M267=0),"",($I267-$M267)/$I267),"")</f>
        <v/>
      </c>
      <c r="O267" s="13" t="n">
        <v>0</v>
      </c>
      <c r="P267" s="13" t="n">
        <v>0</v>
      </c>
      <c r="Q267" s="21" t="n">
        <f aca="false">IF($O267="","",$O267-IF($P267="",0,$P267))</f>
        <v>0</v>
      </c>
      <c r="R267" s="13" t="n">
        <v>2</v>
      </c>
      <c r="S267" s="21" t="str">
        <f aca="false">IF($O267="","",IF($Q267&lt;=$R267,"⚠ REORDER","OK"))</f>
        <v>⚠ REORDER</v>
      </c>
      <c r="T267" s="13"/>
      <c r="U267" s="13"/>
      <c r="V267" s="13" t="s">
        <v>378</v>
      </c>
      <c r="W267" s="12" t="s">
        <v>379</v>
      </c>
      <c r="X267" s="13"/>
      <c r="Y267" s="13"/>
      <c r="Z267" s="12" t="s">
        <v>88</v>
      </c>
      <c r="AA267" s="12" t="s">
        <v>88</v>
      </c>
      <c r="AB267" s="12" t="s">
        <v>88</v>
      </c>
      <c r="AC267" s="12" t="s">
        <v>88</v>
      </c>
      <c r="AD267" s="12" t="s">
        <v>87</v>
      </c>
      <c r="AE267" s="21" t="n">
        <f aca="false">IFERROR(SUMIFS(Transactions!$F:$F,Transactions!$C:$C,$A267,Transactions!$D:$D,"Sale"),0)</f>
        <v>0</v>
      </c>
      <c r="AF267" s="15" t="n">
        <f aca="false">IFERROR(SUMIFS(Transactions!$H:$H,Transactions!$C:$C,$A267,Transactions!$D:$D,"Sale"),0)</f>
        <v>0</v>
      </c>
      <c r="AG267" s="22" t="str">
        <f aca="false">IFERROR(IF(maxifs(Transactions!$B:$B,Transactions!$C:$C,$A267,Transactions!$D:$D,"Sale")=0,"",maxifs(Transactions!$B:$B,Transactions!$C:$C,$A267,Transactions!$D:$D,"Sale")),"")</f>
        <v/>
      </c>
      <c r="AH267" s="12"/>
    </row>
    <row r="268" customFormat="false" ht="18" hidden="false" customHeight="true" outlineLevel="0" collapsed="false">
      <c r="A268" s="12" t="s">
        <v>646</v>
      </c>
      <c r="B268" s="12" t="s">
        <v>242</v>
      </c>
      <c r="C268" s="12" t="s">
        <v>204</v>
      </c>
      <c r="D268" s="12" t="s">
        <v>205</v>
      </c>
      <c r="E268" s="12" t="s">
        <v>79</v>
      </c>
      <c r="F268" s="12" t="s">
        <v>162</v>
      </c>
      <c r="G268" s="12"/>
      <c r="H268" s="12" t="s">
        <v>381</v>
      </c>
      <c r="I268" s="14" t="n">
        <v>25000</v>
      </c>
      <c r="J268" s="18" t="n">
        <f aca="false">IF($I268="","",ROUND($I268*Dropdowns!$K$5,2))</f>
        <v>65</v>
      </c>
      <c r="K268" s="19" t="n">
        <f aca="false">IF($I268="","",ROUND($I268*Dropdowns!$K$6,2))</f>
        <v>60</v>
      </c>
      <c r="L268" s="20" t="n">
        <f aca="false">IF($I268="","",ROUND($I268*Dropdowns!$K$7,2))</f>
        <v>5125</v>
      </c>
      <c r="M268" s="15" t="str">
        <f aca="false">IFERROR(IF($B268="","",VLOOKUP($B268,Designs!$A$3:$AP$165,27,FALSE())),"")</f>
        <v/>
      </c>
      <c r="N268" s="16" t="str">
        <f aca="false">IFERROR(IF(OR($I268="",$M268="",$M268=0),"",($I268-$M268)/$I268),"")</f>
        <v/>
      </c>
      <c r="O268" s="13" t="n">
        <v>0</v>
      </c>
      <c r="P268" s="13" t="n">
        <v>0</v>
      </c>
      <c r="Q268" s="21" t="n">
        <f aca="false">IF($O268="","",$O268-IF($P268="",0,$P268))</f>
        <v>0</v>
      </c>
      <c r="R268" s="13" t="n">
        <v>2</v>
      </c>
      <c r="S268" s="21" t="str">
        <f aca="false">IF($O268="","",IF($Q268&lt;=$R268,"⚠ REORDER","OK"))</f>
        <v>⚠ REORDER</v>
      </c>
      <c r="T268" s="13"/>
      <c r="U268" s="13"/>
      <c r="V268" s="13" t="s">
        <v>378</v>
      </c>
      <c r="W268" s="12" t="s">
        <v>379</v>
      </c>
      <c r="X268" s="13"/>
      <c r="Y268" s="13"/>
      <c r="Z268" s="12" t="s">
        <v>88</v>
      </c>
      <c r="AA268" s="12" t="s">
        <v>88</v>
      </c>
      <c r="AB268" s="12" t="s">
        <v>88</v>
      </c>
      <c r="AC268" s="12" t="s">
        <v>88</v>
      </c>
      <c r="AD268" s="12" t="s">
        <v>87</v>
      </c>
      <c r="AE268" s="21" t="n">
        <f aca="false">IFERROR(SUMIFS(Transactions!$F:$F,Transactions!$C:$C,$A268,Transactions!$D:$D,"Sale"),0)</f>
        <v>0</v>
      </c>
      <c r="AF268" s="15" t="n">
        <f aca="false">IFERROR(SUMIFS(Transactions!$H:$H,Transactions!$C:$C,$A268,Transactions!$D:$D,"Sale"),0)</f>
        <v>0</v>
      </c>
      <c r="AG268" s="22" t="str">
        <f aca="false">IFERROR(IF(maxifs(Transactions!$B:$B,Transactions!$C:$C,$A268,Transactions!$D:$D,"Sale")=0,"",maxifs(Transactions!$B:$B,Transactions!$C:$C,$A268,Transactions!$D:$D,"Sale")),"")</f>
        <v/>
      </c>
      <c r="AH268" s="12"/>
    </row>
    <row r="269" customFormat="false" ht="18" hidden="false" customHeight="true" outlineLevel="0" collapsed="false">
      <c r="A269" s="12" t="s">
        <v>647</v>
      </c>
      <c r="B269" s="12" t="s">
        <v>243</v>
      </c>
      <c r="C269" s="12" t="s">
        <v>244</v>
      </c>
      <c r="D269" s="12" t="s">
        <v>245</v>
      </c>
      <c r="E269" s="12" t="s">
        <v>246</v>
      </c>
      <c r="F269" s="12"/>
      <c r="G269" s="12" t="s">
        <v>648</v>
      </c>
      <c r="H269" s="12" t="s">
        <v>649</v>
      </c>
      <c r="I269" s="14" t="n">
        <v>13000</v>
      </c>
      <c r="J269" s="18" t="n">
        <f aca="false">IF($I269="","",ROUND($I269*Dropdowns!$K$5,2))</f>
        <v>33.8</v>
      </c>
      <c r="K269" s="19" t="n">
        <f aca="false">IF($I269="","",ROUND($I269*Dropdowns!$K$6,2))</f>
        <v>31.2</v>
      </c>
      <c r="L269" s="20" t="n">
        <f aca="false">IF($I269="","",ROUND($I269*Dropdowns!$K$7,2))</f>
        <v>2665</v>
      </c>
      <c r="M269" s="15" t="str">
        <f aca="false">IFERROR(IF($B269="","",VLOOKUP($B269,Designs!$A$3:$AP$165,27,FALSE())),"")</f>
        <v/>
      </c>
      <c r="N269" s="16" t="str">
        <f aca="false">IFERROR(IF(OR($I269="",$M269="",$M269=0),"",($I269-$M269)/$I269),"")</f>
        <v/>
      </c>
      <c r="O269" s="13" t="n">
        <v>0</v>
      </c>
      <c r="P269" s="13" t="n">
        <v>0</v>
      </c>
      <c r="Q269" s="21" t="n">
        <f aca="false">IF($O269="","",$O269-IF($P269="",0,$P269))</f>
        <v>0</v>
      </c>
      <c r="R269" s="13" t="n">
        <v>2</v>
      </c>
      <c r="S269" s="21" t="str">
        <f aca="false">IF($O269="","",IF($Q269&lt;=$R269,"⚠ REORDER","OK"))</f>
        <v>⚠ REORDER</v>
      </c>
      <c r="T269" s="13"/>
      <c r="U269" s="13"/>
      <c r="V269" s="13" t="s">
        <v>378</v>
      </c>
      <c r="W269" s="12" t="s">
        <v>379</v>
      </c>
      <c r="X269" s="13"/>
      <c r="Y269" s="13"/>
      <c r="Z269" s="12" t="s">
        <v>88</v>
      </c>
      <c r="AA269" s="12" t="s">
        <v>88</v>
      </c>
      <c r="AB269" s="12" t="s">
        <v>88</v>
      </c>
      <c r="AC269" s="12" t="s">
        <v>88</v>
      </c>
      <c r="AD269" s="12" t="s">
        <v>87</v>
      </c>
      <c r="AE269" s="21" t="n">
        <f aca="false">IFERROR(SUMIFS(Transactions!$F:$F,Transactions!$C:$C,$A269,Transactions!$D:$D,"Sale"),0)</f>
        <v>0</v>
      </c>
      <c r="AF269" s="15" t="n">
        <f aca="false">IFERROR(SUMIFS(Transactions!$H:$H,Transactions!$C:$C,$A269,Transactions!$D:$D,"Sale"),0)</f>
        <v>0</v>
      </c>
      <c r="AG269" s="22" t="str">
        <f aca="false">IFERROR(IF(maxifs(Transactions!$B:$B,Transactions!$C:$C,$A269,Transactions!$D:$D,"Sale")=0,"",maxifs(Transactions!$B:$B,Transactions!$C:$C,$A269,Transactions!$D:$D,"Sale")),"")</f>
        <v/>
      </c>
      <c r="AH269" s="12"/>
    </row>
    <row r="270" customFormat="false" ht="18" hidden="false" customHeight="true" outlineLevel="0" collapsed="false">
      <c r="A270" s="12" t="s">
        <v>650</v>
      </c>
      <c r="B270" s="12" t="s">
        <v>243</v>
      </c>
      <c r="C270" s="12" t="s">
        <v>244</v>
      </c>
      <c r="D270" s="12" t="s">
        <v>245</v>
      </c>
      <c r="E270" s="12" t="s">
        <v>246</v>
      </c>
      <c r="F270" s="12"/>
      <c r="G270" s="12" t="s">
        <v>648</v>
      </c>
      <c r="H270" s="12" t="s">
        <v>383</v>
      </c>
      <c r="I270" s="14" t="n">
        <v>13000</v>
      </c>
      <c r="J270" s="18" t="n">
        <f aca="false">IF($I270="","",ROUND($I270*Dropdowns!$K$5,2))</f>
        <v>33.8</v>
      </c>
      <c r="K270" s="19" t="n">
        <f aca="false">IF($I270="","",ROUND($I270*Dropdowns!$K$6,2))</f>
        <v>31.2</v>
      </c>
      <c r="L270" s="20" t="n">
        <f aca="false">IF($I270="","",ROUND($I270*Dropdowns!$K$7,2))</f>
        <v>2665</v>
      </c>
      <c r="M270" s="15" t="str">
        <f aca="false">IFERROR(IF($B270="","",VLOOKUP($B270,Designs!$A$3:$AP$165,27,FALSE())),"")</f>
        <v/>
      </c>
      <c r="N270" s="16" t="str">
        <f aca="false">IFERROR(IF(OR($I270="",$M270="",$M270=0),"",($I270-$M270)/$I270),"")</f>
        <v/>
      </c>
      <c r="O270" s="13" t="n">
        <v>0</v>
      </c>
      <c r="P270" s="13" t="n">
        <v>0</v>
      </c>
      <c r="Q270" s="21" t="n">
        <f aca="false">IF($O270="","",$O270-IF($P270="",0,$P270))</f>
        <v>0</v>
      </c>
      <c r="R270" s="13" t="n">
        <v>2</v>
      </c>
      <c r="S270" s="21" t="str">
        <f aca="false">IF($O270="","",IF($Q270&lt;=$R270,"⚠ REORDER","OK"))</f>
        <v>⚠ REORDER</v>
      </c>
      <c r="T270" s="13"/>
      <c r="U270" s="13"/>
      <c r="V270" s="13" t="s">
        <v>378</v>
      </c>
      <c r="W270" s="12" t="s">
        <v>379</v>
      </c>
      <c r="X270" s="13"/>
      <c r="Y270" s="13"/>
      <c r="Z270" s="12" t="s">
        <v>88</v>
      </c>
      <c r="AA270" s="12" t="s">
        <v>88</v>
      </c>
      <c r="AB270" s="12" t="s">
        <v>88</v>
      </c>
      <c r="AC270" s="12" t="s">
        <v>88</v>
      </c>
      <c r="AD270" s="12" t="s">
        <v>87</v>
      </c>
      <c r="AE270" s="21" t="n">
        <f aca="false">IFERROR(SUMIFS(Transactions!$F:$F,Transactions!$C:$C,$A270,Transactions!$D:$D,"Sale"),0)</f>
        <v>0</v>
      </c>
      <c r="AF270" s="15" t="n">
        <f aca="false">IFERROR(SUMIFS(Transactions!$H:$H,Transactions!$C:$C,$A270,Transactions!$D:$D,"Sale"),0)</f>
        <v>0</v>
      </c>
      <c r="AG270" s="22" t="str">
        <f aca="false">IFERROR(IF(maxifs(Transactions!$B:$B,Transactions!$C:$C,$A270,Transactions!$D:$D,"Sale")=0,"",maxifs(Transactions!$B:$B,Transactions!$C:$C,$A270,Transactions!$D:$D,"Sale")),"")</f>
        <v/>
      </c>
      <c r="AH270" s="12"/>
    </row>
    <row r="271" customFormat="false" ht="18" hidden="false" customHeight="true" outlineLevel="0" collapsed="false">
      <c r="A271" s="12" t="s">
        <v>651</v>
      </c>
      <c r="B271" s="12" t="s">
        <v>243</v>
      </c>
      <c r="C271" s="12" t="s">
        <v>244</v>
      </c>
      <c r="D271" s="12" t="s">
        <v>245</v>
      </c>
      <c r="E271" s="12" t="s">
        <v>246</v>
      </c>
      <c r="F271" s="12"/>
      <c r="G271" s="12" t="s">
        <v>648</v>
      </c>
      <c r="H271" s="12" t="s">
        <v>652</v>
      </c>
      <c r="I271" s="14" t="n">
        <v>13000</v>
      </c>
      <c r="J271" s="18" t="n">
        <f aca="false">IF($I271="","",ROUND($I271*Dropdowns!$K$5,2))</f>
        <v>33.8</v>
      </c>
      <c r="K271" s="19" t="n">
        <f aca="false">IF($I271="","",ROUND($I271*Dropdowns!$K$6,2))</f>
        <v>31.2</v>
      </c>
      <c r="L271" s="20" t="n">
        <f aca="false">IF($I271="","",ROUND($I271*Dropdowns!$K$7,2))</f>
        <v>2665</v>
      </c>
      <c r="M271" s="15" t="str">
        <f aca="false">IFERROR(IF($B271="","",VLOOKUP($B271,Designs!$A$3:$AP$165,27,FALSE())),"")</f>
        <v/>
      </c>
      <c r="N271" s="16" t="str">
        <f aca="false">IFERROR(IF(OR($I271="",$M271="",$M271=0),"",($I271-$M271)/$I271),"")</f>
        <v/>
      </c>
      <c r="O271" s="13" t="n">
        <v>0</v>
      </c>
      <c r="P271" s="13" t="n">
        <v>0</v>
      </c>
      <c r="Q271" s="21" t="n">
        <f aca="false">IF($O271="","",$O271-IF($P271="",0,$P271))</f>
        <v>0</v>
      </c>
      <c r="R271" s="13" t="n">
        <v>2</v>
      </c>
      <c r="S271" s="21" t="str">
        <f aca="false">IF($O271="","",IF($Q271&lt;=$R271,"⚠ REORDER","OK"))</f>
        <v>⚠ REORDER</v>
      </c>
      <c r="T271" s="13"/>
      <c r="U271" s="13"/>
      <c r="V271" s="13" t="s">
        <v>378</v>
      </c>
      <c r="W271" s="12" t="s">
        <v>379</v>
      </c>
      <c r="X271" s="13"/>
      <c r="Y271" s="13"/>
      <c r="Z271" s="12" t="s">
        <v>88</v>
      </c>
      <c r="AA271" s="12" t="s">
        <v>88</v>
      </c>
      <c r="AB271" s="12" t="s">
        <v>88</v>
      </c>
      <c r="AC271" s="12" t="s">
        <v>88</v>
      </c>
      <c r="AD271" s="12" t="s">
        <v>87</v>
      </c>
      <c r="AE271" s="21" t="n">
        <f aca="false">IFERROR(SUMIFS(Transactions!$F:$F,Transactions!$C:$C,$A271,Transactions!$D:$D,"Sale"),0)</f>
        <v>0</v>
      </c>
      <c r="AF271" s="15" t="n">
        <f aca="false">IFERROR(SUMIFS(Transactions!$H:$H,Transactions!$C:$C,$A271,Transactions!$D:$D,"Sale"),0)</f>
        <v>0</v>
      </c>
      <c r="AG271" s="22" t="str">
        <f aca="false">IFERROR(IF(maxifs(Transactions!$B:$B,Transactions!$C:$C,$A271,Transactions!$D:$D,"Sale")=0,"",maxifs(Transactions!$B:$B,Transactions!$C:$C,$A271,Transactions!$D:$D,"Sale")),"")</f>
        <v/>
      </c>
      <c r="AH271" s="12"/>
    </row>
    <row r="272" customFormat="false" ht="18" hidden="false" customHeight="true" outlineLevel="0" collapsed="false">
      <c r="A272" s="12" t="s">
        <v>653</v>
      </c>
      <c r="B272" s="12" t="s">
        <v>243</v>
      </c>
      <c r="C272" s="12" t="s">
        <v>244</v>
      </c>
      <c r="D272" s="12" t="s">
        <v>245</v>
      </c>
      <c r="E272" s="12" t="s">
        <v>246</v>
      </c>
      <c r="F272" s="12"/>
      <c r="G272" s="12" t="s">
        <v>648</v>
      </c>
      <c r="H272" s="12" t="s">
        <v>381</v>
      </c>
      <c r="I272" s="14" t="n">
        <v>13000</v>
      </c>
      <c r="J272" s="18" t="n">
        <f aca="false">IF($I272="","",ROUND($I272*Dropdowns!$K$5,2))</f>
        <v>33.8</v>
      </c>
      <c r="K272" s="19" t="n">
        <f aca="false">IF($I272="","",ROUND($I272*Dropdowns!$K$6,2))</f>
        <v>31.2</v>
      </c>
      <c r="L272" s="20" t="n">
        <f aca="false">IF($I272="","",ROUND($I272*Dropdowns!$K$7,2))</f>
        <v>2665</v>
      </c>
      <c r="M272" s="15" t="str">
        <f aca="false">IFERROR(IF($B272="","",VLOOKUP($B272,Designs!$A$3:$AP$165,27,FALSE())),"")</f>
        <v/>
      </c>
      <c r="N272" s="16" t="str">
        <f aca="false">IFERROR(IF(OR($I272="",$M272="",$M272=0),"",($I272-$M272)/$I272),"")</f>
        <v/>
      </c>
      <c r="O272" s="13" t="n">
        <v>0</v>
      </c>
      <c r="P272" s="13" t="n">
        <v>0</v>
      </c>
      <c r="Q272" s="21" t="n">
        <f aca="false">IF($O272="","",$O272-IF($P272="",0,$P272))</f>
        <v>0</v>
      </c>
      <c r="R272" s="13" t="n">
        <v>2</v>
      </c>
      <c r="S272" s="21" t="str">
        <f aca="false">IF($O272="","",IF($Q272&lt;=$R272,"⚠ REORDER","OK"))</f>
        <v>⚠ REORDER</v>
      </c>
      <c r="T272" s="13"/>
      <c r="U272" s="13"/>
      <c r="V272" s="13" t="s">
        <v>378</v>
      </c>
      <c r="W272" s="12" t="s">
        <v>379</v>
      </c>
      <c r="X272" s="13"/>
      <c r="Y272" s="13"/>
      <c r="Z272" s="12" t="s">
        <v>88</v>
      </c>
      <c r="AA272" s="12" t="s">
        <v>88</v>
      </c>
      <c r="AB272" s="12" t="s">
        <v>88</v>
      </c>
      <c r="AC272" s="12" t="s">
        <v>88</v>
      </c>
      <c r="AD272" s="12" t="s">
        <v>87</v>
      </c>
      <c r="AE272" s="21" t="n">
        <f aca="false">IFERROR(SUMIFS(Transactions!$F:$F,Transactions!$C:$C,$A272,Transactions!$D:$D,"Sale"),0)</f>
        <v>0</v>
      </c>
      <c r="AF272" s="15" t="n">
        <f aca="false">IFERROR(SUMIFS(Transactions!$H:$H,Transactions!$C:$C,$A272,Transactions!$D:$D,"Sale"),0)</f>
        <v>0</v>
      </c>
      <c r="AG272" s="22" t="str">
        <f aca="false">IFERROR(IF(maxifs(Transactions!$B:$B,Transactions!$C:$C,$A272,Transactions!$D:$D,"Sale")=0,"",maxifs(Transactions!$B:$B,Transactions!$C:$C,$A272,Transactions!$D:$D,"Sale")),"")</f>
        <v/>
      </c>
      <c r="AH272" s="12"/>
    </row>
    <row r="273" customFormat="false" ht="18" hidden="false" customHeight="true" outlineLevel="0" collapsed="false">
      <c r="A273" s="12" t="s">
        <v>654</v>
      </c>
      <c r="B273" s="12" t="s">
        <v>243</v>
      </c>
      <c r="C273" s="12" t="s">
        <v>244</v>
      </c>
      <c r="D273" s="12" t="s">
        <v>245</v>
      </c>
      <c r="E273" s="12" t="s">
        <v>246</v>
      </c>
      <c r="F273" s="12"/>
      <c r="G273" s="12" t="s">
        <v>648</v>
      </c>
      <c r="H273" s="12" t="s">
        <v>655</v>
      </c>
      <c r="I273" s="14" t="n">
        <v>13000</v>
      </c>
      <c r="J273" s="18" t="n">
        <f aca="false">IF($I273="","",ROUND($I273*Dropdowns!$K$5,2))</f>
        <v>33.8</v>
      </c>
      <c r="K273" s="19" t="n">
        <f aca="false">IF($I273="","",ROUND($I273*Dropdowns!$K$6,2))</f>
        <v>31.2</v>
      </c>
      <c r="L273" s="20" t="n">
        <f aca="false">IF($I273="","",ROUND($I273*Dropdowns!$K$7,2))</f>
        <v>2665</v>
      </c>
      <c r="M273" s="15" t="str">
        <f aca="false">IFERROR(IF($B273="","",VLOOKUP($B273,Designs!$A$3:$AP$165,27,FALSE())),"")</f>
        <v/>
      </c>
      <c r="N273" s="16" t="str">
        <f aca="false">IFERROR(IF(OR($I273="",$M273="",$M273=0),"",($I273-$M273)/$I273),"")</f>
        <v/>
      </c>
      <c r="O273" s="13" t="n">
        <v>0</v>
      </c>
      <c r="P273" s="13" t="n">
        <v>0</v>
      </c>
      <c r="Q273" s="21" t="n">
        <f aca="false">IF($O273="","",$O273-IF($P273="",0,$P273))</f>
        <v>0</v>
      </c>
      <c r="R273" s="13" t="n">
        <v>2</v>
      </c>
      <c r="S273" s="21" t="str">
        <f aca="false">IF($O273="","",IF($Q273&lt;=$R273,"⚠ REORDER","OK"))</f>
        <v>⚠ REORDER</v>
      </c>
      <c r="T273" s="13"/>
      <c r="U273" s="13"/>
      <c r="V273" s="13" t="s">
        <v>378</v>
      </c>
      <c r="W273" s="12" t="s">
        <v>379</v>
      </c>
      <c r="X273" s="13"/>
      <c r="Y273" s="13"/>
      <c r="Z273" s="12" t="s">
        <v>88</v>
      </c>
      <c r="AA273" s="12" t="s">
        <v>88</v>
      </c>
      <c r="AB273" s="12" t="s">
        <v>88</v>
      </c>
      <c r="AC273" s="12" t="s">
        <v>88</v>
      </c>
      <c r="AD273" s="12" t="s">
        <v>87</v>
      </c>
      <c r="AE273" s="21" t="n">
        <f aca="false">IFERROR(SUMIFS(Transactions!$F:$F,Transactions!$C:$C,$A273,Transactions!$D:$D,"Sale"),0)</f>
        <v>0</v>
      </c>
      <c r="AF273" s="15" t="n">
        <f aca="false">IFERROR(SUMIFS(Transactions!$H:$H,Transactions!$C:$C,$A273,Transactions!$D:$D,"Sale"),0)</f>
        <v>0</v>
      </c>
      <c r="AG273" s="22" t="str">
        <f aca="false">IFERROR(IF(maxifs(Transactions!$B:$B,Transactions!$C:$C,$A273,Transactions!$D:$D,"Sale")=0,"",maxifs(Transactions!$B:$B,Transactions!$C:$C,$A273,Transactions!$D:$D,"Sale")),"")</f>
        <v/>
      </c>
      <c r="AH273" s="12"/>
    </row>
    <row r="274" customFormat="false" ht="18" hidden="false" customHeight="true" outlineLevel="0" collapsed="false">
      <c r="A274" s="12" t="s">
        <v>656</v>
      </c>
      <c r="B274" s="12" t="s">
        <v>249</v>
      </c>
      <c r="C274" s="12" t="s">
        <v>244</v>
      </c>
      <c r="D274" s="12" t="s">
        <v>245</v>
      </c>
      <c r="E274" s="12" t="s">
        <v>246</v>
      </c>
      <c r="F274" s="12"/>
      <c r="G274" s="12" t="s">
        <v>657</v>
      </c>
      <c r="H274" s="12" t="s">
        <v>658</v>
      </c>
      <c r="I274" s="14" t="n">
        <v>27000</v>
      </c>
      <c r="J274" s="18" t="n">
        <f aca="false">IF($I274="","",ROUND($I274*Dropdowns!$K$5,2))</f>
        <v>70.2</v>
      </c>
      <c r="K274" s="19" t="n">
        <f aca="false">IF($I274="","",ROUND($I274*Dropdowns!$K$6,2))</f>
        <v>64.8</v>
      </c>
      <c r="L274" s="20" t="n">
        <f aca="false">IF($I274="","",ROUND($I274*Dropdowns!$K$7,2))</f>
        <v>5535</v>
      </c>
      <c r="M274" s="15" t="str">
        <f aca="false">IFERROR(IF($B274="","",VLOOKUP($B274,Designs!$A$3:$AP$165,27,FALSE())),"")</f>
        <v/>
      </c>
      <c r="N274" s="16" t="str">
        <f aca="false">IFERROR(IF(OR($I274="",$M274="",$M274=0),"",($I274-$M274)/$I274),"")</f>
        <v/>
      </c>
      <c r="O274" s="13" t="n">
        <v>0</v>
      </c>
      <c r="P274" s="13" t="n">
        <v>0</v>
      </c>
      <c r="Q274" s="21" t="n">
        <f aca="false">IF($O274="","",$O274-IF($P274="",0,$P274))</f>
        <v>0</v>
      </c>
      <c r="R274" s="13" t="n">
        <v>2</v>
      </c>
      <c r="S274" s="21" t="str">
        <f aca="false">IF($O274="","",IF($Q274&lt;=$R274,"⚠ REORDER","OK"))</f>
        <v>⚠ REORDER</v>
      </c>
      <c r="T274" s="13"/>
      <c r="U274" s="13"/>
      <c r="V274" s="13" t="s">
        <v>378</v>
      </c>
      <c r="W274" s="12" t="s">
        <v>379</v>
      </c>
      <c r="X274" s="13"/>
      <c r="Y274" s="13"/>
      <c r="Z274" s="12" t="s">
        <v>88</v>
      </c>
      <c r="AA274" s="12" t="s">
        <v>88</v>
      </c>
      <c r="AB274" s="12" t="s">
        <v>88</v>
      </c>
      <c r="AC274" s="12" t="s">
        <v>88</v>
      </c>
      <c r="AD274" s="12" t="s">
        <v>87</v>
      </c>
      <c r="AE274" s="21" t="n">
        <f aca="false">IFERROR(SUMIFS(Transactions!$F:$F,Transactions!$C:$C,$A274,Transactions!$D:$D,"Sale"),0)</f>
        <v>0</v>
      </c>
      <c r="AF274" s="15" t="n">
        <f aca="false">IFERROR(SUMIFS(Transactions!$H:$H,Transactions!$C:$C,$A274,Transactions!$D:$D,"Sale"),0)</f>
        <v>0</v>
      </c>
      <c r="AG274" s="22" t="str">
        <f aca="false">IFERROR(IF(maxifs(Transactions!$B:$B,Transactions!$C:$C,$A274,Transactions!$D:$D,"Sale")=0,"",maxifs(Transactions!$B:$B,Transactions!$C:$C,$A274,Transactions!$D:$D,"Sale")),"")</f>
        <v/>
      </c>
      <c r="AH274" s="12"/>
    </row>
    <row r="275" customFormat="false" ht="18" hidden="false" customHeight="true" outlineLevel="0" collapsed="false">
      <c r="A275" s="12" t="s">
        <v>659</v>
      </c>
      <c r="B275" s="12" t="s">
        <v>249</v>
      </c>
      <c r="C275" s="12" t="s">
        <v>244</v>
      </c>
      <c r="D275" s="12" t="s">
        <v>245</v>
      </c>
      <c r="E275" s="12" t="s">
        <v>246</v>
      </c>
      <c r="F275" s="12"/>
      <c r="G275" s="12" t="s">
        <v>657</v>
      </c>
      <c r="H275" s="12" t="s">
        <v>660</v>
      </c>
      <c r="I275" s="14" t="n">
        <v>27000</v>
      </c>
      <c r="J275" s="18" t="n">
        <f aca="false">IF($I275="","",ROUND($I275*Dropdowns!$K$5,2))</f>
        <v>70.2</v>
      </c>
      <c r="K275" s="19" t="n">
        <f aca="false">IF($I275="","",ROUND($I275*Dropdowns!$K$6,2))</f>
        <v>64.8</v>
      </c>
      <c r="L275" s="20" t="n">
        <f aca="false">IF($I275="","",ROUND($I275*Dropdowns!$K$7,2))</f>
        <v>5535</v>
      </c>
      <c r="M275" s="15" t="str">
        <f aca="false">IFERROR(IF($B275="","",VLOOKUP($B275,Designs!$A$3:$AP$165,27,FALSE())),"")</f>
        <v/>
      </c>
      <c r="N275" s="16" t="str">
        <f aca="false">IFERROR(IF(OR($I275="",$M275="",$M275=0),"",($I275-$M275)/$I275),"")</f>
        <v/>
      </c>
      <c r="O275" s="13" t="n">
        <v>0</v>
      </c>
      <c r="P275" s="13" t="n">
        <v>0</v>
      </c>
      <c r="Q275" s="21" t="n">
        <f aca="false">IF($O275="","",$O275-IF($P275="",0,$P275))</f>
        <v>0</v>
      </c>
      <c r="R275" s="13" t="n">
        <v>2</v>
      </c>
      <c r="S275" s="21" t="str">
        <f aca="false">IF($O275="","",IF($Q275&lt;=$R275,"⚠ REORDER","OK"))</f>
        <v>⚠ REORDER</v>
      </c>
      <c r="T275" s="13"/>
      <c r="U275" s="13"/>
      <c r="V275" s="13" t="s">
        <v>378</v>
      </c>
      <c r="W275" s="12" t="s">
        <v>379</v>
      </c>
      <c r="X275" s="13"/>
      <c r="Y275" s="13"/>
      <c r="Z275" s="12" t="s">
        <v>88</v>
      </c>
      <c r="AA275" s="12" t="s">
        <v>88</v>
      </c>
      <c r="AB275" s="12" t="s">
        <v>88</v>
      </c>
      <c r="AC275" s="12" t="s">
        <v>88</v>
      </c>
      <c r="AD275" s="12" t="s">
        <v>87</v>
      </c>
      <c r="AE275" s="21" t="n">
        <f aca="false">IFERROR(SUMIFS(Transactions!$F:$F,Transactions!$C:$C,$A275,Transactions!$D:$D,"Sale"),0)</f>
        <v>0</v>
      </c>
      <c r="AF275" s="15" t="n">
        <f aca="false">IFERROR(SUMIFS(Transactions!$H:$H,Transactions!$C:$C,$A275,Transactions!$D:$D,"Sale"),0)</f>
        <v>0</v>
      </c>
      <c r="AG275" s="22" t="str">
        <f aca="false">IFERROR(IF(maxifs(Transactions!$B:$B,Transactions!$C:$C,$A275,Transactions!$D:$D,"Sale")=0,"",maxifs(Transactions!$B:$B,Transactions!$C:$C,$A275,Transactions!$D:$D,"Sale")),"")</f>
        <v/>
      </c>
      <c r="AH275" s="12"/>
    </row>
    <row r="276" customFormat="false" ht="18" hidden="false" customHeight="true" outlineLevel="0" collapsed="false">
      <c r="A276" s="12" t="s">
        <v>661</v>
      </c>
      <c r="B276" s="12" t="s">
        <v>249</v>
      </c>
      <c r="C276" s="12" t="s">
        <v>244</v>
      </c>
      <c r="D276" s="12" t="s">
        <v>245</v>
      </c>
      <c r="E276" s="12" t="s">
        <v>246</v>
      </c>
      <c r="F276" s="12"/>
      <c r="G276" s="12" t="s">
        <v>657</v>
      </c>
      <c r="H276" s="12" t="s">
        <v>662</v>
      </c>
      <c r="I276" s="14" t="n">
        <v>27000</v>
      </c>
      <c r="J276" s="18" t="n">
        <f aca="false">IF($I276="","",ROUND($I276*Dropdowns!$K$5,2))</f>
        <v>70.2</v>
      </c>
      <c r="K276" s="19" t="n">
        <f aca="false">IF($I276="","",ROUND($I276*Dropdowns!$K$6,2))</f>
        <v>64.8</v>
      </c>
      <c r="L276" s="20" t="n">
        <f aca="false">IF($I276="","",ROUND($I276*Dropdowns!$K$7,2))</f>
        <v>5535</v>
      </c>
      <c r="M276" s="15" t="str">
        <f aca="false">IFERROR(IF($B276="","",VLOOKUP($B276,Designs!$A$3:$AP$165,27,FALSE())),"")</f>
        <v/>
      </c>
      <c r="N276" s="16" t="str">
        <f aca="false">IFERROR(IF(OR($I276="",$M276="",$M276=0),"",($I276-$M276)/$I276),"")</f>
        <v/>
      </c>
      <c r="O276" s="13" t="n">
        <v>0</v>
      </c>
      <c r="P276" s="13" t="n">
        <v>0</v>
      </c>
      <c r="Q276" s="21" t="n">
        <f aca="false">IF($O276="","",$O276-IF($P276="",0,$P276))</f>
        <v>0</v>
      </c>
      <c r="R276" s="13" t="n">
        <v>2</v>
      </c>
      <c r="S276" s="21" t="str">
        <f aca="false">IF($O276="","",IF($Q276&lt;=$R276,"⚠ REORDER","OK"))</f>
        <v>⚠ REORDER</v>
      </c>
      <c r="T276" s="13"/>
      <c r="U276" s="13"/>
      <c r="V276" s="13" t="s">
        <v>378</v>
      </c>
      <c r="W276" s="12" t="s">
        <v>379</v>
      </c>
      <c r="X276" s="13"/>
      <c r="Y276" s="13"/>
      <c r="Z276" s="12" t="s">
        <v>88</v>
      </c>
      <c r="AA276" s="12" t="s">
        <v>88</v>
      </c>
      <c r="AB276" s="12" t="s">
        <v>88</v>
      </c>
      <c r="AC276" s="12" t="s">
        <v>88</v>
      </c>
      <c r="AD276" s="12" t="s">
        <v>87</v>
      </c>
      <c r="AE276" s="21" t="n">
        <f aca="false">IFERROR(SUMIFS(Transactions!$F:$F,Transactions!$C:$C,$A276,Transactions!$D:$D,"Sale"),0)</f>
        <v>0</v>
      </c>
      <c r="AF276" s="15" t="n">
        <f aca="false">IFERROR(SUMIFS(Transactions!$H:$H,Transactions!$C:$C,$A276,Transactions!$D:$D,"Sale"),0)</f>
        <v>0</v>
      </c>
      <c r="AG276" s="22" t="str">
        <f aca="false">IFERROR(IF(maxifs(Transactions!$B:$B,Transactions!$C:$C,$A276,Transactions!$D:$D,"Sale")=0,"",maxifs(Transactions!$B:$B,Transactions!$C:$C,$A276,Transactions!$D:$D,"Sale")),"")</f>
        <v/>
      </c>
      <c r="AH276" s="12"/>
    </row>
    <row r="277" customFormat="false" ht="18" hidden="false" customHeight="true" outlineLevel="0" collapsed="false">
      <c r="A277" s="12" t="s">
        <v>663</v>
      </c>
      <c r="B277" s="12" t="s">
        <v>249</v>
      </c>
      <c r="C277" s="12" t="s">
        <v>244</v>
      </c>
      <c r="D277" s="12" t="s">
        <v>245</v>
      </c>
      <c r="E277" s="12" t="s">
        <v>246</v>
      </c>
      <c r="F277" s="12"/>
      <c r="G277" s="12" t="s">
        <v>657</v>
      </c>
      <c r="H277" s="12" t="s">
        <v>664</v>
      </c>
      <c r="I277" s="14" t="n">
        <v>27000</v>
      </c>
      <c r="J277" s="18" t="n">
        <f aca="false">IF($I277="","",ROUND($I277*Dropdowns!$K$5,2))</f>
        <v>70.2</v>
      </c>
      <c r="K277" s="19" t="n">
        <f aca="false">IF($I277="","",ROUND($I277*Dropdowns!$K$6,2))</f>
        <v>64.8</v>
      </c>
      <c r="L277" s="20" t="n">
        <f aca="false">IF($I277="","",ROUND($I277*Dropdowns!$K$7,2))</f>
        <v>5535</v>
      </c>
      <c r="M277" s="15" t="str">
        <f aca="false">IFERROR(IF($B277="","",VLOOKUP($B277,Designs!$A$3:$AP$165,27,FALSE())),"")</f>
        <v/>
      </c>
      <c r="N277" s="16" t="str">
        <f aca="false">IFERROR(IF(OR($I277="",$M277="",$M277=0),"",($I277-$M277)/$I277),"")</f>
        <v/>
      </c>
      <c r="O277" s="13" t="n">
        <v>0</v>
      </c>
      <c r="P277" s="13" t="n">
        <v>0</v>
      </c>
      <c r="Q277" s="21" t="n">
        <f aca="false">IF($O277="","",$O277-IF($P277="",0,$P277))</f>
        <v>0</v>
      </c>
      <c r="R277" s="13" t="n">
        <v>2</v>
      </c>
      <c r="S277" s="21" t="str">
        <f aca="false">IF($O277="","",IF($Q277&lt;=$R277,"⚠ REORDER","OK"))</f>
        <v>⚠ REORDER</v>
      </c>
      <c r="T277" s="13"/>
      <c r="U277" s="13"/>
      <c r="V277" s="13" t="s">
        <v>378</v>
      </c>
      <c r="W277" s="12" t="s">
        <v>379</v>
      </c>
      <c r="X277" s="13"/>
      <c r="Y277" s="13"/>
      <c r="Z277" s="12" t="s">
        <v>88</v>
      </c>
      <c r="AA277" s="12" t="s">
        <v>88</v>
      </c>
      <c r="AB277" s="12" t="s">
        <v>88</v>
      </c>
      <c r="AC277" s="12" t="s">
        <v>88</v>
      </c>
      <c r="AD277" s="12" t="s">
        <v>87</v>
      </c>
      <c r="AE277" s="21" t="n">
        <f aca="false">IFERROR(SUMIFS(Transactions!$F:$F,Transactions!$C:$C,$A277,Transactions!$D:$D,"Sale"),0)</f>
        <v>0</v>
      </c>
      <c r="AF277" s="15" t="n">
        <f aca="false">IFERROR(SUMIFS(Transactions!$H:$H,Transactions!$C:$C,$A277,Transactions!$D:$D,"Sale"),0)</f>
        <v>0</v>
      </c>
      <c r="AG277" s="22" t="str">
        <f aca="false">IFERROR(IF(maxifs(Transactions!$B:$B,Transactions!$C:$C,$A277,Transactions!$D:$D,"Sale")=0,"",maxifs(Transactions!$B:$B,Transactions!$C:$C,$A277,Transactions!$D:$D,"Sale")),"")</f>
        <v/>
      </c>
      <c r="AH277" s="12"/>
    </row>
    <row r="278" customFormat="false" ht="18" hidden="false" customHeight="true" outlineLevel="0" collapsed="false">
      <c r="A278" s="12" t="s">
        <v>665</v>
      </c>
      <c r="B278" s="12" t="s">
        <v>250</v>
      </c>
      <c r="C278" s="12" t="s">
        <v>251</v>
      </c>
      <c r="D278" s="12" t="s">
        <v>245</v>
      </c>
      <c r="E278" s="12" t="s">
        <v>252</v>
      </c>
      <c r="F278" s="12"/>
      <c r="G278" s="12" t="s">
        <v>648</v>
      </c>
      <c r="H278" s="12" t="s">
        <v>649</v>
      </c>
      <c r="I278" s="14" t="n">
        <v>13000</v>
      </c>
      <c r="J278" s="18" t="n">
        <f aca="false">IF($I278="","",ROUND($I278*Dropdowns!$K$5,2))</f>
        <v>33.8</v>
      </c>
      <c r="K278" s="19" t="n">
        <f aca="false">IF($I278="","",ROUND($I278*Dropdowns!$K$6,2))</f>
        <v>31.2</v>
      </c>
      <c r="L278" s="20" t="n">
        <f aca="false">IF($I278="","",ROUND($I278*Dropdowns!$K$7,2))</f>
        <v>2665</v>
      </c>
      <c r="M278" s="15" t="str">
        <f aca="false">IFERROR(IF($B278="","",VLOOKUP($B278,Designs!$A$3:$AP$165,27,FALSE())),"")</f>
        <v/>
      </c>
      <c r="N278" s="16" t="str">
        <f aca="false">IFERROR(IF(OR($I278="",$M278="",$M278=0),"",($I278-$M278)/$I278),"")</f>
        <v/>
      </c>
      <c r="O278" s="13" t="n">
        <v>0</v>
      </c>
      <c r="P278" s="13" t="n">
        <v>0</v>
      </c>
      <c r="Q278" s="21" t="n">
        <f aca="false">IF($O278="","",$O278-IF($P278="",0,$P278))</f>
        <v>0</v>
      </c>
      <c r="R278" s="13" t="n">
        <v>2</v>
      </c>
      <c r="S278" s="21" t="str">
        <f aca="false">IF($O278="","",IF($Q278&lt;=$R278,"⚠ REORDER","OK"))</f>
        <v>⚠ REORDER</v>
      </c>
      <c r="T278" s="13"/>
      <c r="U278" s="13"/>
      <c r="V278" s="13" t="s">
        <v>378</v>
      </c>
      <c r="W278" s="12" t="s">
        <v>379</v>
      </c>
      <c r="X278" s="13"/>
      <c r="Y278" s="13"/>
      <c r="Z278" s="12" t="s">
        <v>88</v>
      </c>
      <c r="AA278" s="12" t="s">
        <v>88</v>
      </c>
      <c r="AB278" s="12" t="s">
        <v>88</v>
      </c>
      <c r="AC278" s="12" t="s">
        <v>88</v>
      </c>
      <c r="AD278" s="12" t="s">
        <v>87</v>
      </c>
      <c r="AE278" s="21" t="n">
        <f aca="false">IFERROR(SUMIFS(Transactions!$F:$F,Transactions!$C:$C,$A278,Transactions!$D:$D,"Sale"),0)</f>
        <v>0</v>
      </c>
      <c r="AF278" s="15" t="n">
        <f aca="false">IFERROR(SUMIFS(Transactions!$H:$H,Transactions!$C:$C,$A278,Transactions!$D:$D,"Sale"),0)</f>
        <v>0</v>
      </c>
      <c r="AG278" s="22" t="str">
        <f aca="false">IFERROR(IF(maxifs(Transactions!$B:$B,Transactions!$C:$C,$A278,Transactions!$D:$D,"Sale")=0,"",maxifs(Transactions!$B:$B,Transactions!$C:$C,$A278,Transactions!$D:$D,"Sale")),"")</f>
        <v/>
      </c>
      <c r="AH278" s="12"/>
    </row>
    <row r="279" customFormat="false" ht="18" hidden="false" customHeight="true" outlineLevel="0" collapsed="false">
      <c r="A279" s="12" t="s">
        <v>666</v>
      </c>
      <c r="B279" s="12" t="s">
        <v>250</v>
      </c>
      <c r="C279" s="12" t="s">
        <v>251</v>
      </c>
      <c r="D279" s="12" t="s">
        <v>245</v>
      </c>
      <c r="E279" s="12" t="s">
        <v>252</v>
      </c>
      <c r="F279" s="12"/>
      <c r="G279" s="12" t="s">
        <v>648</v>
      </c>
      <c r="H279" s="12" t="s">
        <v>383</v>
      </c>
      <c r="I279" s="14" t="n">
        <v>13000</v>
      </c>
      <c r="J279" s="18" t="n">
        <f aca="false">IF($I279="","",ROUND($I279*Dropdowns!$K$5,2))</f>
        <v>33.8</v>
      </c>
      <c r="K279" s="19" t="n">
        <f aca="false">IF($I279="","",ROUND($I279*Dropdowns!$K$6,2))</f>
        <v>31.2</v>
      </c>
      <c r="L279" s="20" t="n">
        <f aca="false">IF($I279="","",ROUND($I279*Dropdowns!$K$7,2))</f>
        <v>2665</v>
      </c>
      <c r="M279" s="15" t="str">
        <f aca="false">IFERROR(IF($B279="","",VLOOKUP($B279,Designs!$A$3:$AP$165,27,FALSE())),"")</f>
        <v/>
      </c>
      <c r="N279" s="16" t="str">
        <f aca="false">IFERROR(IF(OR($I279="",$M279="",$M279=0),"",($I279-$M279)/$I279),"")</f>
        <v/>
      </c>
      <c r="O279" s="13" t="n">
        <v>0</v>
      </c>
      <c r="P279" s="13" t="n">
        <v>0</v>
      </c>
      <c r="Q279" s="21" t="n">
        <f aca="false">IF($O279="","",$O279-IF($P279="",0,$P279))</f>
        <v>0</v>
      </c>
      <c r="R279" s="13" t="n">
        <v>2</v>
      </c>
      <c r="S279" s="21" t="str">
        <f aca="false">IF($O279="","",IF($Q279&lt;=$R279,"⚠ REORDER","OK"))</f>
        <v>⚠ REORDER</v>
      </c>
      <c r="T279" s="13"/>
      <c r="U279" s="13"/>
      <c r="V279" s="13" t="s">
        <v>378</v>
      </c>
      <c r="W279" s="12" t="s">
        <v>379</v>
      </c>
      <c r="X279" s="13"/>
      <c r="Y279" s="13"/>
      <c r="Z279" s="12" t="s">
        <v>88</v>
      </c>
      <c r="AA279" s="12" t="s">
        <v>88</v>
      </c>
      <c r="AB279" s="12" t="s">
        <v>88</v>
      </c>
      <c r="AC279" s="12" t="s">
        <v>88</v>
      </c>
      <c r="AD279" s="12" t="s">
        <v>87</v>
      </c>
      <c r="AE279" s="21" t="n">
        <f aca="false">IFERROR(SUMIFS(Transactions!$F:$F,Transactions!$C:$C,$A279,Transactions!$D:$D,"Sale"),0)</f>
        <v>0</v>
      </c>
      <c r="AF279" s="15" t="n">
        <f aca="false">IFERROR(SUMIFS(Transactions!$H:$H,Transactions!$C:$C,$A279,Transactions!$D:$D,"Sale"),0)</f>
        <v>0</v>
      </c>
      <c r="AG279" s="22" t="str">
        <f aca="false">IFERROR(IF(maxifs(Transactions!$B:$B,Transactions!$C:$C,$A279,Transactions!$D:$D,"Sale")=0,"",maxifs(Transactions!$B:$B,Transactions!$C:$C,$A279,Transactions!$D:$D,"Sale")),"")</f>
        <v/>
      </c>
      <c r="AH279" s="12"/>
    </row>
    <row r="280" customFormat="false" ht="18" hidden="false" customHeight="true" outlineLevel="0" collapsed="false">
      <c r="A280" s="12" t="s">
        <v>667</v>
      </c>
      <c r="B280" s="12" t="s">
        <v>250</v>
      </c>
      <c r="C280" s="12" t="s">
        <v>251</v>
      </c>
      <c r="D280" s="12" t="s">
        <v>245</v>
      </c>
      <c r="E280" s="12" t="s">
        <v>252</v>
      </c>
      <c r="F280" s="12"/>
      <c r="G280" s="12" t="s">
        <v>648</v>
      </c>
      <c r="H280" s="12" t="s">
        <v>652</v>
      </c>
      <c r="I280" s="14" t="n">
        <v>13000</v>
      </c>
      <c r="J280" s="18" t="n">
        <f aca="false">IF($I280="","",ROUND($I280*Dropdowns!$K$5,2))</f>
        <v>33.8</v>
      </c>
      <c r="K280" s="19" t="n">
        <f aca="false">IF($I280="","",ROUND($I280*Dropdowns!$K$6,2))</f>
        <v>31.2</v>
      </c>
      <c r="L280" s="20" t="n">
        <f aca="false">IF($I280="","",ROUND($I280*Dropdowns!$K$7,2))</f>
        <v>2665</v>
      </c>
      <c r="M280" s="15" t="str">
        <f aca="false">IFERROR(IF($B280="","",VLOOKUP($B280,Designs!$A$3:$AP$165,27,FALSE())),"")</f>
        <v/>
      </c>
      <c r="N280" s="16" t="str">
        <f aca="false">IFERROR(IF(OR($I280="",$M280="",$M280=0),"",($I280-$M280)/$I280),"")</f>
        <v/>
      </c>
      <c r="O280" s="13" t="n">
        <v>0</v>
      </c>
      <c r="P280" s="13" t="n">
        <v>0</v>
      </c>
      <c r="Q280" s="21" t="n">
        <f aca="false">IF($O280="","",$O280-IF($P280="",0,$P280))</f>
        <v>0</v>
      </c>
      <c r="R280" s="13" t="n">
        <v>2</v>
      </c>
      <c r="S280" s="21" t="str">
        <f aca="false">IF($O280="","",IF($Q280&lt;=$R280,"⚠ REORDER","OK"))</f>
        <v>⚠ REORDER</v>
      </c>
      <c r="T280" s="13"/>
      <c r="U280" s="13"/>
      <c r="V280" s="13" t="s">
        <v>378</v>
      </c>
      <c r="W280" s="12" t="s">
        <v>379</v>
      </c>
      <c r="X280" s="13"/>
      <c r="Y280" s="13"/>
      <c r="Z280" s="12" t="s">
        <v>88</v>
      </c>
      <c r="AA280" s="12" t="s">
        <v>88</v>
      </c>
      <c r="AB280" s="12" t="s">
        <v>88</v>
      </c>
      <c r="AC280" s="12" t="s">
        <v>88</v>
      </c>
      <c r="AD280" s="12" t="s">
        <v>87</v>
      </c>
      <c r="AE280" s="21" t="n">
        <f aca="false">IFERROR(SUMIFS(Transactions!$F:$F,Transactions!$C:$C,$A280,Transactions!$D:$D,"Sale"),0)</f>
        <v>0</v>
      </c>
      <c r="AF280" s="15" t="n">
        <f aca="false">IFERROR(SUMIFS(Transactions!$H:$H,Transactions!$C:$C,$A280,Transactions!$D:$D,"Sale"),0)</f>
        <v>0</v>
      </c>
      <c r="AG280" s="22" t="str">
        <f aca="false">IFERROR(IF(maxifs(Transactions!$B:$B,Transactions!$C:$C,$A280,Transactions!$D:$D,"Sale")=0,"",maxifs(Transactions!$B:$B,Transactions!$C:$C,$A280,Transactions!$D:$D,"Sale")),"")</f>
        <v/>
      </c>
      <c r="AH280" s="12"/>
    </row>
    <row r="281" customFormat="false" ht="18" hidden="false" customHeight="true" outlineLevel="0" collapsed="false">
      <c r="A281" s="12" t="s">
        <v>668</v>
      </c>
      <c r="B281" s="12" t="s">
        <v>250</v>
      </c>
      <c r="C281" s="12" t="s">
        <v>251</v>
      </c>
      <c r="D281" s="12" t="s">
        <v>245</v>
      </c>
      <c r="E281" s="12" t="s">
        <v>252</v>
      </c>
      <c r="F281" s="12"/>
      <c r="G281" s="12" t="s">
        <v>648</v>
      </c>
      <c r="H281" s="12" t="s">
        <v>381</v>
      </c>
      <c r="I281" s="14" t="n">
        <v>13000</v>
      </c>
      <c r="J281" s="18" t="n">
        <f aca="false">IF($I281="","",ROUND($I281*Dropdowns!$K$5,2))</f>
        <v>33.8</v>
      </c>
      <c r="K281" s="19" t="n">
        <f aca="false">IF($I281="","",ROUND($I281*Dropdowns!$K$6,2))</f>
        <v>31.2</v>
      </c>
      <c r="L281" s="20" t="n">
        <f aca="false">IF($I281="","",ROUND($I281*Dropdowns!$K$7,2))</f>
        <v>2665</v>
      </c>
      <c r="M281" s="15" t="str">
        <f aca="false">IFERROR(IF($B281="","",VLOOKUP($B281,Designs!$A$3:$AP$165,27,FALSE())),"")</f>
        <v/>
      </c>
      <c r="N281" s="16" t="str">
        <f aca="false">IFERROR(IF(OR($I281="",$M281="",$M281=0),"",($I281-$M281)/$I281),"")</f>
        <v/>
      </c>
      <c r="O281" s="13" t="n">
        <v>0</v>
      </c>
      <c r="P281" s="13" t="n">
        <v>0</v>
      </c>
      <c r="Q281" s="21" t="n">
        <f aca="false">IF($O281="","",$O281-IF($P281="",0,$P281))</f>
        <v>0</v>
      </c>
      <c r="R281" s="13" t="n">
        <v>2</v>
      </c>
      <c r="S281" s="21" t="str">
        <f aca="false">IF($O281="","",IF($Q281&lt;=$R281,"⚠ REORDER","OK"))</f>
        <v>⚠ REORDER</v>
      </c>
      <c r="T281" s="13"/>
      <c r="U281" s="13"/>
      <c r="V281" s="13" t="s">
        <v>378</v>
      </c>
      <c r="W281" s="12" t="s">
        <v>379</v>
      </c>
      <c r="X281" s="13"/>
      <c r="Y281" s="13"/>
      <c r="Z281" s="12" t="s">
        <v>88</v>
      </c>
      <c r="AA281" s="12" t="s">
        <v>88</v>
      </c>
      <c r="AB281" s="12" t="s">
        <v>88</v>
      </c>
      <c r="AC281" s="12" t="s">
        <v>88</v>
      </c>
      <c r="AD281" s="12" t="s">
        <v>87</v>
      </c>
      <c r="AE281" s="21" t="n">
        <f aca="false">IFERROR(SUMIFS(Transactions!$F:$F,Transactions!$C:$C,$A281,Transactions!$D:$D,"Sale"),0)</f>
        <v>0</v>
      </c>
      <c r="AF281" s="15" t="n">
        <f aca="false">IFERROR(SUMIFS(Transactions!$H:$H,Transactions!$C:$C,$A281,Transactions!$D:$D,"Sale"),0)</f>
        <v>0</v>
      </c>
      <c r="AG281" s="22" t="str">
        <f aca="false">IFERROR(IF(maxifs(Transactions!$B:$B,Transactions!$C:$C,$A281,Transactions!$D:$D,"Sale")=0,"",maxifs(Transactions!$B:$B,Transactions!$C:$C,$A281,Transactions!$D:$D,"Sale")),"")</f>
        <v/>
      </c>
      <c r="AH281" s="12"/>
    </row>
    <row r="282" customFormat="false" ht="18" hidden="false" customHeight="true" outlineLevel="0" collapsed="false">
      <c r="A282" s="12" t="s">
        <v>669</v>
      </c>
      <c r="B282" s="12" t="s">
        <v>250</v>
      </c>
      <c r="C282" s="12" t="s">
        <v>251</v>
      </c>
      <c r="D282" s="12" t="s">
        <v>245</v>
      </c>
      <c r="E282" s="12" t="s">
        <v>252</v>
      </c>
      <c r="F282" s="12"/>
      <c r="G282" s="12" t="s">
        <v>648</v>
      </c>
      <c r="H282" s="12" t="s">
        <v>655</v>
      </c>
      <c r="I282" s="14" t="n">
        <v>13000</v>
      </c>
      <c r="J282" s="18" t="n">
        <f aca="false">IF($I282="","",ROUND($I282*Dropdowns!$K$5,2))</f>
        <v>33.8</v>
      </c>
      <c r="K282" s="19" t="n">
        <f aca="false">IF($I282="","",ROUND($I282*Dropdowns!$K$6,2))</f>
        <v>31.2</v>
      </c>
      <c r="L282" s="20" t="n">
        <f aca="false">IF($I282="","",ROUND($I282*Dropdowns!$K$7,2))</f>
        <v>2665</v>
      </c>
      <c r="M282" s="15" t="str">
        <f aca="false">IFERROR(IF($B282="","",VLOOKUP($B282,Designs!$A$3:$AP$165,27,FALSE())),"")</f>
        <v/>
      </c>
      <c r="N282" s="16" t="str">
        <f aca="false">IFERROR(IF(OR($I282="",$M282="",$M282=0),"",($I282-$M282)/$I282),"")</f>
        <v/>
      </c>
      <c r="O282" s="13" t="n">
        <v>0</v>
      </c>
      <c r="P282" s="13" t="n">
        <v>0</v>
      </c>
      <c r="Q282" s="21" t="n">
        <f aca="false">IF($O282="","",$O282-IF($P282="",0,$P282))</f>
        <v>0</v>
      </c>
      <c r="R282" s="13" t="n">
        <v>2</v>
      </c>
      <c r="S282" s="21" t="str">
        <f aca="false">IF($O282="","",IF($Q282&lt;=$R282,"⚠ REORDER","OK"))</f>
        <v>⚠ REORDER</v>
      </c>
      <c r="T282" s="13"/>
      <c r="U282" s="13"/>
      <c r="V282" s="13" t="s">
        <v>378</v>
      </c>
      <c r="W282" s="12" t="s">
        <v>379</v>
      </c>
      <c r="X282" s="13"/>
      <c r="Y282" s="13"/>
      <c r="Z282" s="12" t="s">
        <v>88</v>
      </c>
      <c r="AA282" s="12" t="s">
        <v>88</v>
      </c>
      <c r="AB282" s="12" t="s">
        <v>88</v>
      </c>
      <c r="AC282" s="12" t="s">
        <v>88</v>
      </c>
      <c r="AD282" s="12" t="s">
        <v>87</v>
      </c>
      <c r="AE282" s="21" t="n">
        <f aca="false">IFERROR(SUMIFS(Transactions!$F:$F,Transactions!$C:$C,$A282,Transactions!$D:$D,"Sale"),0)</f>
        <v>0</v>
      </c>
      <c r="AF282" s="15" t="n">
        <f aca="false">IFERROR(SUMIFS(Transactions!$H:$H,Transactions!$C:$C,$A282,Transactions!$D:$D,"Sale"),0)</f>
        <v>0</v>
      </c>
      <c r="AG282" s="22" t="str">
        <f aca="false">IFERROR(IF(maxifs(Transactions!$B:$B,Transactions!$C:$C,$A282,Transactions!$D:$D,"Sale")=0,"",maxifs(Transactions!$B:$B,Transactions!$C:$C,$A282,Transactions!$D:$D,"Sale")),"")</f>
        <v/>
      </c>
      <c r="AH282" s="12"/>
    </row>
    <row r="283" customFormat="false" ht="18" hidden="false" customHeight="true" outlineLevel="0" collapsed="false">
      <c r="A283" s="12" t="s">
        <v>670</v>
      </c>
      <c r="B283" s="12" t="s">
        <v>255</v>
      </c>
      <c r="C283" s="12" t="s">
        <v>251</v>
      </c>
      <c r="D283" s="12" t="s">
        <v>245</v>
      </c>
      <c r="E283" s="12" t="s">
        <v>252</v>
      </c>
      <c r="F283" s="12"/>
      <c r="G283" s="12" t="s">
        <v>657</v>
      </c>
      <c r="H283" s="12" t="s">
        <v>383</v>
      </c>
      <c r="I283" s="14" t="n">
        <v>27000</v>
      </c>
      <c r="J283" s="18" t="n">
        <f aca="false">IF($I283="","",ROUND($I283*Dropdowns!$K$5,2))</f>
        <v>70.2</v>
      </c>
      <c r="K283" s="19" t="n">
        <f aca="false">IF($I283="","",ROUND($I283*Dropdowns!$K$6,2))</f>
        <v>64.8</v>
      </c>
      <c r="L283" s="20" t="n">
        <f aca="false">IF($I283="","",ROUND($I283*Dropdowns!$K$7,2))</f>
        <v>5535</v>
      </c>
      <c r="M283" s="15" t="str">
        <f aca="false">IFERROR(IF($B283="","",VLOOKUP($B283,Designs!$A$3:$AP$165,27,FALSE())),"")</f>
        <v/>
      </c>
      <c r="N283" s="16" t="str">
        <f aca="false">IFERROR(IF(OR($I283="",$M283="",$M283=0),"",($I283-$M283)/$I283),"")</f>
        <v/>
      </c>
      <c r="O283" s="13" t="n">
        <v>0</v>
      </c>
      <c r="P283" s="13" t="n">
        <v>0</v>
      </c>
      <c r="Q283" s="21" t="n">
        <f aca="false">IF($O283="","",$O283-IF($P283="",0,$P283))</f>
        <v>0</v>
      </c>
      <c r="R283" s="13" t="n">
        <v>2</v>
      </c>
      <c r="S283" s="21" t="str">
        <f aca="false">IF($O283="","",IF($Q283&lt;=$R283,"⚠ REORDER","OK"))</f>
        <v>⚠ REORDER</v>
      </c>
      <c r="T283" s="13"/>
      <c r="U283" s="13"/>
      <c r="V283" s="13" t="s">
        <v>378</v>
      </c>
      <c r="W283" s="12" t="s">
        <v>379</v>
      </c>
      <c r="X283" s="13"/>
      <c r="Y283" s="13"/>
      <c r="Z283" s="12" t="s">
        <v>88</v>
      </c>
      <c r="AA283" s="12" t="s">
        <v>88</v>
      </c>
      <c r="AB283" s="12" t="s">
        <v>88</v>
      </c>
      <c r="AC283" s="12" t="s">
        <v>88</v>
      </c>
      <c r="AD283" s="12" t="s">
        <v>87</v>
      </c>
      <c r="AE283" s="21" t="n">
        <f aca="false">IFERROR(SUMIFS(Transactions!$F:$F,Transactions!$C:$C,$A283,Transactions!$D:$D,"Sale"),0)</f>
        <v>0</v>
      </c>
      <c r="AF283" s="15" t="n">
        <f aca="false">IFERROR(SUMIFS(Transactions!$H:$H,Transactions!$C:$C,$A283,Transactions!$D:$D,"Sale"),0)</f>
        <v>0</v>
      </c>
      <c r="AG283" s="22" t="str">
        <f aca="false">IFERROR(IF(maxifs(Transactions!$B:$B,Transactions!$C:$C,$A283,Transactions!$D:$D,"Sale")=0,"",maxifs(Transactions!$B:$B,Transactions!$C:$C,$A283,Transactions!$D:$D,"Sale")),"")</f>
        <v/>
      </c>
      <c r="AH283" s="12"/>
    </row>
    <row r="284" customFormat="false" ht="18" hidden="false" customHeight="true" outlineLevel="0" collapsed="false">
      <c r="A284" s="12" t="s">
        <v>671</v>
      </c>
      <c r="B284" s="12" t="s">
        <v>255</v>
      </c>
      <c r="C284" s="12" t="s">
        <v>251</v>
      </c>
      <c r="D284" s="12" t="s">
        <v>245</v>
      </c>
      <c r="E284" s="12" t="s">
        <v>252</v>
      </c>
      <c r="F284" s="12"/>
      <c r="G284" s="12" t="s">
        <v>657</v>
      </c>
      <c r="H284" s="12" t="s">
        <v>381</v>
      </c>
      <c r="I284" s="14" t="n">
        <v>27000</v>
      </c>
      <c r="J284" s="18" t="n">
        <f aca="false">IF($I284="","",ROUND($I284*Dropdowns!$K$5,2))</f>
        <v>70.2</v>
      </c>
      <c r="K284" s="19" t="n">
        <f aca="false">IF($I284="","",ROUND($I284*Dropdowns!$K$6,2))</f>
        <v>64.8</v>
      </c>
      <c r="L284" s="20" t="n">
        <f aca="false">IF($I284="","",ROUND($I284*Dropdowns!$K$7,2))</f>
        <v>5535</v>
      </c>
      <c r="M284" s="15" t="str">
        <f aca="false">IFERROR(IF($B284="","",VLOOKUP($B284,Designs!$A$3:$AP$165,27,FALSE())),"")</f>
        <v/>
      </c>
      <c r="N284" s="16" t="str">
        <f aca="false">IFERROR(IF(OR($I284="",$M284="",$M284=0),"",($I284-$M284)/$I284),"")</f>
        <v/>
      </c>
      <c r="O284" s="13" t="n">
        <v>0</v>
      </c>
      <c r="P284" s="13" t="n">
        <v>0</v>
      </c>
      <c r="Q284" s="21" t="n">
        <f aca="false">IF($O284="","",$O284-IF($P284="",0,$P284))</f>
        <v>0</v>
      </c>
      <c r="R284" s="13" t="n">
        <v>2</v>
      </c>
      <c r="S284" s="21" t="str">
        <f aca="false">IF($O284="","",IF($Q284&lt;=$R284,"⚠ REORDER","OK"))</f>
        <v>⚠ REORDER</v>
      </c>
      <c r="T284" s="13"/>
      <c r="U284" s="13"/>
      <c r="V284" s="13" t="s">
        <v>378</v>
      </c>
      <c r="W284" s="12" t="s">
        <v>379</v>
      </c>
      <c r="X284" s="13"/>
      <c r="Y284" s="13"/>
      <c r="Z284" s="12" t="s">
        <v>88</v>
      </c>
      <c r="AA284" s="12" t="s">
        <v>88</v>
      </c>
      <c r="AB284" s="12" t="s">
        <v>88</v>
      </c>
      <c r="AC284" s="12" t="s">
        <v>88</v>
      </c>
      <c r="AD284" s="12" t="s">
        <v>87</v>
      </c>
      <c r="AE284" s="21" t="n">
        <f aca="false">IFERROR(SUMIFS(Transactions!$F:$F,Transactions!$C:$C,$A284,Transactions!$D:$D,"Sale"),0)</f>
        <v>0</v>
      </c>
      <c r="AF284" s="15" t="n">
        <f aca="false">IFERROR(SUMIFS(Transactions!$H:$H,Transactions!$C:$C,$A284,Transactions!$D:$D,"Sale"),0)</f>
        <v>0</v>
      </c>
      <c r="AG284" s="22" t="str">
        <f aca="false">IFERROR(IF(maxifs(Transactions!$B:$B,Transactions!$C:$C,$A284,Transactions!$D:$D,"Sale")=0,"",maxifs(Transactions!$B:$B,Transactions!$C:$C,$A284,Transactions!$D:$D,"Sale")),"")</f>
        <v/>
      </c>
      <c r="AH284" s="12"/>
    </row>
    <row r="285" customFormat="false" ht="18" hidden="false" customHeight="true" outlineLevel="0" collapsed="false">
      <c r="A285" s="12" t="s">
        <v>672</v>
      </c>
      <c r="B285" s="12" t="s">
        <v>255</v>
      </c>
      <c r="C285" s="12" t="s">
        <v>251</v>
      </c>
      <c r="D285" s="12" t="s">
        <v>245</v>
      </c>
      <c r="E285" s="12" t="s">
        <v>252</v>
      </c>
      <c r="F285" s="12"/>
      <c r="G285" s="12" t="s">
        <v>657</v>
      </c>
      <c r="H285" s="12" t="s">
        <v>673</v>
      </c>
      <c r="I285" s="14" t="n">
        <v>27000</v>
      </c>
      <c r="J285" s="18" t="n">
        <f aca="false">IF($I285="","",ROUND($I285*Dropdowns!$K$5,2))</f>
        <v>70.2</v>
      </c>
      <c r="K285" s="19" t="n">
        <f aca="false">IF($I285="","",ROUND($I285*Dropdowns!$K$6,2))</f>
        <v>64.8</v>
      </c>
      <c r="L285" s="20" t="n">
        <f aca="false">IF($I285="","",ROUND($I285*Dropdowns!$K$7,2))</f>
        <v>5535</v>
      </c>
      <c r="M285" s="15" t="str">
        <f aca="false">IFERROR(IF($B285="","",VLOOKUP($B285,Designs!$A$3:$AP$165,27,FALSE())),"")</f>
        <v/>
      </c>
      <c r="N285" s="16" t="str">
        <f aca="false">IFERROR(IF(OR($I285="",$M285="",$M285=0),"",($I285-$M285)/$I285),"")</f>
        <v/>
      </c>
      <c r="O285" s="13" t="n">
        <v>0</v>
      </c>
      <c r="P285" s="13" t="n">
        <v>0</v>
      </c>
      <c r="Q285" s="21" t="n">
        <f aca="false">IF($O285="","",$O285-IF($P285="",0,$P285))</f>
        <v>0</v>
      </c>
      <c r="R285" s="13" t="n">
        <v>2</v>
      </c>
      <c r="S285" s="21" t="str">
        <f aca="false">IF($O285="","",IF($Q285&lt;=$R285,"⚠ REORDER","OK"))</f>
        <v>⚠ REORDER</v>
      </c>
      <c r="T285" s="13"/>
      <c r="U285" s="13"/>
      <c r="V285" s="13" t="s">
        <v>378</v>
      </c>
      <c r="W285" s="12" t="s">
        <v>379</v>
      </c>
      <c r="X285" s="13"/>
      <c r="Y285" s="13"/>
      <c r="Z285" s="12" t="s">
        <v>88</v>
      </c>
      <c r="AA285" s="12" t="s">
        <v>88</v>
      </c>
      <c r="AB285" s="12" t="s">
        <v>88</v>
      </c>
      <c r="AC285" s="12" t="s">
        <v>88</v>
      </c>
      <c r="AD285" s="12" t="s">
        <v>87</v>
      </c>
      <c r="AE285" s="21" t="n">
        <f aca="false">IFERROR(SUMIFS(Transactions!$F:$F,Transactions!$C:$C,$A285,Transactions!$D:$D,"Sale"),0)</f>
        <v>1</v>
      </c>
      <c r="AF285" s="15" t="n">
        <f aca="false">IFERROR(SUMIFS(Transactions!$H:$H,Transactions!$C:$C,$A285,Transactions!$D:$D,"Sale"),0)</f>
        <v>27000</v>
      </c>
      <c r="AG285" s="22" t="str">
        <f aca="false">IFERROR(IF(maxifs(Transactions!$B:$B,Transactions!$C:$C,$A285,Transactions!$D:$D,"Sale")=0,"",maxifs(Transactions!$B:$B,Transactions!$C:$C,$A285,Transactions!$D:$D,"Sale")),"")</f>
        <v/>
      </c>
      <c r="AH285" s="12"/>
    </row>
    <row r="286" customFormat="false" ht="18" hidden="false" customHeight="true" outlineLevel="0" collapsed="false">
      <c r="A286" s="12" t="s">
        <v>674</v>
      </c>
      <c r="B286" s="12" t="s">
        <v>255</v>
      </c>
      <c r="C286" s="12" t="s">
        <v>251</v>
      </c>
      <c r="D286" s="12" t="s">
        <v>245</v>
      </c>
      <c r="E286" s="12" t="s">
        <v>252</v>
      </c>
      <c r="F286" s="12"/>
      <c r="G286" s="12" t="s">
        <v>657</v>
      </c>
      <c r="H286" s="12" t="s">
        <v>649</v>
      </c>
      <c r="I286" s="14" t="n">
        <v>27000</v>
      </c>
      <c r="J286" s="18" t="n">
        <f aca="false">IF($I286="","",ROUND($I286*Dropdowns!$K$5,2))</f>
        <v>70.2</v>
      </c>
      <c r="K286" s="19" t="n">
        <f aca="false">IF($I286="","",ROUND($I286*Dropdowns!$K$6,2))</f>
        <v>64.8</v>
      </c>
      <c r="L286" s="20" t="n">
        <f aca="false">IF($I286="","",ROUND($I286*Dropdowns!$K$7,2))</f>
        <v>5535</v>
      </c>
      <c r="M286" s="15" t="str">
        <f aca="false">IFERROR(IF($B286="","",VLOOKUP($B286,Designs!$A$3:$AP$165,27,FALSE())),"")</f>
        <v/>
      </c>
      <c r="N286" s="16" t="str">
        <f aca="false">IFERROR(IF(OR($I286="",$M286="",$M286=0),"",($I286-$M286)/$I286),"")</f>
        <v/>
      </c>
      <c r="O286" s="13" t="n">
        <v>0</v>
      </c>
      <c r="P286" s="13" t="n">
        <v>0</v>
      </c>
      <c r="Q286" s="21" t="n">
        <f aca="false">IF($O286="","",$O286-IF($P286="",0,$P286))</f>
        <v>0</v>
      </c>
      <c r="R286" s="13" t="n">
        <v>2</v>
      </c>
      <c r="S286" s="21" t="str">
        <f aca="false">IF($O286="","",IF($Q286&lt;=$R286,"⚠ REORDER","OK"))</f>
        <v>⚠ REORDER</v>
      </c>
      <c r="T286" s="13"/>
      <c r="U286" s="13"/>
      <c r="V286" s="13" t="s">
        <v>378</v>
      </c>
      <c r="W286" s="12" t="s">
        <v>379</v>
      </c>
      <c r="X286" s="13"/>
      <c r="Y286" s="13"/>
      <c r="Z286" s="12" t="s">
        <v>88</v>
      </c>
      <c r="AA286" s="12" t="s">
        <v>88</v>
      </c>
      <c r="AB286" s="12" t="s">
        <v>88</v>
      </c>
      <c r="AC286" s="12" t="s">
        <v>88</v>
      </c>
      <c r="AD286" s="12" t="s">
        <v>87</v>
      </c>
      <c r="AE286" s="21" t="n">
        <f aca="false">IFERROR(SUMIFS(Transactions!$F:$F,Transactions!$C:$C,$A286,Transactions!$D:$D,"Sale"),0)</f>
        <v>0</v>
      </c>
      <c r="AF286" s="15" t="n">
        <f aca="false">IFERROR(SUMIFS(Transactions!$H:$H,Transactions!$C:$C,$A286,Transactions!$D:$D,"Sale"),0)</f>
        <v>0</v>
      </c>
      <c r="AG286" s="22" t="str">
        <f aca="false">IFERROR(IF(maxifs(Transactions!$B:$B,Transactions!$C:$C,$A286,Transactions!$D:$D,"Sale")=0,"",maxifs(Transactions!$B:$B,Transactions!$C:$C,$A286,Transactions!$D:$D,"Sale")),"")</f>
        <v/>
      </c>
      <c r="AH286" s="12"/>
    </row>
    <row r="287" customFormat="false" ht="18" hidden="false" customHeight="true" outlineLevel="0" collapsed="false">
      <c r="A287" s="12" t="s">
        <v>675</v>
      </c>
      <c r="B287" s="12" t="s">
        <v>256</v>
      </c>
      <c r="C287" s="12" t="s">
        <v>257</v>
      </c>
      <c r="D287" s="12" t="s">
        <v>245</v>
      </c>
      <c r="E287" s="12" t="s">
        <v>258</v>
      </c>
      <c r="F287" s="12"/>
      <c r="G287" s="12" t="s">
        <v>648</v>
      </c>
      <c r="H287" s="12" t="s">
        <v>649</v>
      </c>
      <c r="I287" s="14" t="n">
        <v>13000</v>
      </c>
      <c r="J287" s="18" t="n">
        <f aca="false">IF($I287="","",ROUND($I287*Dropdowns!$K$5,2))</f>
        <v>33.8</v>
      </c>
      <c r="K287" s="19" t="n">
        <f aca="false">IF($I287="","",ROUND($I287*Dropdowns!$K$6,2))</f>
        <v>31.2</v>
      </c>
      <c r="L287" s="20" t="n">
        <f aca="false">IF($I287="","",ROUND($I287*Dropdowns!$K$7,2))</f>
        <v>2665</v>
      </c>
      <c r="M287" s="15" t="str">
        <f aca="false">IFERROR(IF($B287="","",VLOOKUP($B287,Designs!$A$3:$AP$165,27,FALSE())),"")</f>
        <v/>
      </c>
      <c r="N287" s="16" t="str">
        <f aca="false">IFERROR(IF(OR($I287="",$M287="",$M287=0),"",($I287-$M287)/$I287),"")</f>
        <v/>
      </c>
      <c r="O287" s="13" t="n">
        <v>0</v>
      </c>
      <c r="P287" s="13" t="n">
        <v>0</v>
      </c>
      <c r="Q287" s="21" t="n">
        <f aca="false">IF($O287="","",$O287-IF($P287="",0,$P287))</f>
        <v>0</v>
      </c>
      <c r="R287" s="13" t="n">
        <v>2</v>
      </c>
      <c r="S287" s="21" t="str">
        <f aca="false">IF($O287="","",IF($Q287&lt;=$R287,"⚠ REORDER","OK"))</f>
        <v>⚠ REORDER</v>
      </c>
      <c r="T287" s="13"/>
      <c r="U287" s="13"/>
      <c r="V287" s="13" t="s">
        <v>378</v>
      </c>
      <c r="W287" s="12" t="s">
        <v>379</v>
      </c>
      <c r="X287" s="13"/>
      <c r="Y287" s="13"/>
      <c r="Z287" s="12" t="s">
        <v>88</v>
      </c>
      <c r="AA287" s="12" t="s">
        <v>88</v>
      </c>
      <c r="AB287" s="12" t="s">
        <v>88</v>
      </c>
      <c r="AC287" s="12" t="s">
        <v>88</v>
      </c>
      <c r="AD287" s="12" t="s">
        <v>87</v>
      </c>
      <c r="AE287" s="21" t="n">
        <f aca="false">IFERROR(SUMIFS(Transactions!$F:$F,Transactions!$C:$C,$A287,Transactions!$D:$D,"Sale"),0)</f>
        <v>0</v>
      </c>
      <c r="AF287" s="15" t="n">
        <f aca="false">IFERROR(SUMIFS(Transactions!$H:$H,Transactions!$C:$C,$A287,Transactions!$D:$D,"Sale"),0)</f>
        <v>0</v>
      </c>
      <c r="AG287" s="22" t="str">
        <f aca="false">IFERROR(IF(maxifs(Transactions!$B:$B,Transactions!$C:$C,$A287,Transactions!$D:$D,"Sale")=0,"",maxifs(Transactions!$B:$B,Transactions!$C:$C,$A287,Transactions!$D:$D,"Sale")),"")</f>
        <v/>
      </c>
      <c r="AH287" s="12"/>
    </row>
    <row r="288" customFormat="false" ht="18" hidden="false" customHeight="true" outlineLevel="0" collapsed="false">
      <c r="A288" s="12" t="s">
        <v>676</v>
      </c>
      <c r="B288" s="12" t="s">
        <v>256</v>
      </c>
      <c r="C288" s="12" t="s">
        <v>257</v>
      </c>
      <c r="D288" s="12" t="s">
        <v>245</v>
      </c>
      <c r="E288" s="12" t="s">
        <v>258</v>
      </c>
      <c r="F288" s="12"/>
      <c r="G288" s="12" t="s">
        <v>648</v>
      </c>
      <c r="H288" s="12" t="s">
        <v>677</v>
      </c>
      <c r="I288" s="14" t="n">
        <v>13000</v>
      </c>
      <c r="J288" s="18" t="n">
        <f aca="false">IF($I288="","",ROUND($I288*Dropdowns!$K$5,2))</f>
        <v>33.8</v>
      </c>
      <c r="K288" s="19" t="n">
        <f aca="false">IF($I288="","",ROUND($I288*Dropdowns!$K$6,2))</f>
        <v>31.2</v>
      </c>
      <c r="L288" s="20" t="n">
        <f aca="false">IF($I288="","",ROUND($I288*Dropdowns!$K$7,2))</f>
        <v>2665</v>
      </c>
      <c r="M288" s="15" t="str">
        <f aca="false">IFERROR(IF($B288="","",VLOOKUP($B288,Designs!$A$3:$AP$165,27,FALSE())),"")</f>
        <v/>
      </c>
      <c r="N288" s="16" t="str">
        <f aca="false">IFERROR(IF(OR($I288="",$M288="",$M288=0),"",($I288-$M288)/$I288),"")</f>
        <v/>
      </c>
      <c r="O288" s="13" t="n">
        <v>0</v>
      </c>
      <c r="P288" s="13" t="n">
        <v>0</v>
      </c>
      <c r="Q288" s="21" t="n">
        <f aca="false">IF($O288="","",$O288-IF($P288="",0,$P288))</f>
        <v>0</v>
      </c>
      <c r="R288" s="13" t="n">
        <v>2</v>
      </c>
      <c r="S288" s="21" t="str">
        <f aca="false">IF($O288="","",IF($Q288&lt;=$R288,"⚠ REORDER","OK"))</f>
        <v>⚠ REORDER</v>
      </c>
      <c r="T288" s="13"/>
      <c r="U288" s="13"/>
      <c r="V288" s="13" t="s">
        <v>378</v>
      </c>
      <c r="W288" s="12" t="s">
        <v>379</v>
      </c>
      <c r="X288" s="13"/>
      <c r="Y288" s="13"/>
      <c r="Z288" s="12" t="s">
        <v>88</v>
      </c>
      <c r="AA288" s="12" t="s">
        <v>88</v>
      </c>
      <c r="AB288" s="12" t="s">
        <v>88</v>
      </c>
      <c r="AC288" s="12" t="s">
        <v>88</v>
      </c>
      <c r="AD288" s="12" t="s">
        <v>87</v>
      </c>
      <c r="AE288" s="21" t="n">
        <f aca="false">IFERROR(SUMIFS(Transactions!$F:$F,Transactions!$C:$C,$A288,Transactions!$D:$D,"Sale"),0)</f>
        <v>0</v>
      </c>
      <c r="AF288" s="15" t="n">
        <f aca="false">IFERROR(SUMIFS(Transactions!$H:$H,Transactions!$C:$C,$A288,Transactions!$D:$D,"Sale"),0)</f>
        <v>0</v>
      </c>
      <c r="AG288" s="22" t="str">
        <f aca="false">IFERROR(IF(maxifs(Transactions!$B:$B,Transactions!$C:$C,$A288,Transactions!$D:$D,"Sale")=0,"",maxifs(Transactions!$B:$B,Transactions!$C:$C,$A288,Transactions!$D:$D,"Sale")),"")</f>
        <v/>
      </c>
      <c r="AH288" s="12"/>
    </row>
    <row r="289" customFormat="false" ht="18" hidden="false" customHeight="true" outlineLevel="0" collapsed="false">
      <c r="A289" s="12" t="s">
        <v>678</v>
      </c>
      <c r="B289" s="12" t="s">
        <v>256</v>
      </c>
      <c r="C289" s="12" t="s">
        <v>257</v>
      </c>
      <c r="D289" s="12" t="s">
        <v>245</v>
      </c>
      <c r="E289" s="12" t="s">
        <v>258</v>
      </c>
      <c r="F289" s="12"/>
      <c r="G289" s="12" t="s">
        <v>648</v>
      </c>
      <c r="H289" s="12" t="s">
        <v>679</v>
      </c>
      <c r="I289" s="14" t="n">
        <v>13000</v>
      </c>
      <c r="J289" s="18" t="n">
        <f aca="false">IF($I289="","",ROUND($I289*Dropdowns!$K$5,2))</f>
        <v>33.8</v>
      </c>
      <c r="K289" s="19" t="n">
        <f aca="false">IF($I289="","",ROUND($I289*Dropdowns!$K$6,2))</f>
        <v>31.2</v>
      </c>
      <c r="L289" s="20" t="n">
        <f aca="false">IF($I289="","",ROUND($I289*Dropdowns!$K$7,2))</f>
        <v>2665</v>
      </c>
      <c r="M289" s="15" t="str">
        <f aca="false">IFERROR(IF($B289="","",VLOOKUP($B289,Designs!$A$3:$AP$165,27,FALSE())),"")</f>
        <v/>
      </c>
      <c r="N289" s="16" t="str">
        <f aca="false">IFERROR(IF(OR($I289="",$M289="",$M289=0),"",($I289-$M289)/$I289),"")</f>
        <v/>
      </c>
      <c r="O289" s="13" t="n">
        <v>0</v>
      </c>
      <c r="P289" s="13" t="n">
        <v>0</v>
      </c>
      <c r="Q289" s="21" t="n">
        <f aca="false">IF($O289="","",$O289-IF($P289="",0,$P289))</f>
        <v>0</v>
      </c>
      <c r="R289" s="13" t="n">
        <v>2</v>
      </c>
      <c r="S289" s="21" t="str">
        <f aca="false">IF($O289="","",IF($Q289&lt;=$R289,"⚠ REORDER","OK"))</f>
        <v>⚠ REORDER</v>
      </c>
      <c r="T289" s="13"/>
      <c r="U289" s="13"/>
      <c r="V289" s="13" t="s">
        <v>378</v>
      </c>
      <c r="W289" s="12" t="s">
        <v>379</v>
      </c>
      <c r="X289" s="13"/>
      <c r="Y289" s="13"/>
      <c r="Z289" s="12" t="s">
        <v>88</v>
      </c>
      <c r="AA289" s="12" t="s">
        <v>88</v>
      </c>
      <c r="AB289" s="12" t="s">
        <v>88</v>
      </c>
      <c r="AC289" s="12" t="s">
        <v>88</v>
      </c>
      <c r="AD289" s="12" t="s">
        <v>87</v>
      </c>
      <c r="AE289" s="21" t="n">
        <f aca="false">IFERROR(SUMIFS(Transactions!$F:$F,Transactions!$C:$C,$A289,Transactions!$D:$D,"Sale"),0)</f>
        <v>0</v>
      </c>
      <c r="AF289" s="15" t="n">
        <f aca="false">IFERROR(SUMIFS(Transactions!$H:$H,Transactions!$C:$C,$A289,Transactions!$D:$D,"Sale"),0)</f>
        <v>0</v>
      </c>
      <c r="AG289" s="22" t="str">
        <f aca="false">IFERROR(IF(maxifs(Transactions!$B:$B,Transactions!$C:$C,$A289,Transactions!$D:$D,"Sale")=0,"",maxifs(Transactions!$B:$B,Transactions!$C:$C,$A289,Transactions!$D:$D,"Sale")),"")</f>
        <v/>
      </c>
      <c r="AH289" s="12"/>
    </row>
    <row r="290" customFormat="false" ht="18" hidden="false" customHeight="true" outlineLevel="0" collapsed="false">
      <c r="A290" s="12" t="s">
        <v>680</v>
      </c>
      <c r="B290" s="12" t="s">
        <v>256</v>
      </c>
      <c r="C290" s="12" t="s">
        <v>257</v>
      </c>
      <c r="D290" s="12" t="s">
        <v>245</v>
      </c>
      <c r="E290" s="12" t="s">
        <v>258</v>
      </c>
      <c r="F290" s="12"/>
      <c r="G290" s="12" t="s">
        <v>648</v>
      </c>
      <c r="H290" s="12" t="s">
        <v>652</v>
      </c>
      <c r="I290" s="14" t="n">
        <v>13000</v>
      </c>
      <c r="J290" s="18" t="n">
        <f aca="false">IF($I290="","",ROUND($I290*Dropdowns!$K$5,2))</f>
        <v>33.8</v>
      </c>
      <c r="K290" s="19" t="n">
        <f aca="false">IF($I290="","",ROUND($I290*Dropdowns!$K$6,2))</f>
        <v>31.2</v>
      </c>
      <c r="L290" s="20" t="n">
        <f aca="false">IF($I290="","",ROUND($I290*Dropdowns!$K$7,2))</f>
        <v>2665</v>
      </c>
      <c r="M290" s="15" t="str">
        <f aca="false">IFERROR(IF($B290="","",VLOOKUP($B290,Designs!$A$3:$AP$165,27,FALSE())),"")</f>
        <v/>
      </c>
      <c r="N290" s="16" t="str">
        <f aca="false">IFERROR(IF(OR($I290="",$M290="",$M290=0),"",($I290-$M290)/$I290),"")</f>
        <v/>
      </c>
      <c r="O290" s="13" t="n">
        <v>0</v>
      </c>
      <c r="P290" s="13" t="n">
        <v>0</v>
      </c>
      <c r="Q290" s="21" t="n">
        <f aca="false">IF($O290="","",$O290-IF($P290="",0,$P290))</f>
        <v>0</v>
      </c>
      <c r="R290" s="13" t="n">
        <v>2</v>
      </c>
      <c r="S290" s="21" t="str">
        <f aca="false">IF($O290="","",IF($Q290&lt;=$R290,"⚠ REORDER","OK"))</f>
        <v>⚠ REORDER</v>
      </c>
      <c r="T290" s="13"/>
      <c r="U290" s="13"/>
      <c r="V290" s="13" t="s">
        <v>378</v>
      </c>
      <c r="W290" s="12" t="s">
        <v>379</v>
      </c>
      <c r="X290" s="13"/>
      <c r="Y290" s="13"/>
      <c r="Z290" s="12" t="s">
        <v>88</v>
      </c>
      <c r="AA290" s="12" t="s">
        <v>88</v>
      </c>
      <c r="AB290" s="12" t="s">
        <v>88</v>
      </c>
      <c r="AC290" s="12" t="s">
        <v>88</v>
      </c>
      <c r="AD290" s="12" t="s">
        <v>87</v>
      </c>
      <c r="AE290" s="21" t="n">
        <f aca="false">IFERROR(SUMIFS(Transactions!$F:$F,Transactions!$C:$C,$A290,Transactions!$D:$D,"Sale"),0)</f>
        <v>0</v>
      </c>
      <c r="AF290" s="15" t="n">
        <f aca="false">IFERROR(SUMIFS(Transactions!$H:$H,Transactions!$C:$C,$A290,Transactions!$D:$D,"Sale"),0)</f>
        <v>0</v>
      </c>
      <c r="AG290" s="22" t="str">
        <f aca="false">IFERROR(IF(maxifs(Transactions!$B:$B,Transactions!$C:$C,$A290,Transactions!$D:$D,"Sale")=0,"",maxifs(Transactions!$B:$B,Transactions!$C:$C,$A290,Transactions!$D:$D,"Sale")),"")</f>
        <v/>
      </c>
      <c r="AH290" s="12"/>
    </row>
    <row r="291" customFormat="false" ht="18" hidden="false" customHeight="true" outlineLevel="0" collapsed="false">
      <c r="A291" s="12" t="s">
        <v>681</v>
      </c>
      <c r="B291" s="12" t="s">
        <v>256</v>
      </c>
      <c r="C291" s="12" t="s">
        <v>257</v>
      </c>
      <c r="D291" s="12" t="s">
        <v>245</v>
      </c>
      <c r="E291" s="12" t="s">
        <v>258</v>
      </c>
      <c r="F291" s="12"/>
      <c r="G291" s="12" t="s">
        <v>648</v>
      </c>
      <c r="H291" s="12" t="s">
        <v>381</v>
      </c>
      <c r="I291" s="14" t="n">
        <v>13000</v>
      </c>
      <c r="J291" s="18" t="n">
        <f aca="false">IF($I291="","",ROUND($I291*Dropdowns!$K$5,2))</f>
        <v>33.8</v>
      </c>
      <c r="K291" s="19" t="n">
        <f aca="false">IF($I291="","",ROUND($I291*Dropdowns!$K$6,2))</f>
        <v>31.2</v>
      </c>
      <c r="L291" s="20" t="n">
        <f aca="false">IF($I291="","",ROUND($I291*Dropdowns!$K$7,2))</f>
        <v>2665</v>
      </c>
      <c r="M291" s="15" t="str">
        <f aca="false">IFERROR(IF($B291="","",VLOOKUP($B291,Designs!$A$3:$AP$165,27,FALSE())),"")</f>
        <v/>
      </c>
      <c r="N291" s="16" t="str">
        <f aca="false">IFERROR(IF(OR($I291="",$M291="",$M291=0),"",($I291-$M291)/$I291),"")</f>
        <v/>
      </c>
      <c r="O291" s="13" t="n">
        <v>0</v>
      </c>
      <c r="P291" s="13" t="n">
        <v>0</v>
      </c>
      <c r="Q291" s="21" t="n">
        <f aca="false">IF($O291="","",$O291-IF($P291="",0,$P291))</f>
        <v>0</v>
      </c>
      <c r="R291" s="13" t="n">
        <v>2</v>
      </c>
      <c r="S291" s="21" t="str">
        <f aca="false">IF($O291="","",IF($Q291&lt;=$R291,"⚠ REORDER","OK"))</f>
        <v>⚠ REORDER</v>
      </c>
      <c r="T291" s="13"/>
      <c r="U291" s="13"/>
      <c r="V291" s="13" t="s">
        <v>378</v>
      </c>
      <c r="W291" s="12" t="s">
        <v>379</v>
      </c>
      <c r="X291" s="13"/>
      <c r="Y291" s="13"/>
      <c r="Z291" s="12" t="s">
        <v>88</v>
      </c>
      <c r="AA291" s="12" t="s">
        <v>88</v>
      </c>
      <c r="AB291" s="12" t="s">
        <v>88</v>
      </c>
      <c r="AC291" s="12" t="s">
        <v>88</v>
      </c>
      <c r="AD291" s="12" t="s">
        <v>87</v>
      </c>
      <c r="AE291" s="21" t="n">
        <f aca="false">IFERROR(SUMIFS(Transactions!$F:$F,Transactions!$C:$C,$A291,Transactions!$D:$D,"Sale"),0)</f>
        <v>0</v>
      </c>
      <c r="AF291" s="15" t="n">
        <f aca="false">IFERROR(SUMIFS(Transactions!$H:$H,Transactions!$C:$C,$A291,Transactions!$D:$D,"Sale"),0)</f>
        <v>0</v>
      </c>
      <c r="AG291" s="22" t="str">
        <f aca="false">IFERROR(IF(maxifs(Transactions!$B:$B,Transactions!$C:$C,$A291,Transactions!$D:$D,"Sale")=0,"",maxifs(Transactions!$B:$B,Transactions!$C:$C,$A291,Transactions!$D:$D,"Sale")),"")</f>
        <v/>
      </c>
      <c r="AH291" s="12"/>
    </row>
    <row r="292" customFormat="false" ht="18" hidden="false" customHeight="true" outlineLevel="0" collapsed="false">
      <c r="A292" s="12" t="s">
        <v>682</v>
      </c>
      <c r="B292" s="12" t="s">
        <v>256</v>
      </c>
      <c r="C292" s="12" t="s">
        <v>257</v>
      </c>
      <c r="D292" s="12" t="s">
        <v>245</v>
      </c>
      <c r="E292" s="12" t="s">
        <v>258</v>
      </c>
      <c r="F292" s="12"/>
      <c r="G292" s="12" t="s">
        <v>648</v>
      </c>
      <c r="H292" s="12" t="s">
        <v>655</v>
      </c>
      <c r="I292" s="14" t="n">
        <v>13000</v>
      </c>
      <c r="J292" s="18" t="n">
        <f aca="false">IF($I292="","",ROUND($I292*Dropdowns!$K$5,2))</f>
        <v>33.8</v>
      </c>
      <c r="K292" s="19" t="n">
        <f aca="false">IF($I292="","",ROUND($I292*Dropdowns!$K$6,2))</f>
        <v>31.2</v>
      </c>
      <c r="L292" s="20" t="n">
        <f aca="false">IF($I292="","",ROUND($I292*Dropdowns!$K$7,2))</f>
        <v>2665</v>
      </c>
      <c r="M292" s="15" t="str">
        <f aca="false">IFERROR(IF($B292="","",VLOOKUP($B292,Designs!$A$3:$AP$165,27,FALSE())),"")</f>
        <v/>
      </c>
      <c r="N292" s="16" t="str">
        <f aca="false">IFERROR(IF(OR($I292="",$M292="",$M292=0),"",($I292-$M292)/$I292),"")</f>
        <v/>
      </c>
      <c r="O292" s="13" t="n">
        <v>0</v>
      </c>
      <c r="P292" s="13" t="n">
        <v>0</v>
      </c>
      <c r="Q292" s="21" t="n">
        <f aca="false">IF($O292="","",$O292-IF($P292="",0,$P292))</f>
        <v>0</v>
      </c>
      <c r="R292" s="13" t="n">
        <v>2</v>
      </c>
      <c r="S292" s="21" t="str">
        <f aca="false">IF($O292="","",IF($Q292&lt;=$R292,"⚠ REORDER","OK"))</f>
        <v>⚠ REORDER</v>
      </c>
      <c r="T292" s="13"/>
      <c r="U292" s="13"/>
      <c r="V292" s="13" t="s">
        <v>378</v>
      </c>
      <c r="W292" s="12" t="s">
        <v>379</v>
      </c>
      <c r="X292" s="13"/>
      <c r="Y292" s="13"/>
      <c r="Z292" s="12" t="s">
        <v>88</v>
      </c>
      <c r="AA292" s="12" t="s">
        <v>88</v>
      </c>
      <c r="AB292" s="12" t="s">
        <v>88</v>
      </c>
      <c r="AC292" s="12" t="s">
        <v>88</v>
      </c>
      <c r="AD292" s="12" t="s">
        <v>87</v>
      </c>
      <c r="AE292" s="21" t="n">
        <f aca="false">IFERROR(SUMIFS(Transactions!$F:$F,Transactions!$C:$C,$A292,Transactions!$D:$D,"Sale"),0)</f>
        <v>0</v>
      </c>
      <c r="AF292" s="15" t="n">
        <f aca="false">IFERROR(SUMIFS(Transactions!$H:$H,Transactions!$C:$C,$A292,Transactions!$D:$D,"Sale"),0)</f>
        <v>0</v>
      </c>
      <c r="AG292" s="22" t="str">
        <f aca="false">IFERROR(IF(maxifs(Transactions!$B:$B,Transactions!$C:$C,$A292,Transactions!$D:$D,"Sale")=0,"",maxifs(Transactions!$B:$B,Transactions!$C:$C,$A292,Transactions!$D:$D,"Sale")),"")</f>
        <v/>
      </c>
      <c r="AH292" s="12"/>
    </row>
    <row r="293" customFormat="false" ht="18" hidden="false" customHeight="true" outlineLevel="0" collapsed="false">
      <c r="A293" s="12" t="s">
        <v>683</v>
      </c>
      <c r="B293" s="12" t="s">
        <v>261</v>
      </c>
      <c r="C293" s="12" t="s">
        <v>257</v>
      </c>
      <c r="D293" s="12" t="s">
        <v>245</v>
      </c>
      <c r="E293" s="12" t="s">
        <v>258</v>
      </c>
      <c r="F293" s="12"/>
      <c r="G293" s="12" t="s">
        <v>657</v>
      </c>
      <c r="H293" s="12" t="s">
        <v>684</v>
      </c>
      <c r="I293" s="14" t="n">
        <v>27000</v>
      </c>
      <c r="J293" s="18" t="n">
        <f aca="false">IF($I293="","",ROUND($I293*Dropdowns!$K$5,2))</f>
        <v>70.2</v>
      </c>
      <c r="K293" s="19" t="n">
        <f aca="false">IF($I293="","",ROUND($I293*Dropdowns!$K$6,2))</f>
        <v>64.8</v>
      </c>
      <c r="L293" s="20" t="n">
        <f aca="false">IF($I293="","",ROUND($I293*Dropdowns!$K$7,2))</f>
        <v>5535</v>
      </c>
      <c r="M293" s="15" t="str">
        <f aca="false">IFERROR(IF($B293="","",VLOOKUP($B293,Designs!$A$3:$AP$165,27,FALSE())),"")</f>
        <v/>
      </c>
      <c r="N293" s="16" t="str">
        <f aca="false">IFERROR(IF(OR($I293="",$M293="",$M293=0),"",($I293-$M293)/$I293),"")</f>
        <v/>
      </c>
      <c r="O293" s="13" t="n">
        <v>0</v>
      </c>
      <c r="P293" s="13" t="n">
        <v>0</v>
      </c>
      <c r="Q293" s="21" t="n">
        <f aca="false">IF($O293="","",$O293-IF($P293="",0,$P293))</f>
        <v>0</v>
      </c>
      <c r="R293" s="13" t="n">
        <v>2</v>
      </c>
      <c r="S293" s="21" t="str">
        <f aca="false">IF($O293="","",IF($Q293&lt;=$R293,"⚠ REORDER","OK"))</f>
        <v>⚠ REORDER</v>
      </c>
      <c r="T293" s="13"/>
      <c r="U293" s="13"/>
      <c r="V293" s="13" t="s">
        <v>378</v>
      </c>
      <c r="W293" s="12" t="s">
        <v>379</v>
      </c>
      <c r="X293" s="13"/>
      <c r="Y293" s="13"/>
      <c r="Z293" s="12" t="s">
        <v>88</v>
      </c>
      <c r="AA293" s="12" t="s">
        <v>88</v>
      </c>
      <c r="AB293" s="12" t="s">
        <v>88</v>
      </c>
      <c r="AC293" s="12" t="s">
        <v>88</v>
      </c>
      <c r="AD293" s="12" t="s">
        <v>87</v>
      </c>
      <c r="AE293" s="21" t="n">
        <f aca="false">IFERROR(SUMIFS(Transactions!$F:$F,Transactions!$C:$C,$A293,Transactions!$D:$D,"Sale"),0)</f>
        <v>0</v>
      </c>
      <c r="AF293" s="15" t="n">
        <f aca="false">IFERROR(SUMIFS(Transactions!$H:$H,Transactions!$C:$C,$A293,Transactions!$D:$D,"Sale"),0)</f>
        <v>0</v>
      </c>
      <c r="AG293" s="22" t="str">
        <f aca="false">IFERROR(IF(maxifs(Transactions!$B:$B,Transactions!$C:$C,$A293,Transactions!$D:$D,"Sale")=0,"",maxifs(Transactions!$B:$B,Transactions!$C:$C,$A293,Transactions!$D:$D,"Sale")),"")</f>
        <v/>
      </c>
      <c r="AH293" s="12"/>
    </row>
    <row r="294" customFormat="false" ht="18" hidden="false" customHeight="true" outlineLevel="0" collapsed="false">
      <c r="A294" s="12" t="s">
        <v>685</v>
      </c>
      <c r="B294" s="12" t="s">
        <v>261</v>
      </c>
      <c r="C294" s="12" t="s">
        <v>257</v>
      </c>
      <c r="D294" s="12" t="s">
        <v>245</v>
      </c>
      <c r="E294" s="12" t="s">
        <v>258</v>
      </c>
      <c r="F294" s="12"/>
      <c r="G294" s="12" t="s">
        <v>657</v>
      </c>
      <c r="H294" s="12" t="s">
        <v>686</v>
      </c>
      <c r="I294" s="14" t="n">
        <v>27000</v>
      </c>
      <c r="J294" s="18" t="n">
        <f aca="false">IF($I294="","",ROUND($I294*Dropdowns!$K$5,2))</f>
        <v>70.2</v>
      </c>
      <c r="K294" s="19" t="n">
        <f aca="false">IF($I294="","",ROUND($I294*Dropdowns!$K$6,2))</f>
        <v>64.8</v>
      </c>
      <c r="L294" s="20" t="n">
        <f aca="false">IF($I294="","",ROUND($I294*Dropdowns!$K$7,2))</f>
        <v>5535</v>
      </c>
      <c r="M294" s="15" t="str">
        <f aca="false">IFERROR(IF($B294="","",VLOOKUP($B294,Designs!$A$3:$AP$165,27,FALSE())),"")</f>
        <v/>
      </c>
      <c r="N294" s="16" t="str">
        <f aca="false">IFERROR(IF(OR($I294="",$M294="",$M294=0),"",($I294-$M294)/$I294),"")</f>
        <v/>
      </c>
      <c r="O294" s="13" t="n">
        <v>0</v>
      </c>
      <c r="P294" s="13" t="n">
        <v>0</v>
      </c>
      <c r="Q294" s="21" t="n">
        <f aca="false">IF($O294="","",$O294-IF($P294="",0,$P294))</f>
        <v>0</v>
      </c>
      <c r="R294" s="13" t="n">
        <v>2</v>
      </c>
      <c r="S294" s="21" t="str">
        <f aca="false">IF($O294="","",IF($Q294&lt;=$R294,"⚠ REORDER","OK"))</f>
        <v>⚠ REORDER</v>
      </c>
      <c r="T294" s="13"/>
      <c r="U294" s="13"/>
      <c r="V294" s="13" t="s">
        <v>378</v>
      </c>
      <c r="W294" s="12" t="s">
        <v>379</v>
      </c>
      <c r="X294" s="13"/>
      <c r="Y294" s="13"/>
      <c r="Z294" s="12" t="s">
        <v>88</v>
      </c>
      <c r="AA294" s="12" t="s">
        <v>88</v>
      </c>
      <c r="AB294" s="12" t="s">
        <v>88</v>
      </c>
      <c r="AC294" s="12" t="s">
        <v>88</v>
      </c>
      <c r="AD294" s="12" t="s">
        <v>87</v>
      </c>
      <c r="AE294" s="21" t="n">
        <f aca="false">IFERROR(SUMIFS(Transactions!$F:$F,Transactions!$C:$C,$A294,Transactions!$D:$D,"Sale"),0)</f>
        <v>0</v>
      </c>
      <c r="AF294" s="15" t="n">
        <f aca="false">IFERROR(SUMIFS(Transactions!$H:$H,Transactions!$C:$C,$A294,Transactions!$D:$D,"Sale"),0)</f>
        <v>0</v>
      </c>
      <c r="AG294" s="22" t="str">
        <f aca="false">IFERROR(IF(maxifs(Transactions!$B:$B,Transactions!$C:$C,$A294,Transactions!$D:$D,"Sale")=0,"",maxifs(Transactions!$B:$B,Transactions!$C:$C,$A294,Transactions!$D:$D,"Sale")),"")</f>
        <v/>
      </c>
      <c r="AH294" s="12"/>
    </row>
    <row r="295" customFormat="false" ht="18" hidden="false" customHeight="true" outlineLevel="0" collapsed="false">
      <c r="A295" s="12" t="s">
        <v>687</v>
      </c>
      <c r="B295" s="12" t="s">
        <v>261</v>
      </c>
      <c r="C295" s="12" t="s">
        <v>257</v>
      </c>
      <c r="D295" s="12" t="s">
        <v>245</v>
      </c>
      <c r="E295" s="12" t="s">
        <v>258</v>
      </c>
      <c r="F295" s="12"/>
      <c r="G295" s="12" t="s">
        <v>657</v>
      </c>
      <c r="H295" s="12" t="s">
        <v>688</v>
      </c>
      <c r="I295" s="14" t="n">
        <v>27000</v>
      </c>
      <c r="J295" s="18" t="n">
        <f aca="false">IF($I295="","",ROUND($I295*Dropdowns!$K$5,2))</f>
        <v>70.2</v>
      </c>
      <c r="K295" s="19" t="n">
        <f aca="false">IF($I295="","",ROUND($I295*Dropdowns!$K$6,2))</f>
        <v>64.8</v>
      </c>
      <c r="L295" s="20" t="n">
        <f aca="false">IF($I295="","",ROUND($I295*Dropdowns!$K$7,2))</f>
        <v>5535</v>
      </c>
      <c r="M295" s="15" t="str">
        <f aca="false">IFERROR(IF($B295="","",VLOOKUP($B295,Designs!$A$3:$AP$165,27,FALSE())),"")</f>
        <v/>
      </c>
      <c r="N295" s="16" t="str">
        <f aca="false">IFERROR(IF(OR($I295="",$M295="",$M295=0),"",($I295-$M295)/$I295),"")</f>
        <v/>
      </c>
      <c r="O295" s="13" t="n">
        <v>0</v>
      </c>
      <c r="P295" s="13" t="n">
        <v>0</v>
      </c>
      <c r="Q295" s="21" t="n">
        <f aca="false">IF($O295="","",$O295-IF($P295="",0,$P295))</f>
        <v>0</v>
      </c>
      <c r="R295" s="13" t="n">
        <v>2</v>
      </c>
      <c r="S295" s="21" t="str">
        <f aca="false">IF($O295="","",IF($Q295&lt;=$R295,"⚠ REORDER","OK"))</f>
        <v>⚠ REORDER</v>
      </c>
      <c r="T295" s="13"/>
      <c r="U295" s="13"/>
      <c r="V295" s="13" t="s">
        <v>378</v>
      </c>
      <c r="W295" s="12" t="s">
        <v>379</v>
      </c>
      <c r="X295" s="13"/>
      <c r="Y295" s="13"/>
      <c r="Z295" s="12" t="s">
        <v>88</v>
      </c>
      <c r="AA295" s="12" t="s">
        <v>88</v>
      </c>
      <c r="AB295" s="12" t="s">
        <v>88</v>
      </c>
      <c r="AC295" s="12" t="s">
        <v>88</v>
      </c>
      <c r="AD295" s="12" t="s">
        <v>87</v>
      </c>
      <c r="AE295" s="21" t="n">
        <f aca="false">IFERROR(SUMIFS(Transactions!$F:$F,Transactions!$C:$C,$A295,Transactions!$D:$D,"Sale"),0)</f>
        <v>0</v>
      </c>
      <c r="AF295" s="15" t="n">
        <f aca="false">IFERROR(SUMIFS(Transactions!$H:$H,Transactions!$C:$C,$A295,Transactions!$D:$D,"Sale"),0)</f>
        <v>0</v>
      </c>
      <c r="AG295" s="22" t="str">
        <f aca="false">IFERROR(IF(maxifs(Transactions!$B:$B,Transactions!$C:$C,$A295,Transactions!$D:$D,"Sale")=0,"",maxifs(Transactions!$B:$B,Transactions!$C:$C,$A295,Transactions!$D:$D,"Sale")),"")</f>
        <v/>
      </c>
      <c r="AH295" s="12"/>
    </row>
    <row r="296" customFormat="false" ht="18" hidden="false" customHeight="true" outlineLevel="0" collapsed="false">
      <c r="A296" s="12" t="s">
        <v>689</v>
      </c>
      <c r="B296" s="12" t="s">
        <v>261</v>
      </c>
      <c r="C296" s="12" t="s">
        <v>257</v>
      </c>
      <c r="D296" s="12" t="s">
        <v>245</v>
      </c>
      <c r="E296" s="12" t="s">
        <v>258</v>
      </c>
      <c r="F296" s="12"/>
      <c r="G296" s="12" t="s">
        <v>657</v>
      </c>
      <c r="H296" s="12" t="s">
        <v>690</v>
      </c>
      <c r="I296" s="14" t="n">
        <v>27000</v>
      </c>
      <c r="J296" s="18" t="n">
        <f aca="false">IF($I296="","",ROUND($I296*Dropdowns!$K$5,2))</f>
        <v>70.2</v>
      </c>
      <c r="K296" s="19" t="n">
        <f aca="false">IF($I296="","",ROUND($I296*Dropdowns!$K$6,2))</f>
        <v>64.8</v>
      </c>
      <c r="L296" s="20" t="n">
        <f aca="false">IF($I296="","",ROUND($I296*Dropdowns!$K$7,2))</f>
        <v>5535</v>
      </c>
      <c r="M296" s="15" t="str">
        <f aca="false">IFERROR(IF($B296="","",VLOOKUP($B296,Designs!$A$3:$AP$165,27,FALSE())),"")</f>
        <v/>
      </c>
      <c r="N296" s="16" t="str">
        <f aca="false">IFERROR(IF(OR($I296="",$M296="",$M296=0),"",($I296-$M296)/$I296),"")</f>
        <v/>
      </c>
      <c r="O296" s="13" t="n">
        <v>0</v>
      </c>
      <c r="P296" s="13" t="n">
        <v>0</v>
      </c>
      <c r="Q296" s="21" t="n">
        <f aca="false">IF($O296="","",$O296-IF($P296="",0,$P296))</f>
        <v>0</v>
      </c>
      <c r="R296" s="13" t="n">
        <v>2</v>
      </c>
      <c r="S296" s="21" t="str">
        <f aca="false">IF($O296="","",IF($Q296&lt;=$R296,"⚠ REORDER","OK"))</f>
        <v>⚠ REORDER</v>
      </c>
      <c r="T296" s="13"/>
      <c r="U296" s="13"/>
      <c r="V296" s="13" t="s">
        <v>378</v>
      </c>
      <c r="W296" s="12" t="s">
        <v>379</v>
      </c>
      <c r="X296" s="13"/>
      <c r="Y296" s="13"/>
      <c r="Z296" s="12" t="s">
        <v>88</v>
      </c>
      <c r="AA296" s="12" t="s">
        <v>88</v>
      </c>
      <c r="AB296" s="12" t="s">
        <v>88</v>
      </c>
      <c r="AC296" s="12" t="s">
        <v>88</v>
      </c>
      <c r="AD296" s="12" t="s">
        <v>87</v>
      </c>
      <c r="AE296" s="21" t="n">
        <f aca="false">IFERROR(SUMIFS(Transactions!$F:$F,Transactions!$C:$C,$A296,Transactions!$D:$D,"Sale"),0)</f>
        <v>0</v>
      </c>
      <c r="AF296" s="15" t="n">
        <f aca="false">IFERROR(SUMIFS(Transactions!$H:$H,Transactions!$C:$C,$A296,Transactions!$D:$D,"Sale"),0)</f>
        <v>0</v>
      </c>
      <c r="AG296" s="22" t="str">
        <f aca="false">IFERROR(IF(maxifs(Transactions!$B:$B,Transactions!$C:$C,$A296,Transactions!$D:$D,"Sale")=0,"",maxifs(Transactions!$B:$B,Transactions!$C:$C,$A296,Transactions!$D:$D,"Sale")),"")</f>
        <v/>
      </c>
      <c r="AH296" s="12"/>
    </row>
    <row r="297" customFormat="false" ht="18" hidden="false" customHeight="true" outlineLevel="0" collapsed="false">
      <c r="A297" s="12" t="s">
        <v>691</v>
      </c>
      <c r="B297" s="12" t="s">
        <v>262</v>
      </c>
      <c r="C297" s="12" t="s">
        <v>263</v>
      </c>
      <c r="D297" s="12" t="s">
        <v>245</v>
      </c>
      <c r="E297" s="12" t="s">
        <v>264</v>
      </c>
      <c r="F297" s="12"/>
      <c r="G297" s="12" t="s">
        <v>648</v>
      </c>
      <c r="H297" s="12" t="s">
        <v>649</v>
      </c>
      <c r="I297" s="14" t="n">
        <v>13000</v>
      </c>
      <c r="J297" s="18" t="n">
        <f aca="false">IF($I297="","",ROUND($I297*Dropdowns!$K$5,2))</f>
        <v>33.8</v>
      </c>
      <c r="K297" s="19" t="n">
        <f aca="false">IF($I297="","",ROUND($I297*Dropdowns!$K$6,2))</f>
        <v>31.2</v>
      </c>
      <c r="L297" s="20" t="n">
        <f aca="false">IF($I297="","",ROUND($I297*Dropdowns!$K$7,2))</f>
        <v>2665</v>
      </c>
      <c r="M297" s="15" t="str">
        <f aca="false">IFERROR(IF($B297="","",VLOOKUP($B297,Designs!$A$3:$AP$165,27,FALSE())),"")</f>
        <v/>
      </c>
      <c r="N297" s="16" t="str">
        <f aca="false">IFERROR(IF(OR($I297="",$M297="",$M297=0),"",($I297-$M297)/$I297),"")</f>
        <v/>
      </c>
      <c r="O297" s="13" t="n">
        <v>0</v>
      </c>
      <c r="P297" s="13" t="n">
        <v>0</v>
      </c>
      <c r="Q297" s="21" t="n">
        <f aca="false">IF($O297="","",$O297-IF($P297="",0,$P297))</f>
        <v>0</v>
      </c>
      <c r="R297" s="13" t="n">
        <v>2</v>
      </c>
      <c r="S297" s="21" t="str">
        <f aca="false">IF($O297="","",IF($Q297&lt;=$R297,"⚠ REORDER","OK"))</f>
        <v>⚠ REORDER</v>
      </c>
      <c r="T297" s="13"/>
      <c r="U297" s="13"/>
      <c r="V297" s="13" t="s">
        <v>378</v>
      </c>
      <c r="W297" s="12" t="s">
        <v>379</v>
      </c>
      <c r="X297" s="13"/>
      <c r="Y297" s="13"/>
      <c r="Z297" s="12" t="s">
        <v>88</v>
      </c>
      <c r="AA297" s="12" t="s">
        <v>88</v>
      </c>
      <c r="AB297" s="12" t="s">
        <v>88</v>
      </c>
      <c r="AC297" s="12" t="s">
        <v>88</v>
      </c>
      <c r="AD297" s="12" t="s">
        <v>87</v>
      </c>
      <c r="AE297" s="21" t="n">
        <f aca="false">IFERROR(SUMIFS(Transactions!$F:$F,Transactions!$C:$C,$A297,Transactions!$D:$D,"Sale"),0)</f>
        <v>0</v>
      </c>
      <c r="AF297" s="15" t="n">
        <f aca="false">IFERROR(SUMIFS(Transactions!$H:$H,Transactions!$C:$C,$A297,Transactions!$D:$D,"Sale"),0)</f>
        <v>0</v>
      </c>
      <c r="AG297" s="22" t="str">
        <f aca="false">IFERROR(IF(maxifs(Transactions!$B:$B,Transactions!$C:$C,$A297,Transactions!$D:$D,"Sale")=0,"",maxifs(Transactions!$B:$B,Transactions!$C:$C,$A297,Transactions!$D:$D,"Sale")),"")</f>
        <v/>
      </c>
      <c r="AH297" s="12"/>
    </row>
    <row r="298" customFormat="false" ht="18" hidden="false" customHeight="true" outlineLevel="0" collapsed="false">
      <c r="A298" s="12" t="s">
        <v>692</v>
      </c>
      <c r="B298" s="12" t="s">
        <v>262</v>
      </c>
      <c r="C298" s="12" t="s">
        <v>263</v>
      </c>
      <c r="D298" s="12" t="s">
        <v>245</v>
      </c>
      <c r="E298" s="12" t="s">
        <v>264</v>
      </c>
      <c r="F298" s="12"/>
      <c r="G298" s="12" t="s">
        <v>648</v>
      </c>
      <c r="H298" s="12" t="s">
        <v>383</v>
      </c>
      <c r="I298" s="14" t="n">
        <v>13000</v>
      </c>
      <c r="J298" s="18" t="n">
        <f aca="false">IF($I298="","",ROUND($I298*Dropdowns!$K$5,2))</f>
        <v>33.8</v>
      </c>
      <c r="K298" s="19" t="n">
        <f aca="false">IF($I298="","",ROUND($I298*Dropdowns!$K$6,2))</f>
        <v>31.2</v>
      </c>
      <c r="L298" s="20" t="n">
        <f aca="false">IF($I298="","",ROUND($I298*Dropdowns!$K$7,2))</f>
        <v>2665</v>
      </c>
      <c r="M298" s="15" t="str">
        <f aca="false">IFERROR(IF($B298="","",VLOOKUP($B298,Designs!$A$3:$AP$165,27,FALSE())),"")</f>
        <v/>
      </c>
      <c r="N298" s="16" t="str">
        <f aca="false">IFERROR(IF(OR($I298="",$M298="",$M298=0),"",($I298-$M298)/$I298),"")</f>
        <v/>
      </c>
      <c r="O298" s="13" t="n">
        <v>0</v>
      </c>
      <c r="P298" s="13" t="n">
        <v>0</v>
      </c>
      <c r="Q298" s="21" t="n">
        <f aca="false">IF($O298="","",$O298-IF($P298="",0,$P298))</f>
        <v>0</v>
      </c>
      <c r="R298" s="13" t="n">
        <v>2</v>
      </c>
      <c r="S298" s="21" t="str">
        <f aca="false">IF($O298="","",IF($Q298&lt;=$R298,"⚠ REORDER","OK"))</f>
        <v>⚠ REORDER</v>
      </c>
      <c r="T298" s="13"/>
      <c r="U298" s="13"/>
      <c r="V298" s="13" t="s">
        <v>378</v>
      </c>
      <c r="W298" s="12" t="s">
        <v>379</v>
      </c>
      <c r="X298" s="13"/>
      <c r="Y298" s="13"/>
      <c r="Z298" s="12" t="s">
        <v>88</v>
      </c>
      <c r="AA298" s="12" t="s">
        <v>88</v>
      </c>
      <c r="AB298" s="12" t="s">
        <v>88</v>
      </c>
      <c r="AC298" s="12" t="s">
        <v>88</v>
      </c>
      <c r="AD298" s="12" t="s">
        <v>87</v>
      </c>
      <c r="AE298" s="21" t="n">
        <f aca="false">IFERROR(SUMIFS(Transactions!$F:$F,Transactions!$C:$C,$A298,Transactions!$D:$D,"Sale"),0)</f>
        <v>0</v>
      </c>
      <c r="AF298" s="15" t="n">
        <f aca="false">IFERROR(SUMIFS(Transactions!$H:$H,Transactions!$C:$C,$A298,Transactions!$D:$D,"Sale"),0)</f>
        <v>0</v>
      </c>
      <c r="AG298" s="22" t="str">
        <f aca="false">IFERROR(IF(maxifs(Transactions!$B:$B,Transactions!$C:$C,$A298,Transactions!$D:$D,"Sale")=0,"",maxifs(Transactions!$B:$B,Transactions!$C:$C,$A298,Transactions!$D:$D,"Sale")),"")</f>
        <v/>
      </c>
      <c r="AH298" s="12"/>
    </row>
    <row r="299" customFormat="false" ht="18" hidden="false" customHeight="true" outlineLevel="0" collapsed="false">
      <c r="A299" s="12" t="s">
        <v>693</v>
      </c>
      <c r="B299" s="12" t="s">
        <v>262</v>
      </c>
      <c r="C299" s="12" t="s">
        <v>263</v>
      </c>
      <c r="D299" s="12" t="s">
        <v>245</v>
      </c>
      <c r="E299" s="12" t="s">
        <v>264</v>
      </c>
      <c r="F299" s="12"/>
      <c r="G299" s="12" t="s">
        <v>648</v>
      </c>
      <c r="H299" s="12" t="s">
        <v>652</v>
      </c>
      <c r="I299" s="14" t="n">
        <v>13000</v>
      </c>
      <c r="J299" s="18" t="n">
        <f aca="false">IF($I299="","",ROUND($I299*Dropdowns!$K$5,2))</f>
        <v>33.8</v>
      </c>
      <c r="K299" s="19" t="n">
        <f aca="false">IF($I299="","",ROUND($I299*Dropdowns!$K$6,2))</f>
        <v>31.2</v>
      </c>
      <c r="L299" s="20" t="n">
        <f aca="false">IF($I299="","",ROUND($I299*Dropdowns!$K$7,2))</f>
        <v>2665</v>
      </c>
      <c r="M299" s="15" t="str">
        <f aca="false">IFERROR(IF($B299="","",VLOOKUP($B299,Designs!$A$3:$AP$165,27,FALSE())),"")</f>
        <v/>
      </c>
      <c r="N299" s="16" t="str">
        <f aca="false">IFERROR(IF(OR($I299="",$M299="",$M299=0),"",($I299-$M299)/$I299),"")</f>
        <v/>
      </c>
      <c r="O299" s="13" t="n">
        <v>0</v>
      </c>
      <c r="P299" s="13" t="n">
        <v>0</v>
      </c>
      <c r="Q299" s="21" t="n">
        <f aca="false">IF($O299="","",$O299-IF($P299="",0,$P299))</f>
        <v>0</v>
      </c>
      <c r="R299" s="13" t="n">
        <v>2</v>
      </c>
      <c r="S299" s="21" t="str">
        <f aca="false">IF($O299="","",IF($Q299&lt;=$R299,"⚠ REORDER","OK"))</f>
        <v>⚠ REORDER</v>
      </c>
      <c r="T299" s="13"/>
      <c r="U299" s="13"/>
      <c r="V299" s="13" t="s">
        <v>378</v>
      </c>
      <c r="W299" s="12" t="s">
        <v>379</v>
      </c>
      <c r="X299" s="13"/>
      <c r="Y299" s="13"/>
      <c r="Z299" s="12" t="s">
        <v>88</v>
      </c>
      <c r="AA299" s="12" t="s">
        <v>88</v>
      </c>
      <c r="AB299" s="12" t="s">
        <v>88</v>
      </c>
      <c r="AC299" s="12" t="s">
        <v>88</v>
      </c>
      <c r="AD299" s="12" t="s">
        <v>87</v>
      </c>
      <c r="AE299" s="21" t="n">
        <f aca="false">IFERROR(SUMIFS(Transactions!$F:$F,Transactions!$C:$C,$A299,Transactions!$D:$D,"Sale"),0)</f>
        <v>0</v>
      </c>
      <c r="AF299" s="15" t="n">
        <f aca="false">IFERROR(SUMIFS(Transactions!$H:$H,Transactions!$C:$C,$A299,Transactions!$D:$D,"Sale"),0)</f>
        <v>0</v>
      </c>
      <c r="AG299" s="22" t="str">
        <f aca="false">IFERROR(IF(maxifs(Transactions!$B:$B,Transactions!$C:$C,$A299,Transactions!$D:$D,"Sale")=0,"",maxifs(Transactions!$B:$B,Transactions!$C:$C,$A299,Transactions!$D:$D,"Sale")),"")</f>
        <v/>
      </c>
      <c r="AH299" s="12"/>
    </row>
    <row r="300" customFormat="false" ht="18" hidden="false" customHeight="true" outlineLevel="0" collapsed="false">
      <c r="A300" s="12" t="s">
        <v>694</v>
      </c>
      <c r="B300" s="12" t="s">
        <v>262</v>
      </c>
      <c r="C300" s="12" t="s">
        <v>263</v>
      </c>
      <c r="D300" s="12" t="s">
        <v>245</v>
      </c>
      <c r="E300" s="12" t="s">
        <v>264</v>
      </c>
      <c r="F300" s="12"/>
      <c r="G300" s="12" t="s">
        <v>648</v>
      </c>
      <c r="H300" s="12" t="s">
        <v>381</v>
      </c>
      <c r="I300" s="14" t="n">
        <v>13000</v>
      </c>
      <c r="J300" s="18" t="n">
        <f aca="false">IF($I300="","",ROUND($I300*Dropdowns!$K$5,2))</f>
        <v>33.8</v>
      </c>
      <c r="K300" s="19" t="n">
        <f aca="false">IF($I300="","",ROUND($I300*Dropdowns!$K$6,2))</f>
        <v>31.2</v>
      </c>
      <c r="L300" s="20" t="n">
        <f aca="false">IF($I300="","",ROUND($I300*Dropdowns!$K$7,2))</f>
        <v>2665</v>
      </c>
      <c r="M300" s="15" t="str">
        <f aca="false">IFERROR(IF($B300="","",VLOOKUP($B300,Designs!$A$3:$AP$165,27,FALSE())),"")</f>
        <v/>
      </c>
      <c r="N300" s="16" t="str">
        <f aca="false">IFERROR(IF(OR($I300="",$M300="",$M300=0),"",($I300-$M300)/$I300),"")</f>
        <v/>
      </c>
      <c r="O300" s="13" t="n">
        <v>0</v>
      </c>
      <c r="P300" s="13" t="n">
        <v>0</v>
      </c>
      <c r="Q300" s="21" t="n">
        <f aca="false">IF($O300="","",$O300-IF($P300="",0,$P300))</f>
        <v>0</v>
      </c>
      <c r="R300" s="13" t="n">
        <v>2</v>
      </c>
      <c r="S300" s="21" t="str">
        <f aca="false">IF($O300="","",IF($Q300&lt;=$R300,"⚠ REORDER","OK"))</f>
        <v>⚠ REORDER</v>
      </c>
      <c r="T300" s="13"/>
      <c r="U300" s="13"/>
      <c r="V300" s="13" t="s">
        <v>378</v>
      </c>
      <c r="W300" s="12" t="s">
        <v>379</v>
      </c>
      <c r="X300" s="13"/>
      <c r="Y300" s="13"/>
      <c r="Z300" s="12" t="s">
        <v>88</v>
      </c>
      <c r="AA300" s="12" t="s">
        <v>88</v>
      </c>
      <c r="AB300" s="12" t="s">
        <v>88</v>
      </c>
      <c r="AC300" s="12" t="s">
        <v>88</v>
      </c>
      <c r="AD300" s="12" t="s">
        <v>87</v>
      </c>
      <c r="AE300" s="21" t="n">
        <f aca="false">IFERROR(SUMIFS(Transactions!$F:$F,Transactions!$C:$C,$A300,Transactions!$D:$D,"Sale"),0)</f>
        <v>0</v>
      </c>
      <c r="AF300" s="15" t="n">
        <f aca="false">IFERROR(SUMIFS(Transactions!$H:$H,Transactions!$C:$C,$A300,Transactions!$D:$D,"Sale"),0)</f>
        <v>0</v>
      </c>
      <c r="AG300" s="22" t="str">
        <f aca="false">IFERROR(IF(maxifs(Transactions!$B:$B,Transactions!$C:$C,$A300,Transactions!$D:$D,"Sale")=0,"",maxifs(Transactions!$B:$B,Transactions!$C:$C,$A300,Transactions!$D:$D,"Sale")),"")</f>
        <v/>
      </c>
      <c r="AH300" s="12"/>
    </row>
    <row r="301" customFormat="false" ht="18" hidden="false" customHeight="true" outlineLevel="0" collapsed="false">
      <c r="A301" s="12" t="s">
        <v>695</v>
      </c>
      <c r="B301" s="12" t="s">
        <v>262</v>
      </c>
      <c r="C301" s="12" t="s">
        <v>263</v>
      </c>
      <c r="D301" s="12" t="s">
        <v>245</v>
      </c>
      <c r="E301" s="12" t="s">
        <v>264</v>
      </c>
      <c r="F301" s="12"/>
      <c r="G301" s="12" t="s">
        <v>648</v>
      </c>
      <c r="H301" s="12" t="s">
        <v>655</v>
      </c>
      <c r="I301" s="14" t="n">
        <v>13000</v>
      </c>
      <c r="J301" s="18" t="n">
        <f aca="false">IF($I301="","",ROUND($I301*Dropdowns!$K$5,2))</f>
        <v>33.8</v>
      </c>
      <c r="K301" s="19" t="n">
        <f aca="false">IF($I301="","",ROUND($I301*Dropdowns!$K$6,2))</f>
        <v>31.2</v>
      </c>
      <c r="L301" s="20" t="n">
        <f aca="false">IF($I301="","",ROUND($I301*Dropdowns!$K$7,2))</f>
        <v>2665</v>
      </c>
      <c r="M301" s="15" t="str">
        <f aca="false">IFERROR(IF($B301="","",VLOOKUP($B301,Designs!$A$3:$AP$165,27,FALSE())),"")</f>
        <v/>
      </c>
      <c r="N301" s="16" t="str">
        <f aca="false">IFERROR(IF(OR($I301="",$M301="",$M301=0),"",($I301-$M301)/$I301),"")</f>
        <v/>
      </c>
      <c r="O301" s="13" t="n">
        <v>0</v>
      </c>
      <c r="P301" s="13" t="n">
        <v>0</v>
      </c>
      <c r="Q301" s="21" t="n">
        <f aca="false">IF($O301="","",$O301-IF($P301="",0,$P301))</f>
        <v>0</v>
      </c>
      <c r="R301" s="13" t="n">
        <v>2</v>
      </c>
      <c r="S301" s="21" t="str">
        <f aca="false">IF($O301="","",IF($Q301&lt;=$R301,"⚠ REORDER","OK"))</f>
        <v>⚠ REORDER</v>
      </c>
      <c r="T301" s="13"/>
      <c r="U301" s="13"/>
      <c r="V301" s="13" t="s">
        <v>378</v>
      </c>
      <c r="W301" s="12" t="s">
        <v>379</v>
      </c>
      <c r="X301" s="13"/>
      <c r="Y301" s="13"/>
      <c r="Z301" s="12" t="s">
        <v>88</v>
      </c>
      <c r="AA301" s="12" t="s">
        <v>88</v>
      </c>
      <c r="AB301" s="12" t="s">
        <v>88</v>
      </c>
      <c r="AC301" s="12" t="s">
        <v>88</v>
      </c>
      <c r="AD301" s="12" t="s">
        <v>87</v>
      </c>
      <c r="AE301" s="21" t="n">
        <f aca="false">IFERROR(SUMIFS(Transactions!$F:$F,Transactions!$C:$C,$A301,Transactions!$D:$D,"Sale"),0)</f>
        <v>0</v>
      </c>
      <c r="AF301" s="15" t="n">
        <f aca="false">IFERROR(SUMIFS(Transactions!$H:$H,Transactions!$C:$C,$A301,Transactions!$D:$D,"Sale"),0)</f>
        <v>0</v>
      </c>
      <c r="AG301" s="22" t="str">
        <f aca="false">IFERROR(IF(maxifs(Transactions!$B:$B,Transactions!$C:$C,$A301,Transactions!$D:$D,"Sale")=0,"",maxifs(Transactions!$B:$B,Transactions!$C:$C,$A301,Transactions!$D:$D,"Sale")),"")</f>
        <v/>
      </c>
      <c r="AH301" s="12"/>
    </row>
    <row r="302" customFormat="false" ht="18" hidden="false" customHeight="true" outlineLevel="0" collapsed="false">
      <c r="A302" s="12" t="s">
        <v>696</v>
      </c>
      <c r="B302" s="12" t="s">
        <v>267</v>
      </c>
      <c r="C302" s="12" t="s">
        <v>263</v>
      </c>
      <c r="D302" s="12" t="s">
        <v>245</v>
      </c>
      <c r="E302" s="12" t="s">
        <v>264</v>
      </c>
      <c r="F302" s="12"/>
      <c r="G302" s="12" t="s">
        <v>657</v>
      </c>
      <c r="H302" s="12" t="s">
        <v>660</v>
      </c>
      <c r="I302" s="14" t="n">
        <v>27000</v>
      </c>
      <c r="J302" s="18" t="n">
        <f aca="false">IF($I302="","",ROUND($I302*Dropdowns!$K$5,2))</f>
        <v>70.2</v>
      </c>
      <c r="K302" s="19" t="n">
        <f aca="false">IF($I302="","",ROUND($I302*Dropdowns!$K$6,2))</f>
        <v>64.8</v>
      </c>
      <c r="L302" s="20" t="n">
        <f aca="false">IF($I302="","",ROUND($I302*Dropdowns!$K$7,2))</f>
        <v>5535</v>
      </c>
      <c r="M302" s="15" t="str">
        <f aca="false">IFERROR(IF($B302="","",VLOOKUP($B302,Designs!$A$3:$AP$165,27,FALSE())),"")</f>
        <v/>
      </c>
      <c r="N302" s="16" t="str">
        <f aca="false">IFERROR(IF(OR($I302="",$M302="",$M302=0),"",($I302-$M302)/$I302),"")</f>
        <v/>
      </c>
      <c r="O302" s="13" t="n">
        <v>0</v>
      </c>
      <c r="P302" s="13" t="n">
        <v>0</v>
      </c>
      <c r="Q302" s="21" t="n">
        <f aca="false">IF($O302="","",$O302-IF($P302="",0,$P302))</f>
        <v>0</v>
      </c>
      <c r="R302" s="13" t="n">
        <v>2</v>
      </c>
      <c r="S302" s="21" t="str">
        <f aca="false">IF($O302="","",IF($Q302&lt;=$R302,"⚠ REORDER","OK"))</f>
        <v>⚠ REORDER</v>
      </c>
      <c r="T302" s="13"/>
      <c r="U302" s="13"/>
      <c r="V302" s="13" t="s">
        <v>378</v>
      </c>
      <c r="W302" s="12" t="s">
        <v>379</v>
      </c>
      <c r="X302" s="13"/>
      <c r="Y302" s="13"/>
      <c r="Z302" s="12" t="s">
        <v>88</v>
      </c>
      <c r="AA302" s="12" t="s">
        <v>88</v>
      </c>
      <c r="AB302" s="12" t="s">
        <v>88</v>
      </c>
      <c r="AC302" s="12" t="s">
        <v>88</v>
      </c>
      <c r="AD302" s="12" t="s">
        <v>87</v>
      </c>
      <c r="AE302" s="21" t="n">
        <f aca="false">IFERROR(SUMIFS(Transactions!$F:$F,Transactions!$C:$C,$A302,Transactions!$D:$D,"Sale"),0)</f>
        <v>0</v>
      </c>
      <c r="AF302" s="15" t="n">
        <f aca="false">IFERROR(SUMIFS(Transactions!$H:$H,Transactions!$C:$C,$A302,Transactions!$D:$D,"Sale"),0)</f>
        <v>0</v>
      </c>
      <c r="AG302" s="22" t="str">
        <f aca="false">IFERROR(IF(maxifs(Transactions!$B:$B,Transactions!$C:$C,$A302,Transactions!$D:$D,"Sale")=0,"",maxifs(Transactions!$B:$B,Transactions!$C:$C,$A302,Transactions!$D:$D,"Sale")),"")</f>
        <v/>
      </c>
      <c r="AH302" s="12"/>
    </row>
    <row r="303" customFormat="false" ht="18" hidden="false" customHeight="true" outlineLevel="0" collapsed="false">
      <c r="A303" s="12" t="s">
        <v>697</v>
      </c>
      <c r="B303" s="12" t="s">
        <v>267</v>
      </c>
      <c r="C303" s="12" t="s">
        <v>263</v>
      </c>
      <c r="D303" s="12" t="s">
        <v>245</v>
      </c>
      <c r="E303" s="12" t="s">
        <v>264</v>
      </c>
      <c r="F303" s="12"/>
      <c r="G303" s="12" t="s">
        <v>657</v>
      </c>
      <c r="H303" s="12" t="s">
        <v>662</v>
      </c>
      <c r="I303" s="14" t="n">
        <v>27000</v>
      </c>
      <c r="J303" s="18" t="n">
        <f aca="false">IF($I303="","",ROUND($I303*Dropdowns!$K$5,2))</f>
        <v>70.2</v>
      </c>
      <c r="K303" s="19" t="n">
        <f aca="false">IF($I303="","",ROUND($I303*Dropdowns!$K$6,2))</f>
        <v>64.8</v>
      </c>
      <c r="L303" s="20" t="n">
        <f aca="false">IF($I303="","",ROUND($I303*Dropdowns!$K$7,2))</f>
        <v>5535</v>
      </c>
      <c r="M303" s="15" t="str">
        <f aca="false">IFERROR(IF($B303="","",VLOOKUP($B303,Designs!$A$3:$AP$165,27,FALSE())),"")</f>
        <v/>
      </c>
      <c r="N303" s="16" t="str">
        <f aca="false">IFERROR(IF(OR($I303="",$M303="",$M303=0),"",($I303-$M303)/$I303),"")</f>
        <v/>
      </c>
      <c r="O303" s="13" t="n">
        <v>0</v>
      </c>
      <c r="P303" s="13" t="n">
        <v>0</v>
      </c>
      <c r="Q303" s="21" t="n">
        <f aca="false">IF($O303="","",$O303-IF($P303="",0,$P303))</f>
        <v>0</v>
      </c>
      <c r="R303" s="13" t="n">
        <v>2</v>
      </c>
      <c r="S303" s="21" t="str">
        <f aca="false">IF($O303="","",IF($Q303&lt;=$R303,"⚠ REORDER","OK"))</f>
        <v>⚠ REORDER</v>
      </c>
      <c r="T303" s="13"/>
      <c r="U303" s="13"/>
      <c r="V303" s="13" t="s">
        <v>378</v>
      </c>
      <c r="W303" s="12" t="s">
        <v>379</v>
      </c>
      <c r="X303" s="13"/>
      <c r="Y303" s="13"/>
      <c r="Z303" s="12" t="s">
        <v>88</v>
      </c>
      <c r="AA303" s="12" t="s">
        <v>88</v>
      </c>
      <c r="AB303" s="12" t="s">
        <v>88</v>
      </c>
      <c r="AC303" s="12" t="s">
        <v>88</v>
      </c>
      <c r="AD303" s="12" t="s">
        <v>87</v>
      </c>
      <c r="AE303" s="21" t="n">
        <f aca="false">IFERROR(SUMIFS(Transactions!$F:$F,Transactions!$C:$C,$A303,Transactions!$D:$D,"Sale"),0)</f>
        <v>0</v>
      </c>
      <c r="AF303" s="15" t="n">
        <f aca="false">IFERROR(SUMIFS(Transactions!$H:$H,Transactions!$C:$C,$A303,Transactions!$D:$D,"Sale"),0)</f>
        <v>0</v>
      </c>
      <c r="AG303" s="22" t="str">
        <f aca="false">IFERROR(IF(maxifs(Transactions!$B:$B,Transactions!$C:$C,$A303,Transactions!$D:$D,"Sale")=0,"",maxifs(Transactions!$B:$B,Transactions!$C:$C,$A303,Transactions!$D:$D,"Sale")),"")</f>
        <v/>
      </c>
      <c r="AH303" s="12"/>
    </row>
    <row r="304" customFormat="false" ht="18" hidden="false" customHeight="true" outlineLevel="0" collapsed="false">
      <c r="A304" s="12" t="s">
        <v>698</v>
      </c>
      <c r="B304" s="12" t="s">
        <v>267</v>
      </c>
      <c r="C304" s="12" t="s">
        <v>263</v>
      </c>
      <c r="D304" s="12" t="s">
        <v>245</v>
      </c>
      <c r="E304" s="12" t="s">
        <v>264</v>
      </c>
      <c r="F304" s="12"/>
      <c r="G304" s="12" t="s">
        <v>657</v>
      </c>
      <c r="H304" s="12" t="s">
        <v>664</v>
      </c>
      <c r="I304" s="14" t="n">
        <v>27000</v>
      </c>
      <c r="J304" s="18" t="n">
        <f aca="false">IF($I304="","",ROUND($I304*Dropdowns!$K$5,2))</f>
        <v>70.2</v>
      </c>
      <c r="K304" s="19" t="n">
        <f aca="false">IF($I304="","",ROUND($I304*Dropdowns!$K$6,2))</f>
        <v>64.8</v>
      </c>
      <c r="L304" s="20" t="n">
        <f aca="false">IF($I304="","",ROUND($I304*Dropdowns!$K$7,2))</f>
        <v>5535</v>
      </c>
      <c r="M304" s="15" t="str">
        <f aca="false">IFERROR(IF($B304="","",VLOOKUP($B304,Designs!$A$3:$AP$165,27,FALSE())),"")</f>
        <v/>
      </c>
      <c r="N304" s="16" t="str">
        <f aca="false">IFERROR(IF(OR($I304="",$M304="",$M304=0),"",($I304-$M304)/$I304),"")</f>
        <v/>
      </c>
      <c r="O304" s="13" t="n">
        <v>0</v>
      </c>
      <c r="P304" s="13" t="n">
        <v>0</v>
      </c>
      <c r="Q304" s="21" t="n">
        <f aca="false">IF($O304="","",$O304-IF($P304="",0,$P304))</f>
        <v>0</v>
      </c>
      <c r="R304" s="13" t="n">
        <v>2</v>
      </c>
      <c r="S304" s="21" t="str">
        <f aca="false">IF($O304="","",IF($Q304&lt;=$R304,"⚠ REORDER","OK"))</f>
        <v>⚠ REORDER</v>
      </c>
      <c r="T304" s="13"/>
      <c r="U304" s="13"/>
      <c r="V304" s="13" t="s">
        <v>378</v>
      </c>
      <c r="W304" s="12" t="s">
        <v>379</v>
      </c>
      <c r="X304" s="13"/>
      <c r="Y304" s="13"/>
      <c r="Z304" s="12" t="s">
        <v>88</v>
      </c>
      <c r="AA304" s="12" t="s">
        <v>88</v>
      </c>
      <c r="AB304" s="12" t="s">
        <v>88</v>
      </c>
      <c r="AC304" s="12" t="s">
        <v>88</v>
      </c>
      <c r="AD304" s="12" t="s">
        <v>87</v>
      </c>
      <c r="AE304" s="21" t="n">
        <f aca="false">IFERROR(SUMIFS(Transactions!$F:$F,Transactions!$C:$C,$A304,Transactions!$D:$D,"Sale"),0)</f>
        <v>0</v>
      </c>
      <c r="AF304" s="15" t="n">
        <f aca="false">IFERROR(SUMIFS(Transactions!$H:$H,Transactions!$C:$C,$A304,Transactions!$D:$D,"Sale"),0)</f>
        <v>0</v>
      </c>
      <c r="AG304" s="22" t="str">
        <f aca="false">IFERROR(IF(maxifs(Transactions!$B:$B,Transactions!$C:$C,$A304,Transactions!$D:$D,"Sale")=0,"",maxifs(Transactions!$B:$B,Transactions!$C:$C,$A304,Transactions!$D:$D,"Sale")),"")</f>
        <v/>
      </c>
      <c r="AH304" s="12"/>
    </row>
    <row r="305" customFormat="false" ht="18" hidden="false" customHeight="true" outlineLevel="0" collapsed="false">
      <c r="A305" s="12" t="s">
        <v>699</v>
      </c>
      <c r="B305" s="12" t="s">
        <v>267</v>
      </c>
      <c r="C305" s="12" t="s">
        <v>263</v>
      </c>
      <c r="D305" s="12" t="s">
        <v>245</v>
      </c>
      <c r="E305" s="12" t="s">
        <v>264</v>
      </c>
      <c r="F305" s="12"/>
      <c r="G305" s="12" t="s">
        <v>657</v>
      </c>
      <c r="H305" s="12" t="s">
        <v>700</v>
      </c>
      <c r="I305" s="14" t="n">
        <v>27000</v>
      </c>
      <c r="J305" s="18" t="n">
        <f aca="false">IF($I305="","",ROUND($I305*Dropdowns!$K$5,2))</f>
        <v>70.2</v>
      </c>
      <c r="K305" s="19" t="n">
        <f aca="false">IF($I305="","",ROUND($I305*Dropdowns!$K$6,2))</f>
        <v>64.8</v>
      </c>
      <c r="L305" s="20" t="n">
        <f aca="false">IF($I305="","",ROUND($I305*Dropdowns!$K$7,2))</f>
        <v>5535</v>
      </c>
      <c r="M305" s="15" t="str">
        <f aca="false">IFERROR(IF($B305="","",VLOOKUP($B305,Designs!$A$3:$AP$165,27,FALSE())),"")</f>
        <v/>
      </c>
      <c r="N305" s="16" t="str">
        <f aca="false">IFERROR(IF(OR($I305="",$M305="",$M305=0),"",($I305-$M305)/$I305),"")</f>
        <v/>
      </c>
      <c r="O305" s="13" t="n">
        <v>0</v>
      </c>
      <c r="P305" s="13" t="n">
        <v>0</v>
      </c>
      <c r="Q305" s="21" t="n">
        <f aca="false">IF($O305="","",$O305-IF($P305="",0,$P305))</f>
        <v>0</v>
      </c>
      <c r="R305" s="13" t="n">
        <v>2</v>
      </c>
      <c r="S305" s="21" t="str">
        <f aca="false">IF($O305="","",IF($Q305&lt;=$R305,"⚠ REORDER","OK"))</f>
        <v>⚠ REORDER</v>
      </c>
      <c r="T305" s="13"/>
      <c r="U305" s="13"/>
      <c r="V305" s="13" t="s">
        <v>378</v>
      </c>
      <c r="W305" s="12" t="s">
        <v>379</v>
      </c>
      <c r="X305" s="13"/>
      <c r="Y305" s="13"/>
      <c r="Z305" s="12" t="s">
        <v>88</v>
      </c>
      <c r="AA305" s="12" t="s">
        <v>88</v>
      </c>
      <c r="AB305" s="12" t="s">
        <v>88</v>
      </c>
      <c r="AC305" s="12" t="s">
        <v>88</v>
      </c>
      <c r="AD305" s="12" t="s">
        <v>87</v>
      </c>
      <c r="AE305" s="21" t="n">
        <f aca="false">IFERROR(SUMIFS(Transactions!$F:$F,Transactions!$C:$C,$A305,Transactions!$D:$D,"Sale"),0)</f>
        <v>0</v>
      </c>
      <c r="AF305" s="15" t="n">
        <f aca="false">IFERROR(SUMIFS(Transactions!$H:$H,Transactions!$C:$C,$A305,Transactions!$D:$D,"Sale"),0)</f>
        <v>0</v>
      </c>
      <c r="AG305" s="22" t="str">
        <f aca="false">IFERROR(IF(maxifs(Transactions!$B:$B,Transactions!$C:$C,$A305,Transactions!$D:$D,"Sale")=0,"",maxifs(Transactions!$B:$B,Transactions!$C:$C,$A305,Transactions!$D:$D,"Sale")),"")</f>
        <v/>
      </c>
      <c r="AH305" s="12"/>
    </row>
    <row r="306" customFormat="false" ht="18" hidden="false" customHeight="true" outlineLevel="0" collapsed="false">
      <c r="A306" s="12" t="s">
        <v>701</v>
      </c>
      <c r="B306" s="12" t="s">
        <v>268</v>
      </c>
      <c r="C306" s="12" t="s">
        <v>269</v>
      </c>
      <c r="D306" s="12" t="s">
        <v>245</v>
      </c>
      <c r="E306" s="12" t="s">
        <v>270</v>
      </c>
      <c r="F306" s="12"/>
      <c r="G306" s="12" t="s">
        <v>648</v>
      </c>
      <c r="H306" s="12" t="s">
        <v>649</v>
      </c>
      <c r="I306" s="14" t="n">
        <v>13000</v>
      </c>
      <c r="J306" s="18" t="n">
        <f aca="false">IF($I306="","",ROUND($I306*Dropdowns!$K$5,2))</f>
        <v>33.8</v>
      </c>
      <c r="K306" s="19" t="n">
        <f aca="false">IF($I306="","",ROUND($I306*Dropdowns!$K$6,2))</f>
        <v>31.2</v>
      </c>
      <c r="L306" s="20" t="n">
        <f aca="false">IF($I306="","",ROUND($I306*Dropdowns!$K$7,2))</f>
        <v>2665</v>
      </c>
      <c r="M306" s="15" t="str">
        <f aca="false">IFERROR(IF($B306="","",VLOOKUP($B306,Designs!$A$3:$AP$165,27,FALSE())),"")</f>
        <v/>
      </c>
      <c r="N306" s="16" t="str">
        <f aca="false">IFERROR(IF(OR($I306="",$M306="",$M306=0),"",($I306-$M306)/$I306),"")</f>
        <v/>
      </c>
      <c r="O306" s="13" t="n">
        <v>0</v>
      </c>
      <c r="P306" s="13" t="n">
        <v>0</v>
      </c>
      <c r="Q306" s="21" t="n">
        <f aca="false">IF($O306="","",$O306-IF($P306="",0,$P306))</f>
        <v>0</v>
      </c>
      <c r="R306" s="13" t="n">
        <v>2</v>
      </c>
      <c r="S306" s="21" t="str">
        <f aca="false">IF($O306="","",IF($Q306&lt;=$R306,"⚠ REORDER","OK"))</f>
        <v>⚠ REORDER</v>
      </c>
      <c r="T306" s="13"/>
      <c r="U306" s="13"/>
      <c r="V306" s="13" t="s">
        <v>378</v>
      </c>
      <c r="W306" s="12" t="s">
        <v>379</v>
      </c>
      <c r="X306" s="13"/>
      <c r="Y306" s="13"/>
      <c r="Z306" s="12" t="s">
        <v>88</v>
      </c>
      <c r="AA306" s="12" t="s">
        <v>88</v>
      </c>
      <c r="AB306" s="12" t="s">
        <v>88</v>
      </c>
      <c r="AC306" s="12" t="s">
        <v>88</v>
      </c>
      <c r="AD306" s="12" t="s">
        <v>87</v>
      </c>
      <c r="AE306" s="21" t="n">
        <f aca="false">IFERROR(SUMIFS(Transactions!$F:$F,Transactions!$C:$C,$A306,Transactions!$D:$D,"Sale"),0)</f>
        <v>0</v>
      </c>
      <c r="AF306" s="15" t="n">
        <f aca="false">IFERROR(SUMIFS(Transactions!$H:$H,Transactions!$C:$C,$A306,Transactions!$D:$D,"Sale"),0)</f>
        <v>0</v>
      </c>
      <c r="AG306" s="22" t="str">
        <f aca="false">IFERROR(IF(maxifs(Transactions!$B:$B,Transactions!$C:$C,$A306,Transactions!$D:$D,"Sale")=0,"",maxifs(Transactions!$B:$B,Transactions!$C:$C,$A306,Transactions!$D:$D,"Sale")),"")</f>
        <v/>
      </c>
      <c r="AH306" s="12"/>
    </row>
    <row r="307" customFormat="false" ht="18" hidden="false" customHeight="true" outlineLevel="0" collapsed="false">
      <c r="A307" s="12" t="s">
        <v>702</v>
      </c>
      <c r="B307" s="12" t="s">
        <v>268</v>
      </c>
      <c r="C307" s="12" t="s">
        <v>269</v>
      </c>
      <c r="D307" s="12" t="s">
        <v>245</v>
      </c>
      <c r="E307" s="12" t="s">
        <v>270</v>
      </c>
      <c r="F307" s="12"/>
      <c r="G307" s="12" t="s">
        <v>648</v>
      </c>
      <c r="H307" s="12" t="s">
        <v>383</v>
      </c>
      <c r="I307" s="14" t="n">
        <v>13000</v>
      </c>
      <c r="J307" s="18" t="n">
        <f aca="false">IF($I307="","",ROUND($I307*Dropdowns!$K$5,2))</f>
        <v>33.8</v>
      </c>
      <c r="K307" s="19" t="n">
        <f aca="false">IF($I307="","",ROUND($I307*Dropdowns!$K$6,2))</f>
        <v>31.2</v>
      </c>
      <c r="L307" s="20" t="n">
        <f aca="false">IF($I307="","",ROUND($I307*Dropdowns!$K$7,2))</f>
        <v>2665</v>
      </c>
      <c r="M307" s="15" t="str">
        <f aca="false">IFERROR(IF($B307="","",VLOOKUP($B307,Designs!$A$3:$AP$165,27,FALSE())),"")</f>
        <v/>
      </c>
      <c r="N307" s="16" t="str">
        <f aca="false">IFERROR(IF(OR($I307="",$M307="",$M307=0),"",($I307-$M307)/$I307),"")</f>
        <v/>
      </c>
      <c r="O307" s="13" t="n">
        <v>0</v>
      </c>
      <c r="P307" s="13" t="n">
        <v>0</v>
      </c>
      <c r="Q307" s="21" t="n">
        <f aca="false">IF($O307="","",$O307-IF($P307="",0,$P307))</f>
        <v>0</v>
      </c>
      <c r="R307" s="13" t="n">
        <v>2</v>
      </c>
      <c r="S307" s="21" t="str">
        <f aca="false">IF($O307="","",IF($Q307&lt;=$R307,"⚠ REORDER","OK"))</f>
        <v>⚠ REORDER</v>
      </c>
      <c r="T307" s="13"/>
      <c r="U307" s="13"/>
      <c r="V307" s="13" t="s">
        <v>378</v>
      </c>
      <c r="W307" s="12" t="s">
        <v>379</v>
      </c>
      <c r="X307" s="13"/>
      <c r="Y307" s="13"/>
      <c r="Z307" s="12" t="s">
        <v>88</v>
      </c>
      <c r="AA307" s="12" t="s">
        <v>88</v>
      </c>
      <c r="AB307" s="12" t="s">
        <v>88</v>
      </c>
      <c r="AC307" s="12" t="s">
        <v>88</v>
      </c>
      <c r="AD307" s="12" t="s">
        <v>87</v>
      </c>
      <c r="AE307" s="21" t="n">
        <f aca="false">IFERROR(SUMIFS(Transactions!$F:$F,Transactions!$C:$C,$A307,Transactions!$D:$D,"Sale"),0)</f>
        <v>0</v>
      </c>
      <c r="AF307" s="15" t="n">
        <f aca="false">IFERROR(SUMIFS(Transactions!$H:$H,Transactions!$C:$C,$A307,Transactions!$D:$D,"Sale"),0)</f>
        <v>0</v>
      </c>
      <c r="AG307" s="22" t="str">
        <f aca="false">IFERROR(IF(maxifs(Transactions!$B:$B,Transactions!$C:$C,$A307,Transactions!$D:$D,"Sale")=0,"",maxifs(Transactions!$B:$B,Transactions!$C:$C,$A307,Transactions!$D:$D,"Sale")),"")</f>
        <v/>
      </c>
      <c r="AH307" s="12"/>
    </row>
    <row r="308" customFormat="false" ht="18" hidden="false" customHeight="true" outlineLevel="0" collapsed="false">
      <c r="A308" s="12" t="s">
        <v>703</v>
      </c>
      <c r="B308" s="12" t="s">
        <v>268</v>
      </c>
      <c r="C308" s="12" t="s">
        <v>269</v>
      </c>
      <c r="D308" s="12" t="s">
        <v>245</v>
      </c>
      <c r="E308" s="12" t="s">
        <v>270</v>
      </c>
      <c r="F308" s="12"/>
      <c r="G308" s="12" t="s">
        <v>648</v>
      </c>
      <c r="H308" s="12" t="s">
        <v>652</v>
      </c>
      <c r="I308" s="14" t="n">
        <v>13000</v>
      </c>
      <c r="J308" s="18" t="n">
        <f aca="false">IF($I308="","",ROUND($I308*Dropdowns!$K$5,2))</f>
        <v>33.8</v>
      </c>
      <c r="K308" s="19" t="n">
        <f aca="false">IF($I308="","",ROUND($I308*Dropdowns!$K$6,2))</f>
        <v>31.2</v>
      </c>
      <c r="L308" s="20" t="n">
        <f aca="false">IF($I308="","",ROUND($I308*Dropdowns!$K$7,2))</f>
        <v>2665</v>
      </c>
      <c r="M308" s="15" t="str">
        <f aca="false">IFERROR(IF($B308="","",VLOOKUP($B308,Designs!$A$3:$AP$165,27,FALSE())),"")</f>
        <v/>
      </c>
      <c r="N308" s="16" t="str">
        <f aca="false">IFERROR(IF(OR($I308="",$M308="",$M308=0),"",($I308-$M308)/$I308),"")</f>
        <v/>
      </c>
      <c r="O308" s="13" t="n">
        <v>0</v>
      </c>
      <c r="P308" s="13" t="n">
        <v>0</v>
      </c>
      <c r="Q308" s="21" t="n">
        <f aca="false">IF($O308="","",$O308-IF($P308="",0,$P308))</f>
        <v>0</v>
      </c>
      <c r="R308" s="13" t="n">
        <v>2</v>
      </c>
      <c r="S308" s="21" t="str">
        <f aca="false">IF($O308="","",IF($Q308&lt;=$R308,"⚠ REORDER","OK"))</f>
        <v>⚠ REORDER</v>
      </c>
      <c r="T308" s="13"/>
      <c r="U308" s="13"/>
      <c r="V308" s="13" t="s">
        <v>378</v>
      </c>
      <c r="W308" s="12" t="s">
        <v>379</v>
      </c>
      <c r="X308" s="13"/>
      <c r="Y308" s="13"/>
      <c r="Z308" s="12" t="s">
        <v>88</v>
      </c>
      <c r="AA308" s="12" t="s">
        <v>88</v>
      </c>
      <c r="AB308" s="12" t="s">
        <v>88</v>
      </c>
      <c r="AC308" s="12" t="s">
        <v>88</v>
      </c>
      <c r="AD308" s="12" t="s">
        <v>87</v>
      </c>
      <c r="AE308" s="21" t="n">
        <f aca="false">IFERROR(SUMIFS(Transactions!$F:$F,Transactions!$C:$C,$A308,Transactions!$D:$D,"Sale"),0)</f>
        <v>0</v>
      </c>
      <c r="AF308" s="15" t="n">
        <f aca="false">IFERROR(SUMIFS(Transactions!$H:$H,Transactions!$C:$C,$A308,Transactions!$D:$D,"Sale"),0)</f>
        <v>0</v>
      </c>
      <c r="AG308" s="22" t="str">
        <f aca="false">IFERROR(IF(maxifs(Transactions!$B:$B,Transactions!$C:$C,$A308,Transactions!$D:$D,"Sale")=0,"",maxifs(Transactions!$B:$B,Transactions!$C:$C,$A308,Transactions!$D:$D,"Sale")),"")</f>
        <v/>
      </c>
      <c r="AH308" s="12"/>
    </row>
    <row r="309" customFormat="false" ht="18" hidden="false" customHeight="true" outlineLevel="0" collapsed="false">
      <c r="A309" s="12" t="s">
        <v>704</v>
      </c>
      <c r="B309" s="12" t="s">
        <v>268</v>
      </c>
      <c r="C309" s="12" t="s">
        <v>269</v>
      </c>
      <c r="D309" s="12" t="s">
        <v>245</v>
      </c>
      <c r="E309" s="12" t="s">
        <v>270</v>
      </c>
      <c r="F309" s="12"/>
      <c r="G309" s="12" t="s">
        <v>648</v>
      </c>
      <c r="H309" s="12" t="s">
        <v>381</v>
      </c>
      <c r="I309" s="14" t="n">
        <v>13000</v>
      </c>
      <c r="J309" s="18" t="n">
        <f aca="false">IF($I309="","",ROUND($I309*Dropdowns!$K$5,2))</f>
        <v>33.8</v>
      </c>
      <c r="K309" s="19" t="n">
        <f aca="false">IF($I309="","",ROUND($I309*Dropdowns!$K$6,2))</f>
        <v>31.2</v>
      </c>
      <c r="L309" s="20" t="n">
        <f aca="false">IF($I309="","",ROUND($I309*Dropdowns!$K$7,2))</f>
        <v>2665</v>
      </c>
      <c r="M309" s="15" t="str">
        <f aca="false">IFERROR(IF($B309="","",VLOOKUP($B309,Designs!$A$3:$AP$165,27,FALSE())),"")</f>
        <v/>
      </c>
      <c r="N309" s="16" t="str">
        <f aca="false">IFERROR(IF(OR($I309="",$M309="",$M309=0),"",($I309-$M309)/$I309),"")</f>
        <v/>
      </c>
      <c r="O309" s="13" t="n">
        <v>0</v>
      </c>
      <c r="P309" s="13" t="n">
        <v>0</v>
      </c>
      <c r="Q309" s="21" t="n">
        <f aca="false">IF($O309="","",$O309-IF($P309="",0,$P309))</f>
        <v>0</v>
      </c>
      <c r="R309" s="13" t="n">
        <v>2</v>
      </c>
      <c r="S309" s="21" t="str">
        <f aca="false">IF($O309="","",IF($Q309&lt;=$R309,"⚠ REORDER","OK"))</f>
        <v>⚠ REORDER</v>
      </c>
      <c r="T309" s="13"/>
      <c r="U309" s="13"/>
      <c r="V309" s="13" t="s">
        <v>378</v>
      </c>
      <c r="W309" s="12" t="s">
        <v>379</v>
      </c>
      <c r="X309" s="13"/>
      <c r="Y309" s="13"/>
      <c r="Z309" s="12" t="s">
        <v>88</v>
      </c>
      <c r="AA309" s="12" t="s">
        <v>88</v>
      </c>
      <c r="AB309" s="12" t="s">
        <v>88</v>
      </c>
      <c r="AC309" s="12" t="s">
        <v>88</v>
      </c>
      <c r="AD309" s="12" t="s">
        <v>87</v>
      </c>
      <c r="AE309" s="21" t="n">
        <f aca="false">IFERROR(SUMIFS(Transactions!$F:$F,Transactions!$C:$C,$A309,Transactions!$D:$D,"Sale"),0)</f>
        <v>0</v>
      </c>
      <c r="AF309" s="15" t="n">
        <f aca="false">IFERROR(SUMIFS(Transactions!$H:$H,Transactions!$C:$C,$A309,Transactions!$D:$D,"Sale"),0)</f>
        <v>0</v>
      </c>
      <c r="AG309" s="22" t="str">
        <f aca="false">IFERROR(IF(maxifs(Transactions!$B:$B,Transactions!$C:$C,$A309,Transactions!$D:$D,"Sale")=0,"",maxifs(Transactions!$B:$B,Transactions!$C:$C,$A309,Transactions!$D:$D,"Sale")),"")</f>
        <v/>
      </c>
      <c r="AH309" s="12"/>
    </row>
    <row r="310" customFormat="false" ht="18" hidden="false" customHeight="true" outlineLevel="0" collapsed="false">
      <c r="A310" s="12" t="s">
        <v>705</v>
      </c>
      <c r="B310" s="12" t="s">
        <v>268</v>
      </c>
      <c r="C310" s="12" t="s">
        <v>269</v>
      </c>
      <c r="D310" s="12" t="s">
        <v>245</v>
      </c>
      <c r="E310" s="12" t="s">
        <v>270</v>
      </c>
      <c r="F310" s="12"/>
      <c r="G310" s="12" t="s">
        <v>648</v>
      </c>
      <c r="H310" s="12" t="s">
        <v>655</v>
      </c>
      <c r="I310" s="14" t="n">
        <v>13000</v>
      </c>
      <c r="J310" s="18" t="n">
        <f aca="false">IF($I310="","",ROUND($I310*Dropdowns!$K$5,2))</f>
        <v>33.8</v>
      </c>
      <c r="K310" s="19" t="n">
        <f aca="false">IF($I310="","",ROUND($I310*Dropdowns!$K$6,2))</f>
        <v>31.2</v>
      </c>
      <c r="L310" s="20" t="n">
        <f aca="false">IF($I310="","",ROUND($I310*Dropdowns!$K$7,2))</f>
        <v>2665</v>
      </c>
      <c r="M310" s="15" t="str">
        <f aca="false">IFERROR(IF($B310="","",VLOOKUP($B310,Designs!$A$3:$AP$165,27,FALSE())),"")</f>
        <v/>
      </c>
      <c r="N310" s="16" t="str">
        <f aca="false">IFERROR(IF(OR($I310="",$M310="",$M310=0),"",($I310-$M310)/$I310),"")</f>
        <v/>
      </c>
      <c r="O310" s="13" t="n">
        <v>0</v>
      </c>
      <c r="P310" s="13" t="n">
        <v>0</v>
      </c>
      <c r="Q310" s="21" t="n">
        <f aca="false">IF($O310="","",$O310-IF($P310="",0,$P310))</f>
        <v>0</v>
      </c>
      <c r="R310" s="13" t="n">
        <v>2</v>
      </c>
      <c r="S310" s="21" t="str">
        <f aca="false">IF($O310="","",IF($Q310&lt;=$R310,"⚠ REORDER","OK"))</f>
        <v>⚠ REORDER</v>
      </c>
      <c r="T310" s="13"/>
      <c r="U310" s="13"/>
      <c r="V310" s="13" t="s">
        <v>378</v>
      </c>
      <c r="W310" s="12" t="s">
        <v>379</v>
      </c>
      <c r="X310" s="13"/>
      <c r="Y310" s="13"/>
      <c r="Z310" s="12" t="s">
        <v>88</v>
      </c>
      <c r="AA310" s="12" t="s">
        <v>88</v>
      </c>
      <c r="AB310" s="12" t="s">
        <v>88</v>
      </c>
      <c r="AC310" s="12" t="s">
        <v>88</v>
      </c>
      <c r="AD310" s="12" t="s">
        <v>87</v>
      </c>
      <c r="AE310" s="21" t="n">
        <f aca="false">IFERROR(SUMIFS(Transactions!$F:$F,Transactions!$C:$C,$A310,Transactions!$D:$D,"Sale"),0)</f>
        <v>0</v>
      </c>
      <c r="AF310" s="15" t="n">
        <f aca="false">IFERROR(SUMIFS(Transactions!$H:$H,Transactions!$C:$C,$A310,Transactions!$D:$D,"Sale"),0)</f>
        <v>0</v>
      </c>
      <c r="AG310" s="22" t="str">
        <f aca="false">IFERROR(IF(maxifs(Transactions!$B:$B,Transactions!$C:$C,$A310,Transactions!$D:$D,"Sale")=0,"",maxifs(Transactions!$B:$B,Transactions!$C:$C,$A310,Transactions!$D:$D,"Sale")),"")</f>
        <v/>
      </c>
      <c r="AH310" s="12"/>
    </row>
    <row r="311" customFormat="false" ht="18" hidden="false" customHeight="true" outlineLevel="0" collapsed="false">
      <c r="A311" s="12" t="s">
        <v>706</v>
      </c>
      <c r="B311" s="12" t="s">
        <v>273</v>
      </c>
      <c r="C311" s="12" t="s">
        <v>269</v>
      </c>
      <c r="D311" s="12" t="s">
        <v>245</v>
      </c>
      <c r="E311" s="12" t="s">
        <v>270</v>
      </c>
      <c r="F311" s="12"/>
      <c r="G311" s="12" t="s">
        <v>657</v>
      </c>
      <c r="H311" s="12" t="s">
        <v>707</v>
      </c>
      <c r="I311" s="14" t="n">
        <v>27000</v>
      </c>
      <c r="J311" s="18" t="n">
        <f aca="false">IF($I311="","",ROUND($I311*Dropdowns!$K$5,2))</f>
        <v>70.2</v>
      </c>
      <c r="K311" s="19" t="n">
        <f aca="false">IF($I311="","",ROUND($I311*Dropdowns!$K$6,2))</f>
        <v>64.8</v>
      </c>
      <c r="L311" s="20" t="n">
        <f aca="false">IF($I311="","",ROUND($I311*Dropdowns!$K$7,2))</f>
        <v>5535</v>
      </c>
      <c r="M311" s="15" t="str">
        <f aca="false">IFERROR(IF($B311="","",VLOOKUP($B311,Designs!$A$3:$AP$165,27,FALSE())),"")</f>
        <v/>
      </c>
      <c r="N311" s="16" t="str">
        <f aca="false">IFERROR(IF(OR($I311="",$M311="",$M311=0),"",($I311-$M311)/$I311),"")</f>
        <v/>
      </c>
      <c r="O311" s="13" t="n">
        <v>0</v>
      </c>
      <c r="P311" s="13" t="n">
        <v>0</v>
      </c>
      <c r="Q311" s="21" t="n">
        <f aca="false">IF($O311="","",$O311-IF($P311="",0,$P311))</f>
        <v>0</v>
      </c>
      <c r="R311" s="13" t="n">
        <v>2</v>
      </c>
      <c r="S311" s="21" t="str">
        <f aca="false">IF($O311="","",IF($Q311&lt;=$R311,"⚠ REORDER","OK"))</f>
        <v>⚠ REORDER</v>
      </c>
      <c r="T311" s="13"/>
      <c r="U311" s="13"/>
      <c r="V311" s="13" t="s">
        <v>378</v>
      </c>
      <c r="W311" s="12" t="s">
        <v>379</v>
      </c>
      <c r="X311" s="13"/>
      <c r="Y311" s="13"/>
      <c r="Z311" s="12" t="s">
        <v>88</v>
      </c>
      <c r="AA311" s="12" t="s">
        <v>88</v>
      </c>
      <c r="AB311" s="12" t="s">
        <v>88</v>
      </c>
      <c r="AC311" s="12" t="s">
        <v>88</v>
      </c>
      <c r="AD311" s="12" t="s">
        <v>87</v>
      </c>
      <c r="AE311" s="21" t="n">
        <f aca="false">IFERROR(SUMIFS(Transactions!$F:$F,Transactions!$C:$C,$A311,Transactions!$D:$D,"Sale"),0)</f>
        <v>0</v>
      </c>
      <c r="AF311" s="15" t="n">
        <f aca="false">IFERROR(SUMIFS(Transactions!$H:$H,Transactions!$C:$C,$A311,Transactions!$D:$D,"Sale"),0)</f>
        <v>0</v>
      </c>
      <c r="AG311" s="22" t="str">
        <f aca="false">IFERROR(IF(maxifs(Transactions!$B:$B,Transactions!$C:$C,$A311,Transactions!$D:$D,"Sale")=0,"",maxifs(Transactions!$B:$B,Transactions!$C:$C,$A311,Transactions!$D:$D,"Sale")),"")</f>
        <v/>
      </c>
      <c r="AH311" s="12"/>
    </row>
    <row r="312" customFormat="false" ht="18" hidden="false" customHeight="true" outlineLevel="0" collapsed="false">
      <c r="A312" s="12" t="s">
        <v>708</v>
      </c>
      <c r="B312" s="12" t="s">
        <v>273</v>
      </c>
      <c r="C312" s="12" t="s">
        <v>269</v>
      </c>
      <c r="D312" s="12" t="s">
        <v>245</v>
      </c>
      <c r="E312" s="12" t="s">
        <v>270</v>
      </c>
      <c r="F312" s="12"/>
      <c r="G312" s="12" t="s">
        <v>657</v>
      </c>
      <c r="H312" s="12" t="s">
        <v>709</v>
      </c>
      <c r="I312" s="14" t="n">
        <v>27000</v>
      </c>
      <c r="J312" s="18" t="n">
        <f aca="false">IF($I312="","",ROUND($I312*Dropdowns!$K$5,2))</f>
        <v>70.2</v>
      </c>
      <c r="K312" s="19" t="n">
        <f aca="false">IF($I312="","",ROUND($I312*Dropdowns!$K$6,2))</f>
        <v>64.8</v>
      </c>
      <c r="L312" s="20" t="n">
        <f aca="false">IF($I312="","",ROUND($I312*Dropdowns!$K$7,2))</f>
        <v>5535</v>
      </c>
      <c r="M312" s="15" t="str">
        <f aca="false">IFERROR(IF($B312="","",VLOOKUP($B312,Designs!$A$3:$AP$165,27,FALSE())),"")</f>
        <v/>
      </c>
      <c r="N312" s="16" t="str">
        <f aca="false">IFERROR(IF(OR($I312="",$M312="",$M312=0),"",($I312-$M312)/$I312),"")</f>
        <v/>
      </c>
      <c r="O312" s="13" t="n">
        <v>0</v>
      </c>
      <c r="P312" s="13" t="n">
        <v>0</v>
      </c>
      <c r="Q312" s="21" t="n">
        <f aca="false">IF($O312="","",$O312-IF($P312="",0,$P312))</f>
        <v>0</v>
      </c>
      <c r="R312" s="13" t="n">
        <v>2</v>
      </c>
      <c r="S312" s="21" t="str">
        <f aca="false">IF($O312="","",IF($Q312&lt;=$R312,"⚠ REORDER","OK"))</f>
        <v>⚠ REORDER</v>
      </c>
      <c r="T312" s="13"/>
      <c r="U312" s="13"/>
      <c r="V312" s="13" t="s">
        <v>378</v>
      </c>
      <c r="W312" s="12" t="s">
        <v>379</v>
      </c>
      <c r="X312" s="13"/>
      <c r="Y312" s="13"/>
      <c r="Z312" s="12" t="s">
        <v>88</v>
      </c>
      <c r="AA312" s="12" t="s">
        <v>88</v>
      </c>
      <c r="AB312" s="12" t="s">
        <v>88</v>
      </c>
      <c r="AC312" s="12" t="s">
        <v>88</v>
      </c>
      <c r="AD312" s="12" t="s">
        <v>87</v>
      </c>
      <c r="AE312" s="21" t="n">
        <f aca="false">IFERROR(SUMIFS(Transactions!$F:$F,Transactions!$C:$C,$A312,Transactions!$D:$D,"Sale"),0)</f>
        <v>0</v>
      </c>
      <c r="AF312" s="15" t="n">
        <f aca="false">IFERROR(SUMIFS(Transactions!$H:$H,Transactions!$C:$C,$A312,Transactions!$D:$D,"Sale"),0)</f>
        <v>0</v>
      </c>
      <c r="AG312" s="22" t="str">
        <f aca="false">IFERROR(IF(maxifs(Transactions!$B:$B,Transactions!$C:$C,$A312,Transactions!$D:$D,"Sale")=0,"",maxifs(Transactions!$B:$B,Transactions!$C:$C,$A312,Transactions!$D:$D,"Sale")),"")</f>
        <v/>
      </c>
      <c r="AH312" s="12"/>
    </row>
    <row r="313" customFormat="false" ht="18" hidden="false" customHeight="true" outlineLevel="0" collapsed="false">
      <c r="A313" s="12" t="s">
        <v>710</v>
      </c>
      <c r="B313" s="12" t="s">
        <v>273</v>
      </c>
      <c r="C313" s="12" t="s">
        <v>269</v>
      </c>
      <c r="D313" s="12" t="s">
        <v>245</v>
      </c>
      <c r="E313" s="12" t="s">
        <v>270</v>
      </c>
      <c r="F313" s="12"/>
      <c r="G313" s="12" t="s">
        <v>657</v>
      </c>
      <c r="H313" s="12" t="s">
        <v>711</v>
      </c>
      <c r="I313" s="14" t="n">
        <v>27000</v>
      </c>
      <c r="J313" s="18" t="n">
        <f aca="false">IF($I313="","",ROUND($I313*Dropdowns!$K$5,2))</f>
        <v>70.2</v>
      </c>
      <c r="K313" s="19" t="n">
        <f aca="false">IF($I313="","",ROUND($I313*Dropdowns!$K$6,2))</f>
        <v>64.8</v>
      </c>
      <c r="L313" s="20" t="n">
        <f aca="false">IF($I313="","",ROUND($I313*Dropdowns!$K$7,2))</f>
        <v>5535</v>
      </c>
      <c r="M313" s="15" t="str">
        <f aca="false">IFERROR(IF($B313="","",VLOOKUP($B313,Designs!$A$3:$AP$165,27,FALSE())),"")</f>
        <v/>
      </c>
      <c r="N313" s="16" t="str">
        <f aca="false">IFERROR(IF(OR($I313="",$M313="",$M313=0),"",($I313-$M313)/$I313),"")</f>
        <v/>
      </c>
      <c r="O313" s="13" t="n">
        <v>0</v>
      </c>
      <c r="P313" s="13" t="n">
        <v>0</v>
      </c>
      <c r="Q313" s="21" t="n">
        <f aca="false">IF($O313="","",$O313-IF($P313="",0,$P313))</f>
        <v>0</v>
      </c>
      <c r="R313" s="13" t="n">
        <v>2</v>
      </c>
      <c r="S313" s="21" t="str">
        <f aca="false">IF($O313="","",IF($Q313&lt;=$R313,"⚠ REORDER","OK"))</f>
        <v>⚠ REORDER</v>
      </c>
      <c r="T313" s="13"/>
      <c r="U313" s="13"/>
      <c r="V313" s="13" t="s">
        <v>378</v>
      </c>
      <c r="W313" s="12" t="s">
        <v>379</v>
      </c>
      <c r="X313" s="13"/>
      <c r="Y313" s="13"/>
      <c r="Z313" s="12" t="s">
        <v>88</v>
      </c>
      <c r="AA313" s="12" t="s">
        <v>88</v>
      </c>
      <c r="AB313" s="12" t="s">
        <v>88</v>
      </c>
      <c r="AC313" s="12" t="s">
        <v>88</v>
      </c>
      <c r="AD313" s="12" t="s">
        <v>87</v>
      </c>
      <c r="AE313" s="21" t="n">
        <f aca="false">IFERROR(SUMIFS(Transactions!$F:$F,Transactions!$C:$C,$A313,Transactions!$D:$D,"Sale"),0)</f>
        <v>0</v>
      </c>
      <c r="AF313" s="15" t="n">
        <f aca="false">IFERROR(SUMIFS(Transactions!$H:$H,Transactions!$C:$C,$A313,Transactions!$D:$D,"Sale"),0)</f>
        <v>0</v>
      </c>
      <c r="AG313" s="22" t="str">
        <f aca="false">IFERROR(IF(maxifs(Transactions!$B:$B,Transactions!$C:$C,$A313,Transactions!$D:$D,"Sale")=0,"",maxifs(Transactions!$B:$B,Transactions!$C:$C,$A313,Transactions!$D:$D,"Sale")),"")</f>
        <v/>
      </c>
      <c r="AH313" s="12"/>
    </row>
    <row r="314" customFormat="false" ht="18" hidden="false" customHeight="true" outlineLevel="0" collapsed="false">
      <c r="A314" s="12" t="s">
        <v>712</v>
      </c>
      <c r="B314" s="12" t="s">
        <v>273</v>
      </c>
      <c r="C314" s="12" t="s">
        <v>269</v>
      </c>
      <c r="D314" s="12" t="s">
        <v>245</v>
      </c>
      <c r="E314" s="12" t="s">
        <v>270</v>
      </c>
      <c r="F314" s="12"/>
      <c r="G314" s="12" t="s">
        <v>657</v>
      </c>
      <c r="H314" s="12" t="s">
        <v>713</v>
      </c>
      <c r="I314" s="14" t="n">
        <v>27000</v>
      </c>
      <c r="J314" s="18" t="n">
        <f aca="false">IF($I314="","",ROUND($I314*Dropdowns!$K$5,2))</f>
        <v>70.2</v>
      </c>
      <c r="K314" s="19" t="n">
        <f aca="false">IF($I314="","",ROUND($I314*Dropdowns!$K$6,2))</f>
        <v>64.8</v>
      </c>
      <c r="L314" s="20" t="n">
        <f aca="false">IF($I314="","",ROUND($I314*Dropdowns!$K$7,2))</f>
        <v>5535</v>
      </c>
      <c r="M314" s="15" t="str">
        <f aca="false">IFERROR(IF($B314="","",VLOOKUP($B314,Designs!$A$3:$AP$165,27,FALSE())),"")</f>
        <v/>
      </c>
      <c r="N314" s="16" t="str">
        <f aca="false">IFERROR(IF(OR($I314="",$M314="",$M314=0),"",($I314-$M314)/$I314),"")</f>
        <v/>
      </c>
      <c r="O314" s="13" t="n">
        <v>0</v>
      </c>
      <c r="P314" s="13" t="n">
        <v>0</v>
      </c>
      <c r="Q314" s="21" t="n">
        <f aca="false">IF($O314="","",$O314-IF($P314="",0,$P314))</f>
        <v>0</v>
      </c>
      <c r="R314" s="13" t="n">
        <v>2</v>
      </c>
      <c r="S314" s="21" t="str">
        <f aca="false">IF($O314="","",IF($Q314&lt;=$R314,"⚠ REORDER","OK"))</f>
        <v>⚠ REORDER</v>
      </c>
      <c r="T314" s="13"/>
      <c r="U314" s="13"/>
      <c r="V314" s="13" t="s">
        <v>378</v>
      </c>
      <c r="W314" s="12" t="s">
        <v>379</v>
      </c>
      <c r="X314" s="13"/>
      <c r="Y314" s="13"/>
      <c r="Z314" s="12" t="s">
        <v>88</v>
      </c>
      <c r="AA314" s="12" t="s">
        <v>88</v>
      </c>
      <c r="AB314" s="12" t="s">
        <v>88</v>
      </c>
      <c r="AC314" s="12" t="s">
        <v>88</v>
      </c>
      <c r="AD314" s="12" t="s">
        <v>87</v>
      </c>
      <c r="AE314" s="21" t="n">
        <f aca="false">IFERROR(SUMIFS(Transactions!$F:$F,Transactions!$C:$C,$A314,Transactions!$D:$D,"Sale"),0)</f>
        <v>0</v>
      </c>
      <c r="AF314" s="15" t="n">
        <f aca="false">IFERROR(SUMIFS(Transactions!$H:$H,Transactions!$C:$C,$A314,Transactions!$D:$D,"Sale"),0)</f>
        <v>0</v>
      </c>
      <c r="AG314" s="22" t="str">
        <f aca="false">IFERROR(IF(maxifs(Transactions!$B:$B,Transactions!$C:$C,$A314,Transactions!$D:$D,"Sale")=0,"",maxifs(Transactions!$B:$B,Transactions!$C:$C,$A314,Transactions!$D:$D,"Sale")),"")</f>
        <v/>
      </c>
      <c r="AH314" s="12"/>
    </row>
    <row r="315" customFormat="false" ht="18" hidden="false" customHeight="true" outlineLevel="0" collapsed="false">
      <c r="A315" s="12" t="s">
        <v>714</v>
      </c>
      <c r="B315" s="12" t="s">
        <v>274</v>
      </c>
      <c r="C315" s="12" t="s">
        <v>275</v>
      </c>
      <c r="D315" s="12" t="s">
        <v>276</v>
      </c>
      <c r="E315" s="12" t="s">
        <v>246</v>
      </c>
      <c r="F315" s="12"/>
      <c r="G315" s="12"/>
      <c r="H315" s="12" t="s">
        <v>658</v>
      </c>
      <c r="I315" s="14" t="n">
        <v>36000</v>
      </c>
      <c r="J315" s="18" t="n">
        <f aca="false">IF($I315="","",ROUND($I315*Dropdowns!$K$5,2))</f>
        <v>93.6</v>
      </c>
      <c r="K315" s="19" t="n">
        <f aca="false">IF($I315="","",ROUND($I315*Dropdowns!$K$6,2))</f>
        <v>86.4</v>
      </c>
      <c r="L315" s="20" t="n">
        <f aca="false">IF($I315="","",ROUND($I315*Dropdowns!$K$7,2))</f>
        <v>7380</v>
      </c>
      <c r="M315" s="15" t="str">
        <f aca="false">IFERROR(IF($B315="","",VLOOKUP($B315,Designs!$A$3:$AP$165,27,FALSE())),"")</f>
        <v/>
      </c>
      <c r="N315" s="16" t="str">
        <f aca="false">IFERROR(IF(OR($I315="",$M315="",$M315=0),"",($I315-$M315)/$I315),"")</f>
        <v/>
      </c>
      <c r="O315" s="13" t="n">
        <v>0</v>
      </c>
      <c r="P315" s="13" t="n">
        <v>0</v>
      </c>
      <c r="Q315" s="21" t="n">
        <f aca="false">IF($O315="","",$O315-IF($P315="",0,$P315))</f>
        <v>0</v>
      </c>
      <c r="R315" s="13" t="n">
        <v>2</v>
      </c>
      <c r="S315" s="21" t="str">
        <f aca="false">IF($O315="","",IF($Q315&lt;=$R315,"⚠ REORDER","OK"))</f>
        <v>⚠ REORDER</v>
      </c>
      <c r="T315" s="13"/>
      <c r="U315" s="13"/>
      <c r="V315" s="13" t="s">
        <v>378</v>
      </c>
      <c r="W315" s="12" t="s">
        <v>379</v>
      </c>
      <c r="X315" s="13"/>
      <c r="Y315" s="13"/>
      <c r="Z315" s="12" t="s">
        <v>88</v>
      </c>
      <c r="AA315" s="12" t="s">
        <v>88</v>
      </c>
      <c r="AB315" s="12" t="s">
        <v>88</v>
      </c>
      <c r="AC315" s="12" t="s">
        <v>88</v>
      </c>
      <c r="AD315" s="12" t="s">
        <v>87</v>
      </c>
      <c r="AE315" s="21" t="n">
        <f aca="false">IFERROR(SUMIFS(Transactions!$F:$F,Transactions!$C:$C,$A315,Transactions!$D:$D,"Sale"),0)</f>
        <v>0</v>
      </c>
      <c r="AF315" s="15" t="n">
        <f aca="false">IFERROR(SUMIFS(Transactions!$H:$H,Transactions!$C:$C,$A315,Transactions!$D:$D,"Sale"),0)</f>
        <v>0</v>
      </c>
      <c r="AG315" s="22" t="str">
        <f aca="false">IFERROR(IF(maxifs(Transactions!$B:$B,Transactions!$C:$C,$A315,Transactions!$D:$D,"Sale")=0,"",maxifs(Transactions!$B:$B,Transactions!$C:$C,$A315,Transactions!$D:$D,"Sale")),"")</f>
        <v/>
      </c>
      <c r="AH315" s="12"/>
    </row>
    <row r="316" customFormat="false" ht="18" hidden="false" customHeight="true" outlineLevel="0" collapsed="false">
      <c r="A316" s="12" t="s">
        <v>715</v>
      </c>
      <c r="B316" s="12" t="s">
        <v>274</v>
      </c>
      <c r="C316" s="12" t="s">
        <v>275</v>
      </c>
      <c r="D316" s="12" t="s">
        <v>276</v>
      </c>
      <c r="E316" s="12" t="s">
        <v>246</v>
      </c>
      <c r="F316" s="12"/>
      <c r="G316" s="12"/>
      <c r="H316" s="12" t="s">
        <v>660</v>
      </c>
      <c r="I316" s="14" t="n">
        <v>36000</v>
      </c>
      <c r="J316" s="18" t="n">
        <f aca="false">IF($I316="","",ROUND($I316*Dropdowns!$K$5,2))</f>
        <v>93.6</v>
      </c>
      <c r="K316" s="19" t="n">
        <f aca="false">IF($I316="","",ROUND($I316*Dropdowns!$K$6,2))</f>
        <v>86.4</v>
      </c>
      <c r="L316" s="20" t="n">
        <f aca="false">IF($I316="","",ROUND($I316*Dropdowns!$K$7,2))</f>
        <v>7380</v>
      </c>
      <c r="M316" s="15" t="str">
        <f aca="false">IFERROR(IF($B316="","",VLOOKUP($B316,Designs!$A$3:$AP$165,27,FALSE())),"")</f>
        <v/>
      </c>
      <c r="N316" s="16" t="str">
        <f aca="false">IFERROR(IF(OR($I316="",$M316="",$M316=0),"",($I316-$M316)/$I316),"")</f>
        <v/>
      </c>
      <c r="O316" s="13" t="n">
        <v>0</v>
      </c>
      <c r="P316" s="13" t="n">
        <v>0</v>
      </c>
      <c r="Q316" s="21" t="n">
        <f aca="false">IF($O316="","",$O316-IF($P316="",0,$P316))</f>
        <v>0</v>
      </c>
      <c r="R316" s="13" t="n">
        <v>2</v>
      </c>
      <c r="S316" s="21" t="str">
        <f aca="false">IF($O316="","",IF($Q316&lt;=$R316,"⚠ REORDER","OK"))</f>
        <v>⚠ REORDER</v>
      </c>
      <c r="T316" s="13"/>
      <c r="U316" s="13"/>
      <c r="V316" s="13" t="s">
        <v>378</v>
      </c>
      <c r="W316" s="12" t="s">
        <v>379</v>
      </c>
      <c r="X316" s="13"/>
      <c r="Y316" s="13"/>
      <c r="Z316" s="12" t="s">
        <v>88</v>
      </c>
      <c r="AA316" s="12" t="s">
        <v>88</v>
      </c>
      <c r="AB316" s="12" t="s">
        <v>88</v>
      </c>
      <c r="AC316" s="12" t="s">
        <v>88</v>
      </c>
      <c r="AD316" s="12" t="s">
        <v>87</v>
      </c>
      <c r="AE316" s="21" t="n">
        <f aca="false">IFERROR(SUMIFS(Transactions!$F:$F,Transactions!$C:$C,$A316,Transactions!$D:$D,"Sale"),0)</f>
        <v>0</v>
      </c>
      <c r="AF316" s="15" t="n">
        <f aca="false">IFERROR(SUMIFS(Transactions!$H:$H,Transactions!$C:$C,$A316,Transactions!$D:$D,"Sale"),0)</f>
        <v>0</v>
      </c>
      <c r="AG316" s="22" t="str">
        <f aca="false">IFERROR(IF(maxifs(Transactions!$B:$B,Transactions!$C:$C,$A316,Transactions!$D:$D,"Sale")=0,"",maxifs(Transactions!$B:$B,Transactions!$C:$C,$A316,Transactions!$D:$D,"Sale")),"")</f>
        <v/>
      </c>
      <c r="AH316" s="12"/>
    </row>
    <row r="317" customFormat="false" ht="18" hidden="false" customHeight="true" outlineLevel="0" collapsed="false">
      <c r="A317" s="12" t="s">
        <v>716</v>
      </c>
      <c r="B317" s="12" t="s">
        <v>274</v>
      </c>
      <c r="C317" s="12" t="s">
        <v>275</v>
      </c>
      <c r="D317" s="12" t="s">
        <v>276</v>
      </c>
      <c r="E317" s="12" t="s">
        <v>246</v>
      </c>
      <c r="F317" s="12"/>
      <c r="G317" s="12"/>
      <c r="H317" s="12" t="s">
        <v>662</v>
      </c>
      <c r="I317" s="14" t="n">
        <v>36000</v>
      </c>
      <c r="J317" s="18" t="n">
        <f aca="false">IF($I317="","",ROUND($I317*Dropdowns!$K$5,2))</f>
        <v>93.6</v>
      </c>
      <c r="K317" s="19" t="n">
        <f aca="false">IF($I317="","",ROUND($I317*Dropdowns!$K$6,2))</f>
        <v>86.4</v>
      </c>
      <c r="L317" s="20" t="n">
        <f aca="false">IF($I317="","",ROUND($I317*Dropdowns!$K$7,2))</f>
        <v>7380</v>
      </c>
      <c r="M317" s="15" t="str">
        <f aca="false">IFERROR(IF($B317="","",VLOOKUP($B317,Designs!$A$3:$AP$165,27,FALSE())),"")</f>
        <v/>
      </c>
      <c r="N317" s="16" t="str">
        <f aca="false">IFERROR(IF(OR($I317="",$M317="",$M317=0),"",($I317-$M317)/$I317),"")</f>
        <v/>
      </c>
      <c r="O317" s="13" t="n">
        <v>0</v>
      </c>
      <c r="P317" s="13" t="n">
        <v>0</v>
      </c>
      <c r="Q317" s="21" t="n">
        <f aca="false">IF($O317="","",$O317-IF($P317="",0,$P317))</f>
        <v>0</v>
      </c>
      <c r="R317" s="13" t="n">
        <v>2</v>
      </c>
      <c r="S317" s="21" t="str">
        <f aca="false">IF($O317="","",IF($Q317&lt;=$R317,"⚠ REORDER","OK"))</f>
        <v>⚠ REORDER</v>
      </c>
      <c r="T317" s="13"/>
      <c r="U317" s="13"/>
      <c r="V317" s="13" t="s">
        <v>378</v>
      </c>
      <c r="W317" s="12" t="s">
        <v>379</v>
      </c>
      <c r="X317" s="13"/>
      <c r="Y317" s="13"/>
      <c r="Z317" s="12" t="s">
        <v>88</v>
      </c>
      <c r="AA317" s="12" t="s">
        <v>88</v>
      </c>
      <c r="AB317" s="12" t="s">
        <v>88</v>
      </c>
      <c r="AC317" s="12" t="s">
        <v>88</v>
      </c>
      <c r="AD317" s="12" t="s">
        <v>87</v>
      </c>
      <c r="AE317" s="21" t="n">
        <f aca="false">IFERROR(SUMIFS(Transactions!$F:$F,Transactions!$C:$C,$A317,Transactions!$D:$D,"Sale"),0)</f>
        <v>0</v>
      </c>
      <c r="AF317" s="15" t="n">
        <f aca="false">IFERROR(SUMIFS(Transactions!$H:$H,Transactions!$C:$C,$A317,Transactions!$D:$D,"Sale"),0)</f>
        <v>0</v>
      </c>
      <c r="AG317" s="22" t="str">
        <f aca="false">IFERROR(IF(maxifs(Transactions!$B:$B,Transactions!$C:$C,$A317,Transactions!$D:$D,"Sale")=0,"",maxifs(Transactions!$B:$B,Transactions!$C:$C,$A317,Transactions!$D:$D,"Sale")),"")</f>
        <v/>
      </c>
      <c r="AH317" s="12"/>
    </row>
    <row r="318" customFormat="false" ht="18" hidden="false" customHeight="true" outlineLevel="0" collapsed="false">
      <c r="A318" s="12" t="s">
        <v>717</v>
      </c>
      <c r="B318" s="12" t="s">
        <v>274</v>
      </c>
      <c r="C318" s="12" t="s">
        <v>275</v>
      </c>
      <c r="D318" s="12" t="s">
        <v>276</v>
      </c>
      <c r="E318" s="12" t="s">
        <v>246</v>
      </c>
      <c r="F318" s="12"/>
      <c r="G318" s="12"/>
      <c r="H318" s="12" t="s">
        <v>664</v>
      </c>
      <c r="I318" s="14" t="n">
        <v>36000</v>
      </c>
      <c r="J318" s="18" t="n">
        <f aca="false">IF($I318="","",ROUND($I318*Dropdowns!$K$5,2))</f>
        <v>93.6</v>
      </c>
      <c r="K318" s="19" t="n">
        <f aca="false">IF($I318="","",ROUND($I318*Dropdowns!$K$6,2))</f>
        <v>86.4</v>
      </c>
      <c r="L318" s="20" t="n">
        <f aca="false">IF($I318="","",ROUND($I318*Dropdowns!$K$7,2))</f>
        <v>7380</v>
      </c>
      <c r="M318" s="15" t="str">
        <f aca="false">IFERROR(IF($B318="","",VLOOKUP($B318,Designs!$A$3:$AP$165,27,FALSE())),"")</f>
        <v/>
      </c>
      <c r="N318" s="16" t="str">
        <f aca="false">IFERROR(IF(OR($I318="",$M318="",$M318=0),"",($I318-$M318)/$I318),"")</f>
        <v/>
      </c>
      <c r="O318" s="13" t="n">
        <v>0</v>
      </c>
      <c r="P318" s="13" t="n">
        <v>0</v>
      </c>
      <c r="Q318" s="21" t="n">
        <f aca="false">IF($O318="","",$O318-IF($P318="",0,$P318))</f>
        <v>0</v>
      </c>
      <c r="R318" s="13" t="n">
        <v>2</v>
      </c>
      <c r="S318" s="21" t="str">
        <f aca="false">IF($O318="","",IF($Q318&lt;=$R318,"⚠ REORDER","OK"))</f>
        <v>⚠ REORDER</v>
      </c>
      <c r="T318" s="13"/>
      <c r="U318" s="13"/>
      <c r="V318" s="13" t="s">
        <v>378</v>
      </c>
      <c r="W318" s="12" t="s">
        <v>379</v>
      </c>
      <c r="X318" s="13"/>
      <c r="Y318" s="13"/>
      <c r="Z318" s="12" t="s">
        <v>88</v>
      </c>
      <c r="AA318" s="12" t="s">
        <v>88</v>
      </c>
      <c r="AB318" s="12" t="s">
        <v>88</v>
      </c>
      <c r="AC318" s="12" t="s">
        <v>88</v>
      </c>
      <c r="AD318" s="12" t="s">
        <v>87</v>
      </c>
      <c r="AE318" s="21" t="n">
        <f aca="false">IFERROR(SUMIFS(Transactions!$F:$F,Transactions!$C:$C,$A318,Transactions!$D:$D,"Sale"),0)</f>
        <v>0</v>
      </c>
      <c r="AF318" s="15" t="n">
        <f aca="false">IFERROR(SUMIFS(Transactions!$H:$H,Transactions!$C:$C,$A318,Transactions!$D:$D,"Sale"),0)</f>
        <v>0</v>
      </c>
      <c r="AG318" s="22" t="str">
        <f aca="false">IFERROR(IF(maxifs(Transactions!$B:$B,Transactions!$C:$C,$A318,Transactions!$D:$D,"Sale")=0,"",maxifs(Transactions!$B:$B,Transactions!$C:$C,$A318,Transactions!$D:$D,"Sale")),"")</f>
        <v/>
      </c>
      <c r="AH318" s="12"/>
    </row>
    <row r="319" customFormat="false" ht="18" hidden="false" customHeight="true" outlineLevel="0" collapsed="false">
      <c r="A319" s="12" t="s">
        <v>718</v>
      </c>
      <c r="B319" s="12" t="s">
        <v>277</v>
      </c>
      <c r="C319" s="12" t="s">
        <v>278</v>
      </c>
      <c r="D319" s="12" t="s">
        <v>276</v>
      </c>
      <c r="E319" s="12" t="s">
        <v>264</v>
      </c>
      <c r="F319" s="12"/>
      <c r="G319" s="12"/>
      <c r="H319" s="12" t="s">
        <v>658</v>
      </c>
      <c r="I319" s="14" t="n">
        <v>36000</v>
      </c>
      <c r="J319" s="18" t="n">
        <f aca="false">IF($I319="","",ROUND($I319*Dropdowns!$K$5,2))</f>
        <v>93.6</v>
      </c>
      <c r="K319" s="19" t="n">
        <f aca="false">IF($I319="","",ROUND($I319*Dropdowns!$K$6,2))</f>
        <v>86.4</v>
      </c>
      <c r="L319" s="20" t="n">
        <f aca="false">IF($I319="","",ROUND($I319*Dropdowns!$K$7,2))</f>
        <v>7380</v>
      </c>
      <c r="M319" s="15" t="str">
        <f aca="false">IFERROR(IF($B319="","",VLOOKUP($B319,Designs!$A$3:$AP$165,27,FALSE())),"")</f>
        <v/>
      </c>
      <c r="N319" s="16" t="str">
        <f aca="false">IFERROR(IF(OR($I319="",$M319="",$M319=0),"",($I319-$M319)/$I319),"")</f>
        <v/>
      </c>
      <c r="O319" s="13" t="n">
        <v>0</v>
      </c>
      <c r="P319" s="13" t="n">
        <v>0</v>
      </c>
      <c r="Q319" s="21" t="n">
        <f aca="false">IF($O319="","",$O319-IF($P319="",0,$P319))</f>
        <v>0</v>
      </c>
      <c r="R319" s="13" t="n">
        <v>2</v>
      </c>
      <c r="S319" s="21" t="str">
        <f aca="false">IF($O319="","",IF($Q319&lt;=$R319,"⚠ REORDER","OK"))</f>
        <v>⚠ REORDER</v>
      </c>
      <c r="T319" s="13"/>
      <c r="U319" s="13"/>
      <c r="V319" s="13" t="s">
        <v>378</v>
      </c>
      <c r="W319" s="12" t="s">
        <v>379</v>
      </c>
      <c r="X319" s="13"/>
      <c r="Y319" s="13"/>
      <c r="Z319" s="12" t="s">
        <v>88</v>
      </c>
      <c r="AA319" s="12" t="s">
        <v>88</v>
      </c>
      <c r="AB319" s="12" t="s">
        <v>88</v>
      </c>
      <c r="AC319" s="12" t="s">
        <v>88</v>
      </c>
      <c r="AD319" s="12" t="s">
        <v>87</v>
      </c>
      <c r="AE319" s="21" t="n">
        <f aca="false">IFERROR(SUMIFS(Transactions!$F:$F,Transactions!$C:$C,$A319,Transactions!$D:$D,"Sale"),0)</f>
        <v>0</v>
      </c>
      <c r="AF319" s="15" t="n">
        <f aca="false">IFERROR(SUMIFS(Transactions!$H:$H,Transactions!$C:$C,$A319,Transactions!$D:$D,"Sale"),0)</f>
        <v>0</v>
      </c>
      <c r="AG319" s="22" t="str">
        <f aca="false">IFERROR(IF(maxifs(Transactions!$B:$B,Transactions!$C:$C,$A319,Transactions!$D:$D,"Sale")=0,"",maxifs(Transactions!$B:$B,Transactions!$C:$C,$A319,Transactions!$D:$D,"Sale")),"")</f>
        <v/>
      </c>
      <c r="AH319" s="12"/>
    </row>
    <row r="320" customFormat="false" ht="18" hidden="false" customHeight="true" outlineLevel="0" collapsed="false">
      <c r="A320" s="12" t="s">
        <v>719</v>
      </c>
      <c r="B320" s="12" t="s">
        <v>277</v>
      </c>
      <c r="C320" s="12" t="s">
        <v>278</v>
      </c>
      <c r="D320" s="12" t="s">
        <v>276</v>
      </c>
      <c r="E320" s="12" t="s">
        <v>264</v>
      </c>
      <c r="F320" s="12"/>
      <c r="G320" s="12"/>
      <c r="H320" s="12" t="s">
        <v>700</v>
      </c>
      <c r="I320" s="14" t="n">
        <v>36000</v>
      </c>
      <c r="J320" s="18" t="n">
        <f aca="false">IF($I320="","",ROUND($I320*Dropdowns!$K$5,2))</f>
        <v>93.6</v>
      </c>
      <c r="K320" s="19" t="n">
        <f aca="false">IF($I320="","",ROUND($I320*Dropdowns!$K$6,2))</f>
        <v>86.4</v>
      </c>
      <c r="L320" s="20" t="n">
        <f aca="false">IF($I320="","",ROUND($I320*Dropdowns!$K$7,2))</f>
        <v>7380</v>
      </c>
      <c r="M320" s="15" t="str">
        <f aca="false">IFERROR(IF($B320="","",VLOOKUP($B320,Designs!$A$3:$AP$165,27,FALSE())),"")</f>
        <v/>
      </c>
      <c r="N320" s="16" t="str">
        <f aca="false">IFERROR(IF(OR($I320="",$M320="",$M320=0),"",($I320-$M320)/$I320),"")</f>
        <v/>
      </c>
      <c r="O320" s="13" t="n">
        <v>0</v>
      </c>
      <c r="P320" s="13" t="n">
        <v>0</v>
      </c>
      <c r="Q320" s="21" t="n">
        <f aca="false">IF($O320="","",$O320-IF($P320="",0,$P320))</f>
        <v>0</v>
      </c>
      <c r="R320" s="13" t="n">
        <v>2</v>
      </c>
      <c r="S320" s="21" t="str">
        <f aca="false">IF($O320="","",IF($Q320&lt;=$R320,"⚠ REORDER","OK"))</f>
        <v>⚠ REORDER</v>
      </c>
      <c r="T320" s="13"/>
      <c r="U320" s="13"/>
      <c r="V320" s="13" t="s">
        <v>378</v>
      </c>
      <c r="W320" s="12" t="s">
        <v>379</v>
      </c>
      <c r="X320" s="13"/>
      <c r="Y320" s="13"/>
      <c r="Z320" s="12" t="s">
        <v>88</v>
      </c>
      <c r="AA320" s="12" t="s">
        <v>88</v>
      </c>
      <c r="AB320" s="12" t="s">
        <v>88</v>
      </c>
      <c r="AC320" s="12" t="s">
        <v>88</v>
      </c>
      <c r="AD320" s="12" t="s">
        <v>87</v>
      </c>
      <c r="AE320" s="21" t="n">
        <f aca="false">IFERROR(SUMIFS(Transactions!$F:$F,Transactions!$C:$C,$A320,Transactions!$D:$D,"Sale"),0)</f>
        <v>0</v>
      </c>
      <c r="AF320" s="15" t="n">
        <f aca="false">IFERROR(SUMIFS(Transactions!$H:$H,Transactions!$C:$C,$A320,Transactions!$D:$D,"Sale"),0)</f>
        <v>0</v>
      </c>
      <c r="AG320" s="22" t="str">
        <f aca="false">IFERROR(IF(maxifs(Transactions!$B:$B,Transactions!$C:$C,$A320,Transactions!$D:$D,"Sale")=0,"",maxifs(Transactions!$B:$B,Transactions!$C:$C,$A320,Transactions!$D:$D,"Sale")),"")</f>
        <v/>
      </c>
      <c r="AH320" s="12"/>
    </row>
    <row r="321" customFormat="false" ht="18" hidden="false" customHeight="true" outlineLevel="0" collapsed="false">
      <c r="A321" s="12" t="s">
        <v>720</v>
      </c>
      <c r="B321" s="12" t="s">
        <v>277</v>
      </c>
      <c r="C321" s="12" t="s">
        <v>278</v>
      </c>
      <c r="D321" s="12" t="s">
        <v>276</v>
      </c>
      <c r="E321" s="12" t="s">
        <v>264</v>
      </c>
      <c r="F321" s="12"/>
      <c r="G321" s="12"/>
      <c r="H321" s="12" t="s">
        <v>662</v>
      </c>
      <c r="I321" s="14" t="n">
        <v>36000</v>
      </c>
      <c r="J321" s="18" t="n">
        <f aca="false">IF($I321="","",ROUND($I321*Dropdowns!$K$5,2))</f>
        <v>93.6</v>
      </c>
      <c r="K321" s="19" t="n">
        <f aca="false">IF($I321="","",ROUND($I321*Dropdowns!$K$6,2))</f>
        <v>86.4</v>
      </c>
      <c r="L321" s="20" t="n">
        <f aca="false">IF($I321="","",ROUND($I321*Dropdowns!$K$7,2))</f>
        <v>7380</v>
      </c>
      <c r="M321" s="15" t="str">
        <f aca="false">IFERROR(IF($B321="","",VLOOKUP($B321,Designs!$A$3:$AP$165,27,FALSE())),"")</f>
        <v/>
      </c>
      <c r="N321" s="16" t="str">
        <f aca="false">IFERROR(IF(OR($I321="",$M321="",$M321=0),"",($I321-$M321)/$I321),"")</f>
        <v/>
      </c>
      <c r="O321" s="13" t="n">
        <v>0</v>
      </c>
      <c r="P321" s="13" t="n">
        <v>0</v>
      </c>
      <c r="Q321" s="21" t="n">
        <f aca="false">IF($O321="","",$O321-IF($P321="",0,$P321))</f>
        <v>0</v>
      </c>
      <c r="R321" s="13" t="n">
        <v>2</v>
      </c>
      <c r="S321" s="21" t="str">
        <f aca="false">IF($O321="","",IF($Q321&lt;=$R321,"⚠ REORDER","OK"))</f>
        <v>⚠ REORDER</v>
      </c>
      <c r="T321" s="13"/>
      <c r="U321" s="13"/>
      <c r="V321" s="13" t="s">
        <v>378</v>
      </c>
      <c r="W321" s="12" t="s">
        <v>379</v>
      </c>
      <c r="X321" s="13"/>
      <c r="Y321" s="13"/>
      <c r="Z321" s="12" t="s">
        <v>88</v>
      </c>
      <c r="AA321" s="12" t="s">
        <v>88</v>
      </c>
      <c r="AB321" s="12" t="s">
        <v>88</v>
      </c>
      <c r="AC321" s="12" t="s">
        <v>88</v>
      </c>
      <c r="AD321" s="12" t="s">
        <v>87</v>
      </c>
      <c r="AE321" s="21" t="n">
        <f aca="false">IFERROR(SUMIFS(Transactions!$F:$F,Transactions!$C:$C,$A321,Transactions!$D:$D,"Sale"),0)</f>
        <v>0</v>
      </c>
      <c r="AF321" s="15" t="n">
        <f aca="false">IFERROR(SUMIFS(Transactions!$H:$H,Transactions!$C:$C,$A321,Transactions!$D:$D,"Sale"),0)</f>
        <v>0</v>
      </c>
      <c r="AG321" s="22" t="str">
        <f aca="false">IFERROR(IF(maxifs(Transactions!$B:$B,Transactions!$C:$C,$A321,Transactions!$D:$D,"Sale")=0,"",maxifs(Transactions!$B:$B,Transactions!$C:$C,$A321,Transactions!$D:$D,"Sale")),"")</f>
        <v/>
      </c>
      <c r="AH321" s="12"/>
    </row>
    <row r="322" customFormat="false" ht="18" hidden="false" customHeight="true" outlineLevel="0" collapsed="false">
      <c r="A322" s="12" t="s">
        <v>721</v>
      </c>
      <c r="B322" s="12" t="s">
        <v>277</v>
      </c>
      <c r="C322" s="12" t="s">
        <v>278</v>
      </c>
      <c r="D322" s="12" t="s">
        <v>276</v>
      </c>
      <c r="E322" s="12" t="s">
        <v>264</v>
      </c>
      <c r="F322" s="12"/>
      <c r="G322" s="12"/>
      <c r="H322" s="12" t="s">
        <v>664</v>
      </c>
      <c r="I322" s="14" t="n">
        <v>36000</v>
      </c>
      <c r="J322" s="18" t="n">
        <f aca="false">IF($I322="","",ROUND($I322*Dropdowns!$K$5,2))</f>
        <v>93.6</v>
      </c>
      <c r="K322" s="19" t="n">
        <f aca="false">IF($I322="","",ROUND($I322*Dropdowns!$K$6,2))</f>
        <v>86.4</v>
      </c>
      <c r="L322" s="20" t="n">
        <f aca="false">IF($I322="","",ROUND($I322*Dropdowns!$K$7,2))</f>
        <v>7380</v>
      </c>
      <c r="M322" s="15" t="str">
        <f aca="false">IFERROR(IF($B322="","",VLOOKUP($B322,Designs!$A$3:$AP$165,27,FALSE())),"")</f>
        <v/>
      </c>
      <c r="N322" s="16" t="str">
        <f aca="false">IFERROR(IF(OR($I322="",$M322="",$M322=0),"",($I322-$M322)/$I322),"")</f>
        <v/>
      </c>
      <c r="O322" s="13" t="n">
        <v>0</v>
      </c>
      <c r="P322" s="13" t="n">
        <v>0</v>
      </c>
      <c r="Q322" s="21" t="n">
        <f aca="false">IF($O322="","",$O322-IF($P322="",0,$P322))</f>
        <v>0</v>
      </c>
      <c r="R322" s="13" t="n">
        <v>2</v>
      </c>
      <c r="S322" s="21" t="str">
        <f aca="false">IF($O322="","",IF($Q322&lt;=$R322,"⚠ REORDER","OK"))</f>
        <v>⚠ REORDER</v>
      </c>
      <c r="T322" s="13"/>
      <c r="U322" s="13"/>
      <c r="V322" s="13" t="s">
        <v>378</v>
      </c>
      <c r="W322" s="12" t="s">
        <v>379</v>
      </c>
      <c r="X322" s="13"/>
      <c r="Y322" s="13"/>
      <c r="Z322" s="12" t="s">
        <v>88</v>
      </c>
      <c r="AA322" s="12" t="s">
        <v>88</v>
      </c>
      <c r="AB322" s="12" t="s">
        <v>88</v>
      </c>
      <c r="AC322" s="12" t="s">
        <v>88</v>
      </c>
      <c r="AD322" s="12" t="s">
        <v>87</v>
      </c>
      <c r="AE322" s="21" t="n">
        <f aca="false">IFERROR(SUMIFS(Transactions!$F:$F,Transactions!$C:$C,$A322,Transactions!$D:$D,"Sale"),0)</f>
        <v>0</v>
      </c>
      <c r="AF322" s="15" t="n">
        <f aca="false">IFERROR(SUMIFS(Transactions!$H:$H,Transactions!$C:$C,$A322,Transactions!$D:$D,"Sale"),0)</f>
        <v>0</v>
      </c>
      <c r="AG322" s="22" t="str">
        <f aca="false">IFERROR(IF(maxifs(Transactions!$B:$B,Transactions!$C:$C,$A322,Transactions!$D:$D,"Sale")=0,"",maxifs(Transactions!$B:$B,Transactions!$C:$C,$A322,Transactions!$D:$D,"Sale")),"")</f>
        <v/>
      </c>
      <c r="AH322" s="12"/>
    </row>
    <row r="323" customFormat="false" ht="18" hidden="false" customHeight="true" outlineLevel="0" collapsed="false">
      <c r="A323" s="12" t="s">
        <v>722</v>
      </c>
      <c r="B323" s="12" t="s">
        <v>279</v>
      </c>
      <c r="C323" s="12" t="s">
        <v>280</v>
      </c>
      <c r="D323" s="12" t="s">
        <v>276</v>
      </c>
      <c r="E323" s="12" t="s">
        <v>252</v>
      </c>
      <c r="F323" s="12"/>
      <c r="G323" s="12"/>
      <c r="H323" s="12" t="s">
        <v>383</v>
      </c>
      <c r="I323" s="14" t="n">
        <v>36000</v>
      </c>
      <c r="J323" s="18" t="n">
        <f aca="false">IF($I323="","",ROUND($I323*Dropdowns!$K$5,2))</f>
        <v>93.6</v>
      </c>
      <c r="K323" s="19" t="n">
        <f aca="false">IF($I323="","",ROUND($I323*Dropdowns!$K$6,2))</f>
        <v>86.4</v>
      </c>
      <c r="L323" s="20" t="n">
        <f aca="false">IF($I323="","",ROUND($I323*Dropdowns!$K$7,2))</f>
        <v>7380</v>
      </c>
      <c r="M323" s="15" t="str">
        <f aca="false">IFERROR(IF($B323="","",VLOOKUP($B323,Designs!$A$3:$AP$165,27,FALSE())),"")</f>
        <v/>
      </c>
      <c r="N323" s="16" t="str">
        <f aca="false">IFERROR(IF(OR($I323="",$M323="",$M323=0),"",($I323-$M323)/$I323),"")</f>
        <v/>
      </c>
      <c r="O323" s="13" t="n">
        <v>0</v>
      </c>
      <c r="P323" s="13" t="n">
        <v>0</v>
      </c>
      <c r="Q323" s="21" t="n">
        <f aca="false">IF($O323="","",$O323-IF($P323="",0,$P323))</f>
        <v>0</v>
      </c>
      <c r="R323" s="13" t="n">
        <v>2</v>
      </c>
      <c r="S323" s="21" t="str">
        <f aca="false">IF($O323="","",IF($Q323&lt;=$R323,"⚠ REORDER","OK"))</f>
        <v>⚠ REORDER</v>
      </c>
      <c r="T323" s="13"/>
      <c r="U323" s="13"/>
      <c r="V323" s="13" t="s">
        <v>378</v>
      </c>
      <c r="W323" s="12" t="s">
        <v>379</v>
      </c>
      <c r="X323" s="13"/>
      <c r="Y323" s="13"/>
      <c r="Z323" s="12" t="s">
        <v>88</v>
      </c>
      <c r="AA323" s="12" t="s">
        <v>88</v>
      </c>
      <c r="AB323" s="12" t="s">
        <v>88</v>
      </c>
      <c r="AC323" s="12" t="s">
        <v>88</v>
      </c>
      <c r="AD323" s="12" t="s">
        <v>87</v>
      </c>
      <c r="AE323" s="21" t="n">
        <f aca="false">IFERROR(SUMIFS(Transactions!$F:$F,Transactions!$C:$C,$A323,Transactions!$D:$D,"Sale"),0)</f>
        <v>0</v>
      </c>
      <c r="AF323" s="15" t="n">
        <f aca="false">IFERROR(SUMIFS(Transactions!$H:$H,Transactions!$C:$C,$A323,Transactions!$D:$D,"Sale"),0)</f>
        <v>0</v>
      </c>
      <c r="AG323" s="22" t="str">
        <f aca="false">IFERROR(IF(maxifs(Transactions!$B:$B,Transactions!$C:$C,$A323,Transactions!$D:$D,"Sale")=0,"",maxifs(Transactions!$B:$B,Transactions!$C:$C,$A323,Transactions!$D:$D,"Sale")),"")</f>
        <v/>
      </c>
      <c r="AH323" s="12"/>
    </row>
    <row r="324" customFormat="false" ht="18" hidden="false" customHeight="true" outlineLevel="0" collapsed="false">
      <c r="A324" s="12" t="s">
        <v>723</v>
      </c>
      <c r="B324" s="12" t="s">
        <v>279</v>
      </c>
      <c r="C324" s="12" t="s">
        <v>280</v>
      </c>
      <c r="D324" s="12" t="s">
        <v>276</v>
      </c>
      <c r="E324" s="12" t="s">
        <v>252</v>
      </c>
      <c r="F324" s="12"/>
      <c r="G324" s="12"/>
      <c r="H324" s="12" t="s">
        <v>649</v>
      </c>
      <c r="I324" s="14" t="n">
        <v>36000</v>
      </c>
      <c r="J324" s="18" t="n">
        <f aca="false">IF($I324="","",ROUND($I324*Dropdowns!$K$5,2))</f>
        <v>93.6</v>
      </c>
      <c r="K324" s="19" t="n">
        <f aca="false">IF($I324="","",ROUND($I324*Dropdowns!$K$6,2))</f>
        <v>86.4</v>
      </c>
      <c r="L324" s="20" t="n">
        <f aca="false">IF($I324="","",ROUND($I324*Dropdowns!$K$7,2))</f>
        <v>7380</v>
      </c>
      <c r="M324" s="15" t="str">
        <f aca="false">IFERROR(IF($B324="","",VLOOKUP($B324,Designs!$A$3:$AP$165,27,FALSE())),"")</f>
        <v/>
      </c>
      <c r="N324" s="16" t="str">
        <f aca="false">IFERROR(IF(OR($I324="",$M324="",$M324=0),"",($I324-$M324)/$I324),"")</f>
        <v/>
      </c>
      <c r="O324" s="13" t="n">
        <v>0</v>
      </c>
      <c r="P324" s="13" t="n">
        <v>0</v>
      </c>
      <c r="Q324" s="21" t="n">
        <f aca="false">IF($O324="","",$O324-IF($P324="",0,$P324))</f>
        <v>0</v>
      </c>
      <c r="R324" s="13" t="n">
        <v>2</v>
      </c>
      <c r="S324" s="21" t="str">
        <f aca="false">IF($O324="","",IF($Q324&lt;=$R324,"⚠ REORDER","OK"))</f>
        <v>⚠ REORDER</v>
      </c>
      <c r="T324" s="13"/>
      <c r="U324" s="13"/>
      <c r="V324" s="13" t="s">
        <v>378</v>
      </c>
      <c r="W324" s="12" t="s">
        <v>379</v>
      </c>
      <c r="X324" s="13"/>
      <c r="Y324" s="13"/>
      <c r="Z324" s="12" t="s">
        <v>88</v>
      </c>
      <c r="AA324" s="12" t="s">
        <v>88</v>
      </c>
      <c r="AB324" s="12" t="s">
        <v>88</v>
      </c>
      <c r="AC324" s="12" t="s">
        <v>88</v>
      </c>
      <c r="AD324" s="12" t="s">
        <v>87</v>
      </c>
      <c r="AE324" s="21" t="n">
        <f aca="false">IFERROR(SUMIFS(Transactions!$F:$F,Transactions!$C:$C,$A324,Transactions!$D:$D,"Sale"),0)</f>
        <v>0</v>
      </c>
      <c r="AF324" s="15" t="n">
        <f aca="false">IFERROR(SUMIFS(Transactions!$H:$H,Transactions!$C:$C,$A324,Transactions!$D:$D,"Sale"),0)</f>
        <v>0</v>
      </c>
      <c r="AG324" s="22" t="str">
        <f aca="false">IFERROR(IF(maxifs(Transactions!$B:$B,Transactions!$C:$C,$A324,Transactions!$D:$D,"Sale")=0,"",maxifs(Transactions!$B:$B,Transactions!$C:$C,$A324,Transactions!$D:$D,"Sale")),"")</f>
        <v/>
      </c>
      <c r="AH324" s="12"/>
    </row>
    <row r="325" customFormat="false" ht="18" hidden="false" customHeight="true" outlineLevel="0" collapsed="false">
      <c r="A325" s="12" t="s">
        <v>724</v>
      </c>
      <c r="B325" s="12" t="s">
        <v>279</v>
      </c>
      <c r="C325" s="12" t="s">
        <v>280</v>
      </c>
      <c r="D325" s="12" t="s">
        <v>276</v>
      </c>
      <c r="E325" s="12" t="s">
        <v>252</v>
      </c>
      <c r="F325" s="12"/>
      <c r="G325" s="12"/>
      <c r="H325" s="12" t="s">
        <v>673</v>
      </c>
      <c r="I325" s="14" t="n">
        <v>36000</v>
      </c>
      <c r="J325" s="18" t="n">
        <f aca="false">IF($I325="","",ROUND($I325*Dropdowns!$K$5,2))</f>
        <v>93.6</v>
      </c>
      <c r="K325" s="19" t="n">
        <f aca="false">IF($I325="","",ROUND($I325*Dropdowns!$K$6,2))</f>
        <v>86.4</v>
      </c>
      <c r="L325" s="20" t="n">
        <f aca="false">IF($I325="","",ROUND($I325*Dropdowns!$K$7,2))</f>
        <v>7380</v>
      </c>
      <c r="M325" s="15" t="str">
        <f aca="false">IFERROR(IF($B325="","",VLOOKUP($B325,Designs!$A$3:$AP$165,27,FALSE())),"")</f>
        <v/>
      </c>
      <c r="N325" s="16" t="str">
        <f aca="false">IFERROR(IF(OR($I325="",$M325="",$M325=0),"",($I325-$M325)/$I325),"")</f>
        <v/>
      </c>
      <c r="O325" s="13" t="n">
        <v>0</v>
      </c>
      <c r="P325" s="13" t="n">
        <v>0</v>
      </c>
      <c r="Q325" s="21" t="n">
        <f aca="false">IF($O325="","",$O325-IF($P325="",0,$P325))</f>
        <v>0</v>
      </c>
      <c r="R325" s="13" t="n">
        <v>2</v>
      </c>
      <c r="S325" s="21" t="str">
        <f aca="false">IF($O325="","",IF($Q325&lt;=$R325,"⚠ REORDER","OK"))</f>
        <v>⚠ REORDER</v>
      </c>
      <c r="T325" s="13"/>
      <c r="U325" s="13"/>
      <c r="V325" s="13" t="s">
        <v>378</v>
      </c>
      <c r="W325" s="12" t="s">
        <v>379</v>
      </c>
      <c r="X325" s="13"/>
      <c r="Y325" s="13"/>
      <c r="Z325" s="12" t="s">
        <v>88</v>
      </c>
      <c r="AA325" s="12" t="s">
        <v>88</v>
      </c>
      <c r="AB325" s="12" t="s">
        <v>88</v>
      </c>
      <c r="AC325" s="12" t="s">
        <v>88</v>
      </c>
      <c r="AD325" s="12" t="s">
        <v>87</v>
      </c>
      <c r="AE325" s="21" t="n">
        <f aca="false">IFERROR(SUMIFS(Transactions!$F:$F,Transactions!$C:$C,$A325,Transactions!$D:$D,"Sale"),0)</f>
        <v>0</v>
      </c>
      <c r="AF325" s="15" t="n">
        <f aca="false">IFERROR(SUMIFS(Transactions!$H:$H,Transactions!$C:$C,$A325,Transactions!$D:$D,"Sale"),0)</f>
        <v>0</v>
      </c>
      <c r="AG325" s="22" t="str">
        <f aca="false">IFERROR(IF(maxifs(Transactions!$B:$B,Transactions!$C:$C,$A325,Transactions!$D:$D,"Sale")=0,"",maxifs(Transactions!$B:$B,Transactions!$C:$C,$A325,Transactions!$D:$D,"Sale")),"")</f>
        <v/>
      </c>
      <c r="AH325" s="12"/>
    </row>
    <row r="326" customFormat="false" ht="18" hidden="false" customHeight="true" outlineLevel="0" collapsed="false">
      <c r="A326" s="12" t="s">
        <v>725</v>
      </c>
      <c r="B326" s="12" t="s">
        <v>279</v>
      </c>
      <c r="C326" s="12" t="s">
        <v>280</v>
      </c>
      <c r="D326" s="12" t="s">
        <v>276</v>
      </c>
      <c r="E326" s="12" t="s">
        <v>252</v>
      </c>
      <c r="F326" s="12"/>
      <c r="G326" s="12"/>
      <c r="H326" s="12" t="s">
        <v>381</v>
      </c>
      <c r="I326" s="14" t="n">
        <v>36000</v>
      </c>
      <c r="J326" s="18" t="n">
        <f aca="false">IF($I326="","",ROUND($I326*Dropdowns!$K$5,2))</f>
        <v>93.6</v>
      </c>
      <c r="K326" s="19" t="n">
        <f aca="false">IF($I326="","",ROUND($I326*Dropdowns!$K$6,2))</f>
        <v>86.4</v>
      </c>
      <c r="L326" s="20" t="n">
        <f aca="false">IF($I326="","",ROUND($I326*Dropdowns!$K$7,2))</f>
        <v>7380</v>
      </c>
      <c r="M326" s="15" t="str">
        <f aca="false">IFERROR(IF($B326="","",VLOOKUP($B326,Designs!$A$3:$AP$165,27,FALSE())),"")</f>
        <v/>
      </c>
      <c r="N326" s="16" t="str">
        <f aca="false">IFERROR(IF(OR($I326="",$M326="",$M326=0),"",($I326-$M326)/$I326),"")</f>
        <v/>
      </c>
      <c r="O326" s="13" t="n">
        <v>0</v>
      </c>
      <c r="P326" s="13" t="n">
        <v>0</v>
      </c>
      <c r="Q326" s="21" t="n">
        <f aca="false">IF($O326="","",$O326-IF($P326="",0,$P326))</f>
        <v>0</v>
      </c>
      <c r="R326" s="13" t="n">
        <v>2</v>
      </c>
      <c r="S326" s="21" t="str">
        <f aca="false">IF($O326="","",IF($Q326&lt;=$R326,"⚠ REORDER","OK"))</f>
        <v>⚠ REORDER</v>
      </c>
      <c r="T326" s="13"/>
      <c r="U326" s="13"/>
      <c r="V326" s="13" t="s">
        <v>378</v>
      </c>
      <c r="W326" s="12" t="s">
        <v>379</v>
      </c>
      <c r="X326" s="13"/>
      <c r="Y326" s="13"/>
      <c r="Z326" s="12" t="s">
        <v>88</v>
      </c>
      <c r="AA326" s="12" t="s">
        <v>88</v>
      </c>
      <c r="AB326" s="12" t="s">
        <v>88</v>
      </c>
      <c r="AC326" s="12" t="s">
        <v>88</v>
      </c>
      <c r="AD326" s="12" t="s">
        <v>87</v>
      </c>
      <c r="AE326" s="21" t="n">
        <f aca="false">IFERROR(SUMIFS(Transactions!$F:$F,Transactions!$C:$C,$A326,Transactions!$D:$D,"Sale"),0)</f>
        <v>0</v>
      </c>
      <c r="AF326" s="15" t="n">
        <f aca="false">IFERROR(SUMIFS(Transactions!$H:$H,Transactions!$C:$C,$A326,Transactions!$D:$D,"Sale"),0)</f>
        <v>0</v>
      </c>
      <c r="AG326" s="22" t="str">
        <f aca="false">IFERROR(IF(maxifs(Transactions!$B:$B,Transactions!$C:$C,$A326,Transactions!$D:$D,"Sale")=0,"",maxifs(Transactions!$B:$B,Transactions!$C:$C,$A326,Transactions!$D:$D,"Sale")),"")</f>
        <v/>
      </c>
      <c r="AH326" s="12"/>
    </row>
    <row r="327" customFormat="false" ht="18" hidden="false" customHeight="true" outlineLevel="0" collapsed="false">
      <c r="A327" s="12" t="s">
        <v>726</v>
      </c>
      <c r="B327" s="12" t="s">
        <v>281</v>
      </c>
      <c r="C327" s="12" t="s">
        <v>282</v>
      </c>
      <c r="D327" s="12" t="s">
        <v>276</v>
      </c>
      <c r="E327" s="12" t="s">
        <v>258</v>
      </c>
      <c r="F327" s="12"/>
      <c r="G327" s="12"/>
      <c r="H327" s="12" t="s">
        <v>727</v>
      </c>
      <c r="I327" s="14" t="n">
        <v>36000</v>
      </c>
      <c r="J327" s="18" t="n">
        <f aca="false">IF($I327="","",ROUND($I327*Dropdowns!$K$5,2))</f>
        <v>93.6</v>
      </c>
      <c r="K327" s="19" t="n">
        <f aca="false">IF($I327="","",ROUND($I327*Dropdowns!$K$6,2))</f>
        <v>86.4</v>
      </c>
      <c r="L327" s="20" t="n">
        <f aca="false">IF($I327="","",ROUND($I327*Dropdowns!$K$7,2))</f>
        <v>7380</v>
      </c>
      <c r="M327" s="15" t="str">
        <f aca="false">IFERROR(IF($B327="","",VLOOKUP($B327,Designs!$A$3:$AP$165,27,FALSE())),"")</f>
        <v/>
      </c>
      <c r="N327" s="16" t="str">
        <f aca="false">IFERROR(IF(OR($I327="",$M327="",$M327=0),"",($I327-$M327)/$I327),"")</f>
        <v/>
      </c>
      <c r="O327" s="13" t="n">
        <v>0</v>
      </c>
      <c r="P327" s="13" t="n">
        <v>0</v>
      </c>
      <c r="Q327" s="21" t="n">
        <f aca="false">IF($O327="","",$O327-IF($P327="",0,$P327))</f>
        <v>0</v>
      </c>
      <c r="R327" s="13" t="n">
        <v>2</v>
      </c>
      <c r="S327" s="21" t="str">
        <f aca="false">IF($O327="","",IF($Q327&lt;=$R327,"⚠ REORDER","OK"))</f>
        <v>⚠ REORDER</v>
      </c>
      <c r="T327" s="13"/>
      <c r="U327" s="13"/>
      <c r="V327" s="13" t="s">
        <v>378</v>
      </c>
      <c r="W327" s="12" t="s">
        <v>379</v>
      </c>
      <c r="X327" s="13"/>
      <c r="Y327" s="13"/>
      <c r="Z327" s="12" t="s">
        <v>88</v>
      </c>
      <c r="AA327" s="12" t="s">
        <v>88</v>
      </c>
      <c r="AB327" s="12" t="s">
        <v>88</v>
      </c>
      <c r="AC327" s="12" t="s">
        <v>88</v>
      </c>
      <c r="AD327" s="12" t="s">
        <v>87</v>
      </c>
      <c r="AE327" s="21" t="n">
        <f aca="false">IFERROR(SUMIFS(Transactions!$F:$F,Transactions!$C:$C,$A327,Transactions!$D:$D,"Sale"),0)</f>
        <v>0</v>
      </c>
      <c r="AF327" s="15" t="n">
        <f aca="false">IFERROR(SUMIFS(Transactions!$H:$H,Transactions!$C:$C,$A327,Transactions!$D:$D,"Sale"),0)</f>
        <v>0</v>
      </c>
      <c r="AG327" s="22" t="str">
        <f aca="false">IFERROR(IF(maxifs(Transactions!$B:$B,Transactions!$C:$C,$A327,Transactions!$D:$D,"Sale")=0,"",maxifs(Transactions!$B:$B,Transactions!$C:$C,$A327,Transactions!$D:$D,"Sale")),"")</f>
        <v/>
      </c>
      <c r="AH327" s="12"/>
    </row>
    <row r="328" customFormat="false" ht="18" hidden="false" customHeight="true" outlineLevel="0" collapsed="false">
      <c r="A328" s="12" t="s">
        <v>728</v>
      </c>
      <c r="B328" s="12" t="s">
        <v>283</v>
      </c>
      <c r="C328" s="12" t="s">
        <v>269</v>
      </c>
      <c r="D328" s="12" t="s">
        <v>276</v>
      </c>
      <c r="E328" s="12" t="s">
        <v>270</v>
      </c>
      <c r="F328" s="12"/>
      <c r="G328" s="12"/>
      <c r="H328" s="12" t="s">
        <v>707</v>
      </c>
      <c r="I328" s="14" t="n">
        <v>36000</v>
      </c>
      <c r="J328" s="18" t="n">
        <f aca="false">IF($I328="","",ROUND($I328*Dropdowns!$K$5,2))</f>
        <v>93.6</v>
      </c>
      <c r="K328" s="19" t="n">
        <f aca="false">IF($I328="","",ROUND($I328*Dropdowns!$K$6,2))</f>
        <v>86.4</v>
      </c>
      <c r="L328" s="20" t="n">
        <f aca="false">IF($I328="","",ROUND($I328*Dropdowns!$K$7,2))</f>
        <v>7380</v>
      </c>
      <c r="M328" s="15" t="str">
        <f aca="false">IFERROR(IF($B328="","",VLOOKUP($B328,Designs!$A$3:$AP$165,27,FALSE())),"")</f>
        <v/>
      </c>
      <c r="N328" s="16" t="str">
        <f aca="false">IFERROR(IF(OR($I328="",$M328="",$M328=0),"",($I328-$M328)/$I328),"")</f>
        <v/>
      </c>
      <c r="O328" s="13" t="n">
        <v>0</v>
      </c>
      <c r="P328" s="13" t="n">
        <v>0</v>
      </c>
      <c r="Q328" s="21" t="n">
        <f aca="false">IF($O328="","",$O328-IF($P328="",0,$P328))</f>
        <v>0</v>
      </c>
      <c r="R328" s="13" t="n">
        <v>2</v>
      </c>
      <c r="S328" s="21" t="str">
        <f aca="false">IF($O328="","",IF($Q328&lt;=$R328,"⚠ REORDER","OK"))</f>
        <v>⚠ REORDER</v>
      </c>
      <c r="T328" s="13"/>
      <c r="U328" s="13"/>
      <c r="V328" s="13" t="s">
        <v>378</v>
      </c>
      <c r="W328" s="12" t="s">
        <v>379</v>
      </c>
      <c r="X328" s="13"/>
      <c r="Y328" s="13"/>
      <c r="Z328" s="12" t="s">
        <v>88</v>
      </c>
      <c r="AA328" s="12" t="s">
        <v>88</v>
      </c>
      <c r="AB328" s="12" t="s">
        <v>88</v>
      </c>
      <c r="AC328" s="12" t="s">
        <v>88</v>
      </c>
      <c r="AD328" s="12" t="s">
        <v>87</v>
      </c>
      <c r="AE328" s="21" t="n">
        <f aca="false">IFERROR(SUMIFS(Transactions!$F:$F,Transactions!$C:$C,$A328,Transactions!$D:$D,"Sale"),0)</f>
        <v>0</v>
      </c>
      <c r="AF328" s="15" t="n">
        <f aca="false">IFERROR(SUMIFS(Transactions!$H:$H,Transactions!$C:$C,$A328,Transactions!$D:$D,"Sale"),0)</f>
        <v>0</v>
      </c>
      <c r="AG328" s="22" t="str">
        <f aca="false">IFERROR(IF(maxifs(Transactions!$B:$B,Transactions!$C:$C,$A328,Transactions!$D:$D,"Sale")=0,"",maxifs(Transactions!$B:$B,Transactions!$C:$C,$A328,Transactions!$D:$D,"Sale")),"")</f>
        <v/>
      </c>
      <c r="AH328" s="12"/>
    </row>
    <row r="329" customFormat="false" ht="18" hidden="false" customHeight="true" outlineLevel="0" collapsed="false">
      <c r="A329" s="12" t="s">
        <v>729</v>
      </c>
      <c r="B329" s="12" t="s">
        <v>283</v>
      </c>
      <c r="C329" s="12" t="s">
        <v>269</v>
      </c>
      <c r="D329" s="12" t="s">
        <v>276</v>
      </c>
      <c r="E329" s="12" t="s">
        <v>270</v>
      </c>
      <c r="F329" s="12"/>
      <c r="G329" s="12"/>
      <c r="H329" s="12" t="s">
        <v>713</v>
      </c>
      <c r="I329" s="14" t="n">
        <v>36000</v>
      </c>
      <c r="J329" s="18" t="n">
        <f aca="false">IF($I329="","",ROUND($I329*Dropdowns!$K$5,2))</f>
        <v>93.6</v>
      </c>
      <c r="K329" s="19" t="n">
        <f aca="false">IF($I329="","",ROUND($I329*Dropdowns!$K$6,2))</f>
        <v>86.4</v>
      </c>
      <c r="L329" s="20" t="n">
        <f aca="false">IF($I329="","",ROUND($I329*Dropdowns!$K$7,2))</f>
        <v>7380</v>
      </c>
      <c r="M329" s="15" t="str">
        <f aca="false">IFERROR(IF($B329="","",VLOOKUP($B329,Designs!$A$3:$AP$165,27,FALSE())),"")</f>
        <v/>
      </c>
      <c r="N329" s="16" t="str">
        <f aca="false">IFERROR(IF(OR($I329="",$M329="",$M329=0),"",($I329-$M329)/$I329),"")</f>
        <v/>
      </c>
      <c r="O329" s="13" t="n">
        <v>0</v>
      </c>
      <c r="P329" s="13" t="n">
        <v>0</v>
      </c>
      <c r="Q329" s="21" t="n">
        <f aca="false">IF($O329="","",$O329-IF($P329="",0,$P329))</f>
        <v>0</v>
      </c>
      <c r="R329" s="13" t="n">
        <v>2</v>
      </c>
      <c r="S329" s="21" t="str">
        <f aca="false">IF($O329="","",IF($Q329&lt;=$R329,"⚠ REORDER","OK"))</f>
        <v>⚠ REORDER</v>
      </c>
      <c r="T329" s="13"/>
      <c r="U329" s="13"/>
      <c r="V329" s="13" t="s">
        <v>378</v>
      </c>
      <c r="W329" s="12" t="s">
        <v>379</v>
      </c>
      <c r="X329" s="13"/>
      <c r="Y329" s="13"/>
      <c r="Z329" s="12" t="s">
        <v>88</v>
      </c>
      <c r="AA329" s="12" t="s">
        <v>88</v>
      </c>
      <c r="AB329" s="12" t="s">
        <v>88</v>
      </c>
      <c r="AC329" s="12" t="s">
        <v>88</v>
      </c>
      <c r="AD329" s="12" t="s">
        <v>87</v>
      </c>
      <c r="AE329" s="21" t="n">
        <f aca="false">IFERROR(SUMIFS(Transactions!$F:$F,Transactions!$C:$C,$A329,Transactions!$D:$D,"Sale"),0)</f>
        <v>0</v>
      </c>
      <c r="AF329" s="15" t="n">
        <f aca="false">IFERROR(SUMIFS(Transactions!$H:$H,Transactions!$C:$C,$A329,Transactions!$D:$D,"Sale"),0)</f>
        <v>0</v>
      </c>
      <c r="AG329" s="22" t="str">
        <f aca="false">IFERROR(IF(maxifs(Transactions!$B:$B,Transactions!$C:$C,$A329,Transactions!$D:$D,"Sale")=0,"",maxifs(Transactions!$B:$B,Transactions!$C:$C,$A329,Transactions!$D:$D,"Sale")),"")</f>
        <v/>
      </c>
      <c r="AH329" s="12"/>
    </row>
    <row r="330" customFormat="false" ht="18" hidden="false" customHeight="true" outlineLevel="0" collapsed="false">
      <c r="A330" s="12" t="s">
        <v>730</v>
      </c>
      <c r="B330" s="12" t="s">
        <v>283</v>
      </c>
      <c r="C330" s="12" t="s">
        <v>269</v>
      </c>
      <c r="D330" s="12" t="s">
        <v>276</v>
      </c>
      <c r="E330" s="12" t="s">
        <v>270</v>
      </c>
      <c r="F330" s="12"/>
      <c r="G330" s="12"/>
      <c r="H330" s="12" t="s">
        <v>709</v>
      </c>
      <c r="I330" s="14" t="n">
        <v>36000</v>
      </c>
      <c r="J330" s="18" t="n">
        <f aca="false">IF($I330="","",ROUND($I330*Dropdowns!$K$5,2))</f>
        <v>93.6</v>
      </c>
      <c r="K330" s="19" t="n">
        <f aca="false">IF($I330="","",ROUND($I330*Dropdowns!$K$6,2))</f>
        <v>86.4</v>
      </c>
      <c r="L330" s="20" t="n">
        <f aca="false">IF($I330="","",ROUND($I330*Dropdowns!$K$7,2))</f>
        <v>7380</v>
      </c>
      <c r="M330" s="15" t="str">
        <f aca="false">IFERROR(IF($B330="","",VLOOKUP($B330,Designs!$A$3:$AP$165,27,FALSE())),"")</f>
        <v/>
      </c>
      <c r="N330" s="16" t="str">
        <f aca="false">IFERROR(IF(OR($I330="",$M330="",$M330=0),"",($I330-$M330)/$I330),"")</f>
        <v/>
      </c>
      <c r="O330" s="13" t="n">
        <v>0</v>
      </c>
      <c r="P330" s="13" t="n">
        <v>0</v>
      </c>
      <c r="Q330" s="21" t="n">
        <f aca="false">IF($O330="","",$O330-IF($P330="",0,$P330))</f>
        <v>0</v>
      </c>
      <c r="R330" s="13" t="n">
        <v>2</v>
      </c>
      <c r="S330" s="21" t="str">
        <f aca="false">IF($O330="","",IF($Q330&lt;=$R330,"⚠ REORDER","OK"))</f>
        <v>⚠ REORDER</v>
      </c>
      <c r="T330" s="13"/>
      <c r="U330" s="13"/>
      <c r="V330" s="13" t="s">
        <v>378</v>
      </c>
      <c r="W330" s="12" t="s">
        <v>379</v>
      </c>
      <c r="X330" s="13"/>
      <c r="Y330" s="13"/>
      <c r="Z330" s="12" t="s">
        <v>88</v>
      </c>
      <c r="AA330" s="12" t="s">
        <v>88</v>
      </c>
      <c r="AB330" s="12" t="s">
        <v>88</v>
      </c>
      <c r="AC330" s="12" t="s">
        <v>88</v>
      </c>
      <c r="AD330" s="12" t="s">
        <v>87</v>
      </c>
      <c r="AE330" s="21" t="n">
        <f aca="false">IFERROR(SUMIFS(Transactions!$F:$F,Transactions!$C:$C,$A330,Transactions!$D:$D,"Sale"),0)</f>
        <v>0</v>
      </c>
      <c r="AF330" s="15" t="n">
        <f aca="false">IFERROR(SUMIFS(Transactions!$H:$H,Transactions!$C:$C,$A330,Transactions!$D:$D,"Sale"),0)</f>
        <v>0</v>
      </c>
      <c r="AG330" s="22" t="str">
        <f aca="false">IFERROR(IF(maxifs(Transactions!$B:$B,Transactions!$C:$C,$A330,Transactions!$D:$D,"Sale")=0,"",maxifs(Transactions!$B:$B,Transactions!$C:$C,$A330,Transactions!$D:$D,"Sale")),"")</f>
        <v/>
      </c>
      <c r="AH330" s="12"/>
    </row>
    <row r="331" customFormat="false" ht="18" hidden="false" customHeight="true" outlineLevel="0" collapsed="false">
      <c r="A331" s="12" t="s">
        <v>731</v>
      </c>
      <c r="B331" s="12" t="s">
        <v>283</v>
      </c>
      <c r="C331" s="12" t="s">
        <v>269</v>
      </c>
      <c r="D331" s="12" t="s">
        <v>276</v>
      </c>
      <c r="E331" s="12" t="s">
        <v>270</v>
      </c>
      <c r="F331" s="12"/>
      <c r="G331" s="12"/>
      <c r="H331" s="12" t="s">
        <v>711</v>
      </c>
      <c r="I331" s="14" t="n">
        <v>36000</v>
      </c>
      <c r="J331" s="18" t="n">
        <f aca="false">IF($I331="","",ROUND($I331*Dropdowns!$K$5,2))</f>
        <v>93.6</v>
      </c>
      <c r="K331" s="19" t="n">
        <f aca="false">IF($I331="","",ROUND($I331*Dropdowns!$K$6,2))</f>
        <v>86.4</v>
      </c>
      <c r="L331" s="20" t="n">
        <f aca="false">IF($I331="","",ROUND($I331*Dropdowns!$K$7,2))</f>
        <v>7380</v>
      </c>
      <c r="M331" s="15" t="str">
        <f aca="false">IFERROR(IF($B331="","",VLOOKUP($B331,Designs!$A$3:$AP$165,27,FALSE())),"")</f>
        <v/>
      </c>
      <c r="N331" s="16" t="str">
        <f aca="false">IFERROR(IF(OR($I331="",$M331="",$M331=0),"",($I331-$M331)/$I331),"")</f>
        <v/>
      </c>
      <c r="O331" s="13" t="n">
        <v>0</v>
      </c>
      <c r="P331" s="13" t="n">
        <v>0</v>
      </c>
      <c r="Q331" s="21" t="n">
        <f aca="false">IF($O331="","",$O331-IF($P331="",0,$P331))</f>
        <v>0</v>
      </c>
      <c r="R331" s="13" t="n">
        <v>2</v>
      </c>
      <c r="S331" s="21" t="str">
        <f aca="false">IF($O331="","",IF($Q331&lt;=$R331,"⚠ REORDER","OK"))</f>
        <v>⚠ REORDER</v>
      </c>
      <c r="T331" s="13"/>
      <c r="U331" s="13"/>
      <c r="V331" s="13" t="s">
        <v>378</v>
      </c>
      <c r="W331" s="12" t="s">
        <v>379</v>
      </c>
      <c r="X331" s="13"/>
      <c r="Y331" s="13"/>
      <c r="Z331" s="12" t="s">
        <v>88</v>
      </c>
      <c r="AA331" s="12" t="s">
        <v>88</v>
      </c>
      <c r="AB331" s="12" t="s">
        <v>88</v>
      </c>
      <c r="AC331" s="12" t="s">
        <v>88</v>
      </c>
      <c r="AD331" s="12" t="s">
        <v>87</v>
      </c>
      <c r="AE331" s="21" t="n">
        <f aca="false">IFERROR(SUMIFS(Transactions!$F:$F,Transactions!$C:$C,$A331,Transactions!$D:$D,"Sale"),0)</f>
        <v>0</v>
      </c>
      <c r="AF331" s="15" t="n">
        <f aca="false">IFERROR(SUMIFS(Transactions!$H:$H,Transactions!$C:$C,$A331,Transactions!$D:$D,"Sale"),0)</f>
        <v>0</v>
      </c>
      <c r="AG331" s="22" t="str">
        <f aca="false">IFERROR(IF(maxifs(Transactions!$B:$B,Transactions!$C:$C,$A331,Transactions!$D:$D,"Sale")=0,"",maxifs(Transactions!$B:$B,Transactions!$C:$C,$A331,Transactions!$D:$D,"Sale")),"")</f>
        <v/>
      </c>
      <c r="AH331" s="12"/>
    </row>
    <row r="332" customFormat="false" ht="18" hidden="false" customHeight="true" outlineLevel="0" collapsed="false">
      <c r="A332" s="12" t="s">
        <v>732</v>
      </c>
      <c r="B332" s="12" t="s">
        <v>284</v>
      </c>
      <c r="C332" s="12" t="s">
        <v>244</v>
      </c>
      <c r="D332" s="12" t="s">
        <v>245</v>
      </c>
      <c r="E332" s="12" t="s">
        <v>246</v>
      </c>
      <c r="F332" s="12"/>
      <c r="G332" s="12" t="s">
        <v>733</v>
      </c>
      <c r="H332" s="12" t="s">
        <v>662</v>
      </c>
      <c r="I332" s="14" t="n">
        <v>44000</v>
      </c>
      <c r="J332" s="18" t="n">
        <f aca="false">IF($I332="","",ROUND($I332*Dropdowns!$K$5,2))</f>
        <v>114.4</v>
      </c>
      <c r="K332" s="19" t="n">
        <f aca="false">IF($I332="","",ROUND($I332*Dropdowns!$K$6,2))</f>
        <v>105.6</v>
      </c>
      <c r="L332" s="20" t="n">
        <f aca="false">IF($I332="","",ROUND($I332*Dropdowns!$K$7,2))</f>
        <v>9020</v>
      </c>
      <c r="M332" s="15" t="str">
        <f aca="false">IFERROR(IF($B332="","",VLOOKUP($B332,Designs!$A$3:$AP$165,27,FALSE())),"")</f>
        <v/>
      </c>
      <c r="N332" s="16" t="str">
        <f aca="false">IFERROR(IF(OR($I332="",$M332="",$M332=0),"",($I332-$M332)/$I332),"")</f>
        <v/>
      </c>
      <c r="O332" s="13" t="n">
        <v>0</v>
      </c>
      <c r="P332" s="13" t="n">
        <v>0</v>
      </c>
      <c r="Q332" s="21" t="n">
        <f aca="false">IF($O332="","",$O332-IF($P332="",0,$P332))</f>
        <v>0</v>
      </c>
      <c r="R332" s="13" t="n">
        <v>2</v>
      </c>
      <c r="S332" s="21" t="str">
        <f aca="false">IF($O332="","",IF($Q332&lt;=$R332,"⚠ REORDER","OK"))</f>
        <v>⚠ REORDER</v>
      </c>
      <c r="T332" s="13"/>
      <c r="U332" s="13"/>
      <c r="V332" s="13" t="s">
        <v>378</v>
      </c>
      <c r="W332" s="12" t="s">
        <v>379</v>
      </c>
      <c r="X332" s="13"/>
      <c r="Y332" s="13"/>
      <c r="Z332" s="12" t="s">
        <v>88</v>
      </c>
      <c r="AA332" s="12" t="s">
        <v>88</v>
      </c>
      <c r="AB332" s="12" t="s">
        <v>88</v>
      </c>
      <c r="AC332" s="12" t="s">
        <v>88</v>
      </c>
      <c r="AD332" s="12" t="s">
        <v>87</v>
      </c>
      <c r="AE332" s="21" t="n">
        <f aca="false">IFERROR(SUMIFS(Transactions!$F:$F,Transactions!$C:$C,$A332,Transactions!$D:$D,"Sale"),0)</f>
        <v>0</v>
      </c>
      <c r="AF332" s="15" t="n">
        <f aca="false">IFERROR(SUMIFS(Transactions!$H:$H,Transactions!$C:$C,$A332,Transactions!$D:$D,"Sale"),0)</f>
        <v>0</v>
      </c>
      <c r="AG332" s="22" t="str">
        <f aca="false">IFERROR(IF(maxifs(Transactions!$B:$B,Transactions!$C:$C,$A332,Transactions!$D:$D,"Sale")=0,"",maxifs(Transactions!$B:$B,Transactions!$C:$C,$A332,Transactions!$D:$D,"Sale")),"")</f>
        <v/>
      </c>
      <c r="AH332" s="12"/>
    </row>
    <row r="333" customFormat="false" ht="18" hidden="false" customHeight="true" outlineLevel="0" collapsed="false">
      <c r="A333" s="12" t="s">
        <v>734</v>
      </c>
      <c r="B333" s="12" t="s">
        <v>284</v>
      </c>
      <c r="C333" s="12" t="s">
        <v>244</v>
      </c>
      <c r="D333" s="12" t="s">
        <v>245</v>
      </c>
      <c r="E333" s="12" t="s">
        <v>246</v>
      </c>
      <c r="F333" s="12"/>
      <c r="G333" s="12" t="s">
        <v>733</v>
      </c>
      <c r="H333" s="12" t="s">
        <v>658</v>
      </c>
      <c r="I333" s="14" t="n">
        <v>44000</v>
      </c>
      <c r="J333" s="18" t="n">
        <f aca="false">IF($I333="","",ROUND($I333*Dropdowns!$K$5,2))</f>
        <v>114.4</v>
      </c>
      <c r="K333" s="19" t="n">
        <f aca="false">IF($I333="","",ROUND($I333*Dropdowns!$K$6,2))</f>
        <v>105.6</v>
      </c>
      <c r="L333" s="20" t="n">
        <f aca="false">IF($I333="","",ROUND($I333*Dropdowns!$K$7,2))</f>
        <v>9020</v>
      </c>
      <c r="M333" s="15" t="str">
        <f aca="false">IFERROR(IF($B333="","",VLOOKUP($B333,Designs!$A$3:$AP$165,27,FALSE())),"")</f>
        <v/>
      </c>
      <c r="N333" s="16" t="str">
        <f aca="false">IFERROR(IF(OR($I333="",$M333="",$M333=0),"",($I333-$M333)/$I333),"")</f>
        <v/>
      </c>
      <c r="O333" s="13" t="n">
        <v>0</v>
      </c>
      <c r="P333" s="13" t="n">
        <v>0</v>
      </c>
      <c r="Q333" s="21" t="n">
        <f aca="false">IF($O333="","",$O333-IF($P333="",0,$P333))</f>
        <v>0</v>
      </c>
      <c r="R333" s="13" t="n">
        <v>2</v>
      </c>
      <c r="S333" s="21" t="str">
        <f aca="false">IF($O333="","",IF($Q333&lt;=$R333,"⚠ REORDER","OK"))</f>
        <v>⚠ REORDER</v>
      </c>
      <c r="T333" s="13"/>
      <c r="U333" s="13"/>
      <c r="V333" s="13" t="s">
        <v>378</v>
      </c>
      <c r="W333" s="12" t="s">
        <v>379</v>
      </c>
      <c r="X333" s="13"/>
      <c r="Y333" s="13"/>
      <c r="Z333" s="12" t="s">
        <v>88</v>
      </c>
      <c r="AA333" s="12" t="s">
        <v>88</v>
      </c>
      <c r="AB333" s="12" t="s">
        <v>88</v>
      </c>
      <c r="AC333" s="12" t="s">
        <v>88</v>
      </c>
      <c r="AD333" s="12" t="s">
        <v>87</v>
      </c>
      <c r="AE333" s="21" t="n">
        <f aca="false">IFERROR(SUMIFS(Transactions!$F:$F,Transactions!$C:$C,$A333,Transactions!$D:$D,"Sale"),0)</f>
        <v>0</v>
      </c>
      <c r="AF333" s="15" t="n">
        <f aca="false">IFERROR(SUMIFS(Transactions!$H:$H,Transactions!$C:$C,$A333,Transactions!$D:$D,"Sale"),0)</f>
        <v>0</v>
      </c>
      <c r="AG333" s="22" t="str">
        <f aca="false">IFERROR(IF(maxifs(Transactions!$B:$B,Transactions!$C:$C,$A333,Transactions!$D:$D,"Sale")=0,"",maxifs(Transactions!$B:$B,Transactions!$C:$C,$A333,Transactions!$D:$D,"Sale")),"")</f>
        <v/>
      </c>
      <c r="AH333" s="12"/>
    </row>
    <row r="334" customFormat="false" ht="18" hidden="false" customHeight="true" outlineLevel="0" collapsed="false">
      <c r="A334" s="12" t="s">
        <v>735</v>
      </c>
      <c r="B334" s="12" t="s">
        <v>284</v>
      </c>
      <c r="C334" s="12" t="s">
        <v>244</v>
      </c>
      <c r="D334" s="12" t="s">
        <v>245</v>
      </c>
      <c r="E334" s="12" t="s">
        <v>246</v>
      </c>
      <c r="F334" s="12"/>
      <c r="G334" s="12" t="s">
        <v>733</v>
      </c>
      <c r="H334" s="12" t="s">
        <v>736</v>
      </c>
      <c r="I334" s="14" t="n">
        <v>44000</v>
      </c>
      <c r="J334" s="18" t="n">
        <f aca="false">IF($I334="","",ROUND($I334*Dropdowns!$K$5,2))</f>
        <v>114.4</v>
      </c>
      <c r="K334" s="19" t="n">
        <f aca="false">IF($I334="","",ROUND($I334*Dropdowns!$K$6,2))</f>
        <v>105.6</v>
      </c>
      <c r="L334" s="20" t="n">
        <f aca="false">IF($I334="","",ROUND($I334*Dropdowns!$K$7,2))</f>
        <v>9020</v>
      </c>
      <c r="M334" s="15" t="str">
        <f aca="false">IFERROR(IF($B334="","",VLOOKUP($B334,Designs!$A$3:$AP$165,27,FALSE())),"")</f>
        <v/>
      </c>
      <c r="N334" s="16" t="str">
        <f aca="false">IFERROR(IF(OR($I334="",$M334="",$M334=0),"",($I334-$M334)/$I334),"")</f>
        <v/>
      </c>
      <c r="O334" s="13" t="n">
        <v>0</v>
      </c>
      <c r="P334" s="13" t="n">
        <v>0</v>
      </c>
      <c r="Q334" s="21" t="n">
        <f aca="false">IF($O334="","",$O334-IF($P334="",0,$P334))</f>
        <v>0</v>
      </c>
      <c r="R334" s="13" t="n">
        <v>2</v>
      </c>
      <c r="S334" s="21" t="str">
        <f aca="false">IF($O334="","",IF($Q334&lt;=$R334,"⚠ REORDER","OK"))</f>
        <v>⚠ REORDER</v>
      </c>
      <c r="T334" s="13"/>
      <c r="U334" s="13"/>
      <c r="V334" s="13" t="s">
        <v>378</v>
      </c>
      <c r="W334" s="12" t="s">
        <v>379</v>
      </c>
      <c r="X334" s="13"/>
      <c r="Y334" s="13"/>
      <c r="Z334" s="12" t="s">
        <v>88</v>
      </c>
      <c r="AA334" s="12" t="s">
        <v>88</v>
      </c>
      <c r="AB334" s="12" t="s">
        <v>88</v>
      </c>
      <c r="AC334" s="12" t="s">
        <v>88</v>
      </c>
      <c r="AD334" s="12" t="s">
        <v>87</v>
      </c>
      <c r="AE334" s="21" t="n">
        <f aca="false">IFERROR(SUMIFS(Transactions!$F:$F,Transactions!$C:$C,$A334,Transactions!$D:$D,"Sale"),0)</f>
        <v>0</v>
      </c>
      <c r="AF334" s="15" t="n">
        <f aca="false">IFERROR(SUMIFS(Transactions!$H:$H,Transactions!$C:$C,$A334,Transactions!$D:$D,"Sale"),0)</f>
        <v>0</v>
      </c>
      <c r="AG334" s="22" t="str">
        <f aca="false">IFERROR(IF(maxifs(Transactions!$B:$B,Transactions!$C:$C,$A334,Transactions!$D:$D,"Sale")=0,"",maxifs(Transactions!$B:$B,Transactions!$C:$C,$A334,Transactions!$D:$D,"Sale")),"")</f>
        <v/>
      </c>
      <c r="AH334" s="12"/>
    </row>
    <row r="335" customFormat="false" ht="18" hidden="false" customHeight="true" outlineLevel="0" collapsed="false">
      <c r="A335" s="12" t="s">
        <v>737</v>
      </c>
      <c r="B335" s="12" t="s">
        <v>285</v>
      </c>
      <c r="C335" s="12" t="s">
        <v>286</v>
      </c>
      <c r="D335" s="12" t="s">
        <v>287</v>
      </c>
      <c r="E335" s="12" t="s">
        <v>246</v>
      </c>
      <c r="F335" s="12"/>
      <c r="G335" s="12" t="s">
        <v>648</v>
      </c>
      <c r="H335" s="12" t="s">
        <v>649</v>
      </c>
      <c r="I335" s="14" t="n">
        <v>13000</v>
      </c>
      <c r="J335" s="18" t="n">
        <f aca="false">IF($I335="","",ROUND($I335*Dropdowns!$K$5,2))</f>
        <v>33.8</v>
      </c>
      <c r="K335" s="19" t="n">
        <f aca="false">IF($I335="","",ROUND($I335*Dropdowns!$K$6,2))</f>
        <v>31.2</v>
      </c>
      <c r="L335" s="20" t="n">
        <f aca="false">IF($I335="","",ROUND($I335*Dropdowns!$K$7,2))</f>
        <v>2665</v>
      </c>
      <c r="M335" s="15" t="str">
        <f aca="false">IFERROR(IF($B335="","",VLOOKUP($B335,Designs!$A$3:$AP$165,27,FALSE())),"")</f>
        <v/>
      </c>
      <c r="N335" s="16" t="str">
        <f aca="false">IFERROR(IF(OR($I335="",$M335="",$M335=0),"",($I335-$M335)/$I335),"")</f>
        <v/>
      </c>
      <c r="O335" s="13" t="n">
        <v>0</v>
      </c>
      <c r="P335" s="13" t="n">
        <v>0</v>
      </c>
      <c r="Q335" s="21" t="n">
        <f aca="false">IF($O335="","",$O335-IF($P335="",0,$P335))</f>
        <v>0</v>
      </c>
      <c r="R335" s="13" t="n">
        <v>2</v>
      </c>
      <c r="S335" s="21" t="str">
        <f aca="false">IF($O335="","",IF($Q335&lt;=$R335,"⚠ REORDER","OK"))</f>
        <v>⚠ REORDER</v>
      </c>
      <c r="T335" s="13"/>
      <c r="U335" s="13"/>
      <c r="V335" s="13" t="s">
        <v>378</v>
      </c>
      <c r="W335" s="12" t="s">
        <v>379</v>
      </c>
      <c r="X335" s="13"/>
      <c r="Y335" s="13"/>
      <c r="Z335" s="12" t="s">
        <v>88</v>
      </c>
      <c r="AA335" s="12" t="s">
        <v>88</v>
      </c>
      <c r="AB335" s="12" t="s">
        <v>88</v>
      </c>
      <c r="AC335" s="12" t="s">
        <v>88</v>
      </c>
      <c r="AD335" s="12" t="s">
        <v>87</v>
      </c>
      <c r="AE335" s="21" t="n">
        <f aca="false">IFERROR(SUMIFS(Transactions!$F:$F,Transactions!$C:$C,$A335,Transactions!$D:$D,"Sale"),0)</f>
        <v>0</v>
      </c>
      <c r="AF335" s="15" t="n">
        <f aca="false">IFERROR(SUMIFS(Transactions!$H:$H,Transactions!$C:$C,$A335,Transactions!$D:$D,"Sale"),0)</f>
        <v>0</v>
      </c>
      <c r="AG335" s="22" t="str">
        <f aca="false">IFERROR(IF(maxifs(Transactions!$B:$B,Transactions!$C:$C,$A335,Transactions!$D:$D,"Sale")=0,"",maxifs(Transactions!$B:$B,Transactions!$C:$C,$A335,Transactions!$D:$D,"Sale")),"")</f>
        <v/>
      </c>
      <c r="AH335" s="12"/>
    </row>
    <row r="336" customFormat="false" ht="18" hidden="false" customHeight="true" outlineLevel="0" collapsed="false">
      <c r="A336" s="12" t="s">
        <v>738</v>
      </c>
      <c r="B336" s="12" t="s">
        <v>285</v>
      </c>
      <c r="C336" s="12" t="s">
        <v>286</v>
      </c>
      <c r="D336" s="12" t="s">
        <v>287</v>
      </c>
      <c r="E336" s="12" t="s">
        <v>246</v>
      </c>
      <c r="F336" s="12"/>
      <c r="G336" s="12" t="s">
        <v>648</v>
      </c>
      <c r="H336" s="12" t="s">
        <v>383</v>
      </c>
      <c r="I336" s="14" t="n">
        <v>13000</v>
      </c>
      <c r="J336" s="18" t="n">
        <f aca="false">IF($I336="","",ROUND($I336*Dropdowns!$K$5,2))</f>
        <v>33.8</v>
      </c>
      <c r="K336" s="19" t="n">
        <f aca="false">IF($I336="","",ROUND($I336*Dropdowns!$K$6,2))</f>
        <v>31.2</v>
      </c>
      <c r="L336" s="20" t="n">
        <f aca="false">IF($I336="","",ROUND($I336*Dropdowns!$K$7,2))</f>
        <v>2665</v>
      </c>
      <c r="M336" s="15" t="str">
        <f aca="false">IFERROR(IF($B336="","",VLOOKUP($B336,Designs!$A$3:$AP$165,27,FALSE())),"")</f>
        <v/>
      </c>
      <c r="N336" s="16" t="str">
        <f aca="false">IFERROR(IF(OR($I336="",$M336="",$M336=0),"",($I336-$M336)/$I336),"")</f>
        <v/>
      </c>
      <c r="O336" s="13" t="n">
        <v>0</v>
      </c>
      <c r="P336" s="13" t="n">
        <v>0</v>
      </c>
      <c r="Q336" s="21" t="n">
        <f aca="false">IF($O336="","",$O336-IF($P336="",0,$P336))</f>
        <v>0</v>
      </c>
      <c r="R336" s="13" t="n">
        <v>2</v>
      </c>
      <c r="S336" s="21" t="str">
        <f aca="false">IF($O336="","",IF($Q336&lt;=$R336,"⚠ REORDER","OK"))</f>
        <v>⚠ REORDER</v>
      </c>
      <c r="T336" s="13"/>
      <c r="U336" s="13"/>
      <c r="V336" s="13" t="s">
        <v>378</v>
      </c>
      <c r="W336" s="12" t="s">
        <v>379</v>
      </c>
      <c r="X336" s="13"/>
      <c r="Y336" s="13"/>
      <c r="Z336" s="12" t="s">
        <v>88</v>
      </c>
      <c r="AA336" s="12" t="s">
        <v>88</v>
      </c>
      <c r="AB336" s="12" t="s">
        <v>88</v>
      </c>
      <c r="AC336" s="12" t="s">
        <v>88</v>
      </c>
      <c r="AD336" s="12" t="s">
        <v>87</v>
      </c>
      <c r="AE336" s="21" t="n">
        <f aca="false">IFERROR(SUMIFS(Transactions!$F:$F,Transactions!$C:$C,$A336,Transactions!$D:$D,"Sale"),0)</f>
        <v>0</v>
      </c>
      <c r="AF336" s="15" t="n">
        <f aca="false">IFERROR(SUMIFS(Transactions!$H:$H,Transactions!$C:$C,$A336,Transactions!$D:$D,"Sale"),0)</f>
        <v>0</v>
      </c>
      <c r="AG336" s="22" t="str">
        <f aca="false">IFERROR(IF(maxifs(Transactions!$B:$B,Transactions!$C:$C,$A336,Transactions!$D:$D,"Sale")=0,"",maxifs(Transactions!$B:$B,Transactions!$C:$C,$A336,Transactions!$D:$D,"Sale")),"")</f>
        <v/>
      </c>
      <c r="AH336" s="12"/>
    </row>
    <row r="337" customFormat="false" ht="18" hidden="false" customHeight="true" outlineLevel="0" collapsed="false">
      <c r="A337" s="12" t="s">
        <v>739</v>
      </c>
      <c r="B337" s="12" t="s">
        <v>285</v>
      </c>
      <c r="C337" s="12" t="s">
        <v>286</v>
      </c>
      <c r="D337" s="12" t="s">
        <v>287</v>
      </c>
      <c r="E337" s="12" t="s">
        <v>246</v>
      </c>
      <c r="F337" s="12"/>
      <c r="G337" s="12" t="s">
        <v>648</v>
      </c>
      <c r="H337" s="12" t="s">
        <v>652</v>
      </c>
      <c r="I337" s="14" t="n">
        <v>13000</v>
      </c>
      <c r="J337" s="18" t="n">
        <f aca="false">IF($I337="","",ROUND($I337*Dropdowns!$K$5,2))</f>
        <v>33.8</v>
      </c>
      <c r="K337" s="19" t="n">
        <f aca="false">IF($I337="","",ROUND($I337*Dropdowns!$K$6,2))</f>
        <v>31.2</v>
      </c>
      <c r="L337" s="20" t="n">
        <f aca="false">IF($I337="","",ROUND($I337*Dropdowns!$K$7,2))</f>
        <v>2665</v>
      </c>
      <c r="M337" s="15" t="str">
        <f aca="false">IFERROR(IF($B337="","",VLOOKUP($B337,Designs!$A$3:$AP$165,27,FALSE())),"")</f>
        <v/>
      </c>
      <c r="N337" s="16" t="str">
        <f aca="false">IFERROR(IF(OR($I337="",$M337="",$M337=0),"",($I337-$M337)/$I337),"")</f>
        <v/>
      </c>
      <c r="O337" s="13" t="n">
        <v>0</v>
      </c>
      <c r="P337" s="13" t="n">
        <v>0</v>
      </c>
      <c r="Q337" s="21" t="n">
        <f aca="false">IF($O337="","",$O337-IF($P337="",0,$P337))</f>
        <v>0</v>
      </c>
      <c r="R337" s="13" t="n">
        <v>2</v>
      </c>
      <c r="S337" s="21" t="str">
        <f aca="false">IF($O337="","",IF($Q337&lt;=$R337,"⚠ REORDER","OK"))</f>
        <v>⚠ REORDER</v>
      </c>
      <c r="T337" s="13"/>
      <c r="U337" s="13"/>
      <c r="V337" s="13" t="s">
        <v>378</v>
      </c>
      <c r="W337" s="12" t="s">
        <v>379</v>
      </c>
      <c r="X337" s="13"/>
      <c r="Y337" s="13"/>
      <c r="Z337" s="12" t="s">
        <v>88</v>
      </c>
      <c r="AA337" s="12" t="s">
        <v>88</v>
      </c>
      <c r="AB337" s="12" t="s">
        <v>88</v>
      </c>
      <c r="AC337" s="12" t="s">
        <v>88</v>
      </c>
      <c r="AD337" s="12" t="s">
        <v>87</v>
      </c>
      <c r="AE337" s="21" t="n">
        <f aca="false">IFERROR(SUMIFS(Transactions!$F:$F,Transactions!$C:$C,$A337,Transactions!$D:$D,"Sale"),0)</f>
        <v>0</v>
      </c>
      <c r="AF337" s="15" t="n">
        <f aca="false">IFERROR(SUMIFS(Transactions!$H:$H,Transactions!$C:$C,$A337,Transactions!$D:$D,"Sale"),0)</f>
        <v>0</v>
      </c>
      <c r="AG337" s="22" t="str">
        <f aca="false">IFERROR(IF(maxifs(Transactions!$B:$B,Transactions!$C:$C,$A337,Transactions!$D:$D,"Sale")=0,"",maxifs(Transactions!$B:$B,Transactions!$C:$C,$A337,Transactions!$D:$D,"Sale")),"")</f>
        <v/>
      </c>
      <c r="AH337" s="12"/>
    </row>
    <row r="338" customFormat="false" ht="18" hidden="false" customHeight="true" outlineLevel="0" collapsed="false">
      <c r="A338" s="12" t="s">
        <v>740</v>
      </c>
      <c r="B338" s="12" t="s">
        <v>285</v>
      </c>
      <c r="C338" s="12" t="s">
        <v>286</v>
      </c>
      <c r="D338" s="12" t="s">
        <v>287</v>
      </c>
      <c r="E338" s="12" t="s">
        <v>246</v>
      </c>
      <c r="F338" s="12"/>
      <c r="G338" s="12" t="s">
        <v>648</v>
      </c>
      <c r="H338" s="12" t="s">
        <v>381</v>
      </c>
      <c r="I338" s="14" t="n">
        <v>13000</v>
      </c>
      <c r="J338" s="18" t="n">
        <f aca="false">IF($I338="","",ROUND($I338*Dropdowns!$K$5,2))</f>
        <v>33.8</v>
      </c>
      <c r="K338" s="19" t="n">
        <f aca="false">IF($I338="","",ROUND($I338*Dropdowns!$K$6,2))</f>
        <v>31.2</v>
      </c>
      <c r="L338" s="20" t="n">
        <f aca="false">IF($I338="","",ROUND($I338*Dropdowns!$K$7,2))</f>
        <v>2665</v>
      </c>
      <c r="M338" s="15" t="str">
        <f aca="false">IFERROR(IF($B338="","",VLOOKUP($B338,Designs!$A$3:$AP$165,27,FALSE())),"")</f>
        <v/>
      </c>
      <c r="N338" s="16" t="str">
        <f aca="false">IFERROR(IF(OR($I338="",$M338="",$M338=0),"",($I338-$M338)/$I338),"")</f>
        <v/>
      </c>
      <c r="O338" s="13" t="n">
        <v>0</v>
      </c>
      <c r="P338" s="13" t="n">
        <v>0</v>
      </c>
      <c r="Q338" s="21" t="n">
        <f aca="false">IF($O338="","",$O338-IF($P338="",0,$P338))</f>
        <v>0</v>
      </c>
      <c r="R338" s="13" t="n">
        <v>2</v>
      </c>
      <c r="S338" s="21" t="str">
        <f aca="false">IF($O338="","",IF($Q338&lt;=$R338,"⚠ REORDER","OK"))</f>
        <v>⚠ REORDER</v>
      </c>
      <c r="T338" s="13"/>
      <c r="U338" s="13"/>
      <c r="V338" s="13" t="s">
        <v>378</v>
      </c>
      <c r="W338" s="12" t="s">
        <v>379</v>
      </c>
      <c r="X338" s="13"/>
      <c r="Y338" s="13"/>
      <c r="Z338" s="12" t="s">
        <v>88</v>
      </c>
      <c r="AA338" s="12" t="s">
        <v>88</v>
      </c>
      <c r="AB338" s="12" t="s">
        <v>88</v>
      </c>
      <c r="AC338" s="12" t="s">
        <v>88</v>
      </c>
      <c r="AD338" s="12" t="s">
        <v>87</v>
      </c>
      <c r="AE338" s="21" t="n">
        <f aca="false">IFERROR(SUMIFS(Transactions!$F:$F,Transactions!$C:$C,$A338,Transactions!$D:$D,"Sale"),0)</f>
        <v>0</v>
      </c>
      <c r="AF338" s="15" t="n">
        <f aca="false">IFERROR(SUMIFS(Transactions!$H:$H,Transactions!$C:$C,$A338,Transactions!$D:$D,"Sale"),0)</f>
        <v>0</v>
      </c>
      <c r="AG338" s="22" t="str">
        <f aca="false">IFERROR(IF(maxifs(Transactions!$B:$B,Transactions!$C:$C,$A338,Transactions!$D:$D,"Sale")=0,"",maxifs(Transactions!$B:$B,Transactions!$C:$C,$A338,Transactions!$D:$D,"Sale")),"")</f>
        <v/>
      </c>
      <c r="AH338" s="12"/>
    </row>
    <row r="339" customFormat="false" ht="18" hidden="false" customHeight="true" outlineLevel="0" collapsed="false">
      <c r="A339" s="12" t="s">
        <v>741</v>
      </c>
      <c r="B339" s="12" t="s">
        <v>285</v>
      </c>
      <c r="C339" s="12" t="s">
        <v>286</v>
      </c>
      <c r="D339" s="12" t="s">
        <v>287</v>
      </c>
      <c r="E339" s="12" t="s">
        <v>246</v>
      </c>
      <c r="F339" s="12"/>
      <c r="G339" s="12" t="s">
        <v>648</v>
      </c>
      <c r="H339" s="12" t="s">
        <v>655</v>
      </c>
      <c r="I339" s="14" t="n">
        <v>13000</v>
      </c>
      <c r="J339" s="18" t="n">
        <f aca="false">IF($I339="","",ROUND($I339*Dropdowns!$K$5,2))</f>
        <v>33.8</v>
      </c>
      <c r="K339" s="19" t="n">
        <f aca="false">IF($I339="","",ROUND($I339*Dropdowns!$K$6,2))</f>
        <v>31.2</v>
      </c>
      <c r="L339" s="20" t="n">
        <f aca="false">IF($I339="","",ROUND($I339*Dropdowns!$K$7,2))</f>
        <v>2665</v>
      </c>
      <c r="M339" s="15" t="str">
        <f aca="false">IFERROR(IF($B339="","",VLOOKUP($B339,Designs!$A$3:$AP$165,27,FALSE())),"")</f>
        <v/>
      </c>
      <c r="N339" s="16" t="str">
        <f aca="false">IFERROR(IF(OR($I339="",$M339="",$M339=0),"",($I339-$M339)/$I339),"")</f>
        <v/>
      </c>
      <c r="O339" s="13" t="n">
        <v>0</v>
      </c>
      <c r="P339" s="13" t="n">
        <v>0</v>
      </c>
      <c r="Q339" s="21" t="n">
        <f aca="false">IF($O339="","",$O339-IF($P339="",0,$P339))</f>
        <v>0</v>
      </c>
      <c r="R339" s="13" t="n">
        <v>2</v>
      </c>
      <c r="S339" s="21" t="str">
        <f aca="false">IF($O339="","",IF($Q339&lt;=$R339,"⚠ REORDER","OK"))</f>
        <v>⚠ REORDER</v>
      </c>
      <c r="T339" s="13"/>
      <c r="U339" s="13"/>
      <c r="V339" s="13" t="s">
        <v>378</v>
      </c>
      <c r="W339" s="12" t="s">
        <v>379</v>
      </c>
      <c r="X339" s="13"/>
      <c r="Y339" s="13"/>
      <c r="Z339" s="12" t="s">
        <v>88</v>
      </c>
      <c r="AA339" s="12" t="s">
        <v>88</v>
      </c>
      <c r="AB339" s="12" t="s">
        <v>88</v>
      </c>
      <c r="AC339" s="12" t="s">
        <v>88</v>
      </c>
      <c r="AD339" s="12" t="s">
        <v>87</v>
      </c>
      <c r="AE339" s="21" t="n">
        <f aca="false">IFERROR(SUMIFS(Transactions!$F:$F,Transactions!$C:$C,$A339,Transactions!$D:$D,"Sale"),0)</f>
        <v>0</v>
      </c>
      <c r="AF339" s="15" t="n">
        <f aca="false">IFERROR(SUMIFS(Transactions!$H:$H,Transactions!$C:$C,$A339,Transactions!$D:$D,"Sale"),0)</f>
        <v>0</v>
      </c>
      <c r="AG339" s="22" t="str">
        <f aca="false">IFERROR(IF(maxifs(Transactions!$B:$B,Transactions!$C:$C,$A339,Transactions!$D:$D,"Sale")=0,"",maxifs(Transactions!$B:$B,Transactions!$C:$C,$A339,Transactions!$D:$D,"Sale")),"")</f>
        <v/>
      </c>
      <c r="AH339" s="12"/>
    </row>
    <row r="340" customFormat="false" ht="18" hidden="false" customHeight="true" outlineLevel="0" collapsed="false">
      <c r="A340" s="12" t="s">
        <v>742</v>
      </c>
      <c r="B340" s="12" t="s">
        <v>288</v>
      </c>
      <c r="C340" s="12" t="s">
        <v>289</v>
      </c>
      <c r="D340" s="12" t="s">
        <v>287</v>
      </c>
      <c r="E340" s="12" t="s">
        <v>252</v>
      </c>
      <c r="F340" s="12"/>
      <c r="G340" s="12" t="s">
        <v>648</v>
      </c>
      <c r="H340" s="12" t="s">
        <v>649</v>
      </c>
      <c r="I340" s="14" t="n">
        <v>13000</v>
      </c>
      <c r="J340" s="18" t="n">
        <f aca="false">IF($I340="","",ROUND($I340*Dropdowns!$K$5,2))</f>
        <v>33.8</v>
      </c>
      <c r="K340" s="19" t="n">
        <f aca="false">IF($I340="","",ROUND($I340*Dropdowns!$K$6,2))</f>
        <v>31.2</v>
      </c>
      <c r="L340" s="20" t="n">
        <f aca="false">IF($I340="","",ROUND($I340*Dropdowns!$K$7,2))</f>
        <v>2665</v>
      </c>
      <c r="M340" s="15" t="str">
        <f aca="false">IFERROR(IF($B340="","",VLOOKUP($B340,Designs!$A$3:$AP$165,27,FALSE())),"")</f>
        <v/>
      </c>
      <c r="N340" s="16" t="str">
        <f aca="false">IFERROR(IF(OR($I340="",$M340="",$M340=0),"",($I340-$M340)/$I340),"")</f>
        <v/>
      </c>
      <c r="O340" s="13" t="n">
        <v>0</v>
      </c>
      <c r="P340" s="13" t="n">
        <v>0</v>
      </c>
      <c r="Q340" s="21" t="n">
        <f aca="false">IF($O340="","",$O340-IF($P340="",0,$P340))</f>
        <v>0</v>
      </c>
      <c r="R340" s="13" t="n">
        <v>2</v>
      </c>
      <c r="S340" s="21" t="str">
        <f aca="false">IF($O340="","",IF($Q340&lt;=$R340,"⚠ REORDER","OK"))</f>
        <v>⚠ REORDER</v>
      </c>
      <c r="T340" s="13"/>
      <c r="U340" s="13"/>
      <c r="V340" s="13" t="s">
        <v>378</v>
      </c>
      <c r="W340" s="12" t="s">
        <v>379</v>
      </c>
      <c r="X340" s="13"/>
      <c r="Y340" s="13"/>
      <c r="Z340" s="12" t="s">
        <v>88</v>
      </c>
      <c r="AA340" s="12" t="s">
        <v>88</v>
      </c>
      <c r="AB340" s="12" t="s">
        <v>88</v>
      </c>
      <c r="AC340" s="12" t="s">
        <v>88</v>
      </c>
      <c r="AD340" s="12" t="s">
        <v>87</v>
      </c>
      <c r="AE340" s="21" t="n">
        <f aca="false">IFERROR(SUMIFS(Transactions!$F:$F,Transactions!$C:$C,$A340,Transactions!$D:$D,"Sale"),0)</f>
        <v>0</v>
      </c>
      <c r="AF340" s="15" t="n">
        <f aca="false">IFERROR(SUMIFS(Transactions!$H:$H,Transactions!$C:$C,$A340,Transactions!$D:$D,"Sale"),0)</f>
        <v>0</v>
      </c>
      <c r="AG340" s="22" t="str">
        <f aca="false">IFERROR(IF(maxifs(Transactions!$B:$B,Transactions!$C:$C,$A340,Transactions!$D:$D,"Sale")=0,"",maxifs(Transactions!$B:$B,Transactions!$C:$C,$A340,Transactions!$D:$D,"Sale")),"")</f>
        <v/>
      </c>
      <c r="AH340" s="12"/>
    </row>
    <row r="341" customFormat="false" ht="18" hidden="false" customHeight="true" outlineLevel="0" collapsed="false">
      <c r="A341" s="12" t="s">
        <v>743</v>
      </c>
      <c r="B341" s="12" t="s">
        <v>288</v>
      </c>
      <c r="C341" s="12" t="s">
        <v>289</v>
      </c>
      <c r="D341" s="12" t="s">
        <v>287</v>
      </c>
      <c r="E341" s="12" t="s">
        <v>252</v>
      </c>
      <c r="F341" s="12"/>
      <c r="G341" s="12" t="s">
        <v>648</v>
      </c>
      <c r="H341" s="12" t="s">
        <v>383</v>
      </c>
      <c r="I341" s="14" t="n">
        <v>13000</v>
      </c>
      <c r="J341" s="18" t="n">
        <f aca="false">IF($I341="","",ROUND($I341*Dropdowns!$K$5,2))</f>
        <v>33.8</v>
      </c>
      <c r="K341" s="19" t="n">
        <f aca="false">IF($I341="","",ROUND($I341*Dropdowns!$K$6,2))</f>
        <v>31.2</v>
      </c>
      <c r="L341" s="20" t="n">
        <f aca="false">IF($I341="","",ROUND($I341*Dropdowns!$K$7,2))</f>
        <v>2665</v>
      </c>
      <c r="M341" s="15" t="str">
        <f aca="false">IFERROR(IF($B341="","",VLOOKUP($B341,Designs!$A$3:$AP$165,27,FALSE())),"")</f>
        <v/>
      </c>
      <c r="N341" s="16" t="str">
        <f aca="false">IFERROR(IF(OR($I341="",$M341="",$M341=0),"",($I341-$M341)/$I341),"")</f>
        <v/>
      </c>
      <c r="O341" s="13" t="n">
        <v>0</v>
      </c>
      <c r="P341" s="13" t="n">
        <v>0</v>
      </c>
      <c r="Q341" s="21" t="n">
        <f aca="false">IF($O341="","",$O341-IF($P341="",0,$P341))</f>
        <v>0</v>
      </c>
      <c r="R341" s="13" t="n">
        <v>2</v>
      </c>
      <c r="S341" s="21" t="str">
        <f aca="false">IF($O341="","",IF($Q341&lt;=$R341,"⚠ REORDER","OK"))</f>
        <v>⚠ REORDER</v>
      </c>
      <c r="T341" s="13"/>
      <c r="U341" s="13"/>
      <c r="V341" s="13" t="s">
        <v>378</v>
      </c>
      <c r="W341" s="12" t="s">
        <v>379</v>
      </c>
      <c r="X341" s="13"/>
      <c r="Y341" s="13"/>
      <c r="Z341" s="12" t="s">
        <v>88</v>
      </c>
      <c r="AA341" s="12" t="s">
        <v>88</v>
      </c>
      <c r="AB341" s="12" t="s">
        <v>88</v>
      </c>
      <c r="AC341" s="12" t="s">
        <v>88</v>
      </c>
      <c r="AD341" s="12" t="s">
        <v>87</v>
      </c>
      <c r="AE341" s="21" t="n">
        <f aca="false">IFERROR(SUMIFS(Transactions!$F:$F,Transactions!$C:$C,$A341,Transactions!$D:$D,"Sale"),0)</f>
        <v>0</v>
      </c>
      <c r="AF341" s="15" t="n">
        <f aca="false">IFERROR(SUMIFS(Transactions!$H:$H,Transactions!$C:$C,$A341,Transactions!$D:$D,"Sale"),0)</f>
        <v>0</v>
      </c>
      <c r="AG341" s="22" t="str">
        <f aca="false">IFERROR(IF(maxifs(Transactions!$B:$B,Transactions!$C:$C,$A341,Transactions!$D:$D,"Sale")=0,"",maxifs(Transactions!$B:$B,Transactions!$C:$C,$A341,Transactions!$D:$D,"Sale")),"")</f>
        <v/>
      </c>
      <c r="AH341" s="12"/>
    </row>
    <row r="342" customFormat="false" ht="18" hidden="false" customHeight="true" outlineLevel="0" collapsed="false">
      <c r="A342" s="12" t="s">
        <v>744</v>
      </c>
      <c r="B342" s="12" t="s">
        <v>288</v>
      </c>
      <c r="C342" s="12" t="s">
        <v>289</v>
      </c>
      <c r="D342" s="12" t="s">
        <v>287</v>
      </c>
      <c r="E342" s="12" t="s">
        <v>252</v>
      </c>
      <c r="F342" s="12"/>
      <c r="G342" s="12" t="s">
        <v>648</v>
      </c>
      <c r="H342" s="12" t="s">
        <v>652</v>
      </c>
      <c r="I342" s="14" t="n">
        <v>13000</v>
      </c>
      <c r="J342" s="18" t="n">
        <f aca="false">IF($I342="","",ROUND($I342*Dropdowns!$K$5,2))</f>
        <v>33.8</v>
      </c>
      <c r="K342" s="19" t="n">
        <f aca="false">IF($I342="","",ROUND($I342*Dropdowns!$K$6,2))</f>
        <v>31.2</v>
      </c>
      <c r="L342" s="20" t="n">
        <f aca="false">IF($I342="","",ROUND($I342*Dropdowns!$K$7,2))</f>
        <v>2665</v>
      </c>
      <c r="M342" s="15" t="str">
        <f aca="false">IFERROR(IF($B342="","",VLOOKUP($B342,Designs!$A$3:$AP$165,27,FALSE())),"")</f>
        <v/>
      </c>
      <c r="N342" s="16" t="str">
        <f aca="false">IFERROR(IF(OR($I342="",$M342="",$M342=0),"",($I342-$M342)/$I342),"")</f>
        <v/>
      </c>
      <c r="O342" s="13" t="n">
        <v>0</v>
      </c>
      <c r="P342" s="13" t="n">
        <v>0</v>
      </c>
      <c r="Q342" s="21" t="n">
        <f aca="false">IF($O342="","",$O342-IF($P342="",0,$P342))</f>
        <v>0</v>
      </c>
      <c r="R342" s="13" t="n">
        <v>2</v>
      </c>
      <c r="S342" s="21" t="str">
        <f aca="false">IF($O342="","",IF($Q342&lt;=$R342,"⚠ REORDER","OK"))</f>
        <v>⚠ REORDER</v>
      </c>
      <c r="T342" s="13"/>
      <c r="U342" s="13"/>
      <c r="V342" s="13" t="s">
        <v>378</v>
      </c>
      <c r="W342" s="12" t="s">
        <v>379</v>
      </c>
      <c r="X342" s="13"/>
      <c r="Y342" s="13"/>
      <c r="Z342" s="12" t="s">
        <v>88</v>
      </c>
      <c r="AA342" s="12" t="s">
        <v>88</v>
      </c>
      <c r="AB342" s="12" t="s">
        <v>88</v>
      </c>
      <c r="AC342" s="12" t="s">
        <v>88</v>
      </c>
      <c r="AD342" s="12" t="s">
        <v>87</v>
      </c>
      <c r="AE342" s="21" t="n">
        <f aca="false">IFERROR(SUMIFS(Transactions!$F:$F,Transactions!$C:$C,$A342,Transactions!$D:$D,"Sale"),0)</f>
        <v>0</v>
      </c>
      <c r="AF342" s="15" t="n">
        <f aca="false">IFERROR(SUMIFS(Transactions!$H:$H,Transactions!$C:$C,$A342,Transactions!$D:$D,"Sale"),0)</f>
        <v>0</v>
      </c>
      <c r="AG342" s="22" t="str">
        <f aca="false">IFERROR(IF(maxifs(Transactions!$B:$B,Transactions!$C:$C,$A342,Transactions!$D:$D,"Sale")=0,"",maxifs(Transactions!$B:$B,Transactions!$C:$C,$A342,Transactions!$D:$D,"Sale")),"")</f>
        <v/>
      </c>
      <c r="AH342" s="12"/>
    </row>
    <row r="343" customFormat="false" ht="18" hidden="false" customHeight="true" outlineLevel="0" collapsed="false">
      <c r="A343" s="12" t="s">
        <v>745</v>
      </c>
      <c r="B343" s="12" t="s">
        <v>288</v>
      </c>
      <c r="C343" s="12" t="s">
        <v>289</v>
      </c>
      <c r="D343" s="12" t="s">
        <v>287</v>
      </c>
      <c r="E343" s="12" t="s">
        <v>252</v>
      </c>
      <c r="F343" s="12"/>
      <c r="G343" s="12" t="s">
        <v>648</v>
      </c>
      <c r="H343" s="12" t="s">
        <v>381</v>
      </c>
      <c r="I343" s="14" t="n">
        <v>13000</v>
      </c>
      <c r="J343" s="18" t="n">
        <f aca="false">IF($I343="","",ROUND($I343*Dropdowns!$K$5,2))</f>
        <v>33.8</v>
      </c>
      <c r="K343" s="19" t="n">
        <f aca="false">IF($I343="","",ROUND($I343*Dropdowns!$K$6,2))</f>
        <v>31.2</v>
      </c>
      <c r="L343" s="20" t="n">
        <f aca="false">IF($I343="","",ROUND($I343*Dropdowns!$K$7,2))</f>
        <v>2665</v>
      </c>
      <c r="M343" s="15" t="str">
        <f aca="false">IFERROR(IF($B343="","",VLOOKUP($B343,Designs!$A$3:$AP$165,27,FALSE())),"")</f>
        <v/>
      </c>
      <c r="N343" s="16" t="str">
        <f aca="false">IFERROR(IF(OR($I343="",$M343="",$M343=0),"",($I343-$M343)/$I343),"")</f>
        <v/>
      </c>
      <c r="O343" s="13" t="n">
        <v>0</v>
      </c>
      <c r="P343" s="13" t="n">
        <v>0</v>
      </c>
      <c r="Q343" s="21" t="n">
        <f aca="false">IF($O343="","",$O343-IF($P343="",0,$P343))</f>
        <v>0</v>
      </c>
      <c r="R343" s="13" t="n">
        <v>2</v>
      </c>
      <c r="S343" s="21" t="str">
        <f aca="false">IF($O343="","",IF($Q343&lt;=$R343,"⚠ REORDER","OK"))</f>
        <v>⚠ REORDER</v>
      </c>
      <c r="T343" s="13"/>
      <c r="U343" s="13"/>
      <c r="V343" s="13" t="s">
        <v>378</v>
      </c>
      <c r="W343" s="12" t="s">
        <v>379</v>
      </c>
      <c r="X343" s="13"/>
      <c r="Y343" s="13"/>
      <c r="Z343" s="12" t="s">
        <v>88</v>
      </c>
      <c r="AA343" s="12" t="s">
        <v>88</v>
      </c>
      <c r="AB343" s="12" t="s">
        <v>88</v>
      </c>
      <c r="AC343" s="12" t="s">
        <v>88</v>
      </c>
      <c r="AD343" s="12" t="s">
        <v>87</v>
      </c>
      <c r="AE343" s="21" t="n">
        <f aca="false">IFERROR(SUMIFS(Transactions!$F:$F,Transactions!$C:$C,$A343,Transactions!$D:$D,"Sale"),0)</f>
        <v>0</v>
      </c>
      <c r="AF343" s="15" t="n">
        <f aca="false">IFERROR(SUMIFS(Transactions!$H:$H,Transactions!$C:$C,$A343,Transactions!$D:$D,"Sale"),0)</f>
        <v>0</v>
      </c>
      <c r="AG343" s="22" t="str">
        <f aca="false">IFERROR(IF(maxifs(Transactions!$B:$B,Transactions!$C:$C,$A343,Transactions!$D:$D,"Sale")=0,"",maxifs(Transactions!$B:$B,Transactions!$C:$C,$A343,Transactions!$D:$D,"Sale")),"")</f>
        <v/>
      </c>
      <c r="AH343" s="12"/>
    </row>
    <row r="344" customFormat="false" ht="18" hidden="false" customHeight="true" outlineLevel="0" collapsed="false">
      <c r="A344" s="12" t="s">
        <v>746</v>
      </c>
      <c r="B344" s="12" t="s">
        <v>288</v>
      </c>
      <c r="C344" s="12" t="s">
        <v>289</v>
      </c>
      <c r="D344" s="12" t="s">
        <v>287</v>
      </c>
      <c r="E344" s="12" t="s">
        <v>252</v>
      </c>
      <c r="F344" s="12"/>
      <c r="G344" s="12" t="s">
        <v>648</v>
      </c>
      <c r="H344" s="12" t="s">
        <v>655</v>
      </c>
      <c r="I344" s="14" t="n">
        <v>13000</v>
      </c>
      <c r="J344" s="18" t="n">
        <f aca="false">IF($I344="","",ROUND($I344*Dropdowns!$K$5,2))</f>
        <v>33.8</v>
      </c>
      <c r="K344" s="19" t="n">
        <f aca="false">IF($I344="","",ROUND($I344*Dropdowns!$K$6,2))</f>
        <v>31.2</v>
      </c>
      <c r="L344" s="20" t="n">
        <f aca="false">IF($I344="","",ROUND($I344*Dropdowns!$K$7,2))</f>
        <v>2665</v>
      </c>
      <c r="M344" s="15" t="str">
        <f aca="false">IFERROR(IF($B344="","",VLOOKUP($B344,Designs!$A$3:$AP$165,27,FALSE())),"")</f>
        <v/>
      </c>
      <c r="N344" s="16" t="str">
        <f aca="false">IFERROR(IF(OR($I344="",$M344="",$M344=0),"",($I344-$M344)/$I344),"")</f>
        <v/>
      </c>
      <c r="O344" s="13" t="n">
        <v>0</v>
      </c>
      <c r="P344" s="13" t="n">
        <v>0</v>
      </c>
      <c r="Q344" s="21" t="n">
        <f aca="false">IF($O344="","",$O344-IF($P344="",0,$P344))</f>
        <v>0</v>
      </c>
      <c r="R344" s="13" t="n">
        <v>2</v>
      </c>
      <c r="S344" s="21" t="str">
        <f aca="false">IF($O344="","",IF($Q344&lt;=$R344,"⚠ REORDER","OK"))</f>
        <v>⚠ REORDER</v>
      </c>
      <c r="T344" s="13"/>
      <c r="U344" s="13"/>
      <c r="V344" s="13" t="s">
        <v>378</v>
      </c>
      <c r="W344" s="12" t="s">
        <v>379</v>
      </c>
      <c r="X344" s="13"/>
      <c r="Y344" s="13"/>
      <c r="Z344" s="12" t="s">
        <v>88</v>
      </c>
      <c r="AA344" s="12" t="s">
        <v>88</v>
      </c>
      <c r="AB344" s="12" t="s">
        <v>88</v>
      </c>
      <c r="AC344" s="12" t="s">
        <v>88</v>
      </c>
      <c r="AD344" s="12" t="s">
        <v>87</v>
      </c>
      <c r="AE344" s="21" t="n">
        <f aca="false">IFERROR(SUMIFS(Transactions!$F:$F,Transactions!$C:$C,$A344,Transactions!$D:$D,"Sale"),0)</f>
        <v>0</v>
      </c>
      <c r="AF344" s="15" t="n">
        <f aca="false">IFERROR(SUMIFS(Transactions!$H:$H,Transactions!$C:$C,$A344,Transactions!$D:$D,"Sale"),0)</f>
        <v>0</v>
      </c>
      <c r="AG344" s="22" t="str">
        <f aca="false">IFERROR(IF(maxifs(Transactions!$B:$B,Transactions!$C:$C,$A344,Transactions!$D:$D,"Sale")=0,"",maxifs(Transactions!$B:$B,Transactions!$C:$C,$A344,Transactions!$D:$D,"Sale")),"")</f>
        <v/>
      </c>
      <c r="AH344" s="12"/>
    </row>
    <row r="345" customFormat="false" ht="18" hidden="false" customHeight="true" outlineLevel="0" collapsed="false">
      <c r="A345" s="12" t="s">
        <v>747</v>
      </c>
      <c r="B345" s="12" t="s">
        <v>290</v>
      </c>
      <c r="C345" s="12" t="s">
        <v>269</v>
      </c>
      <c r="D345" s="12" t="s">
        <v>287</v>
      </c>
      <c r="E345" s="12" t="s">
        <v>270</v>
      </c>
      <c r="F345" s="12"/>
      <c r="G345" s="12" t="s">
        <v>648</v>
      </c>
      <c r="H345" s="12" t="s">
        <v>649</v>
      </c>
      <c r="I345" s="14" t="n">
        <v>13000</v>
      </c>
      <c r="J345" s="18" t="n">
        <f aca="false">IF($I345="","",ROUND($I345*Dropdowns!$K$5,2))</f>
        <v>33.8</v>
      </c>
      <c r="K345" s="19" t="n">
        <f aca="false">IF($I345="","",ROUND($I345*Dropdowns!$K$6,2))</f>
        <v>31.2</v>
      </c>
      <c r="L345" s="20" t="n">
        <f aca="false">IF($I345="","",ROUND($I345*Dropdowns!$K$7,2))</f>
        <v>2665</v>
      </c>
      <c r="M345" s="15" t="str">
        <f aca="false">IFERROR(IF($B345="","",VLOOKUP($B345,Designs!$A$3:$AP$165,27,FALSE())),"")</f>
        <v/>
      </c>
      <c r="N345" s="16" t="str">
        <f aca="false">IFERROR(IF(OR($I345="",$M345="",$M345=0),"",($I345-$M345)/$I345),"")</f>
        <v/>
      </c>
      <c r="O345" s="13" t="n">
        <v>0</v>
      </c>
      <c r="P345" s="13" t="n">
        <v>0</v>
      </c>
      <c r="Q345" s="21" t="n">
        <f aca="false">IF($O345="","",$O345-IF($P345="",0,$P345))</f>
        <v>0</v>
      </c>
      <c r="R345" s="13" t="n">
        <v>2</v>
      </c>
      <c r="S345" s="21" t="str">
        <f aca="false">IF($O345="","",IF($Q345&lt;=$R345,"⚠ REORDER","OK"))</f>
        <v>⚠ REORDER</v>
      </c>
      <c r="T345" s="13"/>
      <c r="U345" s="13"/>
      <c r="V345" s="13" t="s">
        <v>378</v>
      </c>
      <c r="W345" s="12" t="s">
        <v>379</v>
      </c>
      <c r="X345" s="13"/>
      <c r="Y345" s="13"/>
      <c r="Z345" s="12" t="s">
        <v>88</v>
      </c>
      <c r="AA345" s="12" t="s">
        <v>88</v>
      </c>
      <c r="AB345" s="12" t="s">
        <v>88</v>
      </c>
      <c r="AC345" s="12" t="s">
        <v>88</v>
      </c>
      <c r="AD345" s="12" t="s">
        <v>87</v>
      </c>
      <c r="AE345" s="21" t="n">
        <f aca="false">IFERROR(SUMIFS(Transactions!$F:$F,Transactions!$C:$C,$A345,Transactions!$D:$D,"Sale"),0)</f>
        <v>0</v>
      </c>
      <c r="AF345" s="15" t="n">
        <f aca="false">IFERROR(SUMIFS(Transactions!$H:$H,Transactions!$C:$C,$A345,Transactions!$D:$D,"Sale"),0)</f>
        <v>0</v>
      </c>
      <c r="AG345" s="22" t="str">
        <f aca="false">IFERROR(IF(maxifs(Transactions!$B:$B,Transactions!$C:$C,$A345,Transactions!$D:$D,"Sale")=0,"",maxifs(Transactions!$B:$B,Transactions!$C:$C,$A345,Transactions!$D:$D,"Sale")),"")</f>
        <v/>
      </c>
      <c r="AH345" s="12"/>
    </row>
    <row r="346" customFormat="false" ht="18" hidden="false" customHeight="true" outlineLevel="0" collapsed="false">
      <c r="A346" s="12" t="s">
        <v>748</v>
      </c>
      <c r="B346" s="12" t="s">
        <v>290</v>
      </c>
      <c r="C346" s="12" t="s">
        <v>269</v>
      </c>
      <c r="D346" s="12" t="s">
        <v>287</v>
      </c>
      <c r="E346" s="12" t="s">
        <v>270</v>
      </c>
      <c r="F346" s="12"/>
      <c r="G346" s="12" t="s">
        <v>648</v>
      </c>
      <c r="H346" s="12" t="s">
        <v>383</v>
      </c>
      <c r="I346" s="14" t="n">
        <v>13000</v>
      </c>
      <c r="J346" s="18" t="n">
        <f aca="false">IF($I346="","",ROUND($I346*Dropdowns!$K$5,2))</f>
        <v>33.8</v>
      </c>
      <c r="K346" s="19" t="n">
        <f aca="false">IF($I346="","",ROUND($I346*Dropdowns!$K$6,2))</f>
        <v>31.2</v>
      </c>
      <c r="L346" s="20" t="n">
        <f aca="false">IF($I346="","",ROUND($I346*Dropdowns!$K$7,2))</f>
        <v>2665</v>
      </c>
      <c r="M346" s="15" t="str">
        <f aca="false">IFERROR(IF($B346="","",VLOOKUP($B346,Designs!$A$3:$AP$165,27,FALSE())),"")</f>
        <v/>
      </c>
      <c r="N346" s="16" t="str">
        <f aca="false">IFERROR(IF(OR($I346="",$M346="",$M346=0),"",($I346-$M346)/$I346),"")</f>
        <v/>
      </c>
      <c r="O346" s="13" t="n">
        <v>0</v>
      </c>
      <c r="P346" s="13" t="n">
        <v>0</v>
      </c>
      <c r="Q346" s="21" t="n">
        <f aca="false">IF($O346="","",$O346-IF($P346="",0,$P346))</f>
        <v>0</v>
      </c>
      <c r="R346" s="13" t="n">
        <v>2</v>
      </c>
      <c r="S346" s="21" t="str">
        <f aca="false">IF($O346="","",IF($Q346&lt;=$R346,"⚠ REORDER","OK"))</f>
        <v>⚠ REORDER</v>
      </c>
      <c r="T346" s="13"/>
      <c r="U346" s="13"/>
      <c r="V346" s="13" t="s">
        <v>378</v>
      </c>
      <c r="W346" s="12" t="s">
        <v>379</v>
      </c>
      <c r="X346" s="13"/>
      <c r="Y346" s="13"/>
      <c r="Z346" s="12" t="s">
        <v>88</v>
      </c>
      <c r="AA346" s="12" t="s">
        <v>88</v>
      </c>
      <c r="AB346" s="12" t="s">
        <v>88</v>
      </c>
      <c r="AC346" s="12" t="s">
        <v>88</v>
      </c>
      <c r="AD346" s="12" t="s">
        <v>87</v>
      </c>
      <c r="AE346" s="21" t="n">
        <f aca="false">IFERROR(SUMIFS(Transactions!$F:$F,Transactions!$C:$C,$A346,Transactions!$D:$D,"Sale"),0)</f>
        <v>0</v>
      </c>
      <c r="AF346" s="15" t="n">
        <f aca="false">IFERROR(SUMIFS(Transactions!$H:$H,Transactions!$C:$C,$A346,Transactions!$D:$D,"Sale"),0)</f>
        <v>0</v>
      </c>
      <c r="AG346" s="22" t="str">
        <f aca="false">IFERROR(IF(maxifs(Transactions!$B:$B,Transactions!$C:$C,$A346,Transactions!$D:$D,"Sale")=0,"",maxifs(Transactions!$B:$B,Transactions!$C:$C,$A346,Transactions!$D:$D,"Sale")),"")</f>
        <v/>
      </c>
      <c r="AH346" s="12"/>
    </row>
    <row r="347" customFormat="false" ht="18" hidden="false" customHeight="true" outlineLevel="0" collapsed="false">
      <c r="A347" s="12" t="s">
        <v>749</v>
      </c>
      <c r="B347" s="12" t="s">
        <v>290</v>
      </c>
      <c r="C347" s="12" t="s">
        <v>269</v>
      </c>
      <c r="D347" s="12" t="s">
        <v>287</v>
      </c>
      <c r="E347" s="12" t="s">
        <v>270</v>
      </c>
      <c r="F347" s="12"/>
      <c r="G347" s="12" t="s">
        <v>648</v>
      </c>
      <c r="H347" s="12" t="s">
        <v>652</v>
      </c>
      <c r="I347" s="14" t="n">
        <v>13000</v>
      </c>
      <c r="J347" s="18" t="n">
        <f aca="false">IF($I347="","",ROUND($I347*Dropdowns!$K$5,2))</f>
        <v>33.8</v>
      </c>
      <c r="K347" s="19" t="n">
        <f aca="false">IF($I347="","",ROUND($I347*Dropdowns!$K$6,2))</f>
        <v>31.2</v>
      </c>
      <c r="L347" s="20" t="n">
        <f aca="false">IF($I347="","",ROUND($I347*Dropdowns!$K$7,2))</f>
        <v>2665</v>
      </c>
      <c r="M347" s="15" t="str">
        <f aca="false">IFERROR(IF($B347="","",VLOOKUP($B347,Designs!$A$3:$AP$165,27,FALSE())),"")</f>
        <v/>
      </c>
      <c r="N347" s="16" t="str">
        <f aca="false">IFERROR(IF(OR($I347="",$M347="",$M347=0),"",($I347-$M347)/$I347),"")</f>
        <v/>
      </c>
      <c r="O347" s="13" t="n">
        <v>0</v>
      </c>
      <c r="P347" s="13" t="n">
        <v>0</v>
      </c>
      <c r="Q347" s="21" t="n">
        <f aca="false">IF($O347="","",$O347-IF($P347="",0,$P347))</f>
        <v>0</v>
      </c>
      <c r="R347" s="13" t="n">
        <v>2</v>
      </c>
      <c r="S347" s="21" t="str">
        <f aca="false">IF($O347="","",IF($Q347&lt;=$R347,"⚠ REORDER","OK"))</f>
        <v>⚠ REORDER</v>
      </c>
      <c r="T347" s="13"/>
      <c r="U347" s="13"/>
      <c r="V347" s="13" t="s">
        <v>378</v>
      </c>
      <c r="W347" s="12" t="s">
        <v>379</v>
      </c>
      <c r="X347" s="13"/>
      <c r="Y347" s="13"/>
      <c r="Z347" s="12" t="s">
        <v>88</v>
      </c>
      <c r="AA347" s="12" t="s">
        <v>88</v>
      </c>
      <c r="AB347" s="12" t="s">
        <v>88</v>
      </c>
      <c r="AC347" s="12" t="s">
        <v>88</v>
      </c>
      <c r="AD347" s="12" t="s">
        <v>87</v>
      </c>
      <c r="AE347" s="21" t="n">
        <f aca="false">IFERROR(SUMIFS(Transactions!$F:$F,Transactions!$C:$C,$A347,Transactions!$D:$D,"Sale"),0)</f>
        <v>0</v>
      </c>
      <c r="AF347" s="15" t="n">
        <f aca="false">IFERROR(SUMIFS(Transactions!$H:$H,Transactions!$C:$C,$A347,Transactions!$D:$D,"Sale"),0)</f>
        <v>0</v>
      </c>
      <c r="AG347" s="22" t="str">
        <f aca="false">IFERROR(IF(maxifs(Transactions!$B:$B,Transactions!$C:$C,$A347,Transactions!$D:$D,"Sale")=0,"",maxifs(Transactions!$B:$B,Transactions!$C:$C,$A347,Transactions!$D:$D,"Sale")),"")</f>
        <v/>
      </c>
      <c r="AH347" s="12"/>
    </row>
    <row r="348" customFormat="false" ht="18" hidden="false" customHeight="true" outlineLevel="0" collapsed="false">
      <c r="A348" s="12" t="s">
        <v>750</v>
      </c>
      <c r="B348" s="12" t="s">
        <v>290</v>
      </c>
      <c r="C348" s="12" t="s">
        <v>269</v>
      </c>
      <c r="D348" s="12" t="s">
        <v>287</v>
      </c>
      <c r="E348" s="12" t="s">
        <v>270</v>
      </c>
      <c r="F348" s="12"/>
      <c r="G348" s="12" t="s">
        <v>648</v>
      </c>
      <c r="H348" s="12" t="s">
        <v>381</v>
      </c>
      <c r="I348" s="14" t="n">
        <v>13000</v>
      </c>
      <c r="J348" s="18" t="n">
        <f aca="false">IF($I348="","",ROUND($I348*Dropdowns!$K$5,2))</f>
        <v>33.8</v>
      </c>
      <c r="K348" s="19" t="n">
        <f aca="false">IF($I348="","",ROUND($I348*Dropdowns!$K$6,2))</f>
        <v>31.2</v>
      </c>
      <c r="L348" s="20" t="n">
        <f aca="false">IF($I348="","",ROUND($I348*Dropdowns!$K$7,2))</f>
        <v>2665</v>
      </c>
      <c r="M348" s="15" t="str">
        <f aca="false">IFERROR(IF($B348="","",VLOOKUP($B348,Designs!$A$3:$AP$165,27,FALSE())),"")</f>
        <v/>
      </c>
      <c r="N348" s="16" t="str">
        <f aca="false">IFERROR(IF(OR($I348="",$M348="",$M348=0),"",($I348-$M348)/$I348),"")</f>
        <v/>
      </c>
      <c r="O348" s="13" t="n">
        <v>0</v>
      </c>
      <c r="P348" s="13" t="n">
        <v>0</v>
      </c>
      <c r="Q348" s="21" t="n">
        <f aca="false">IF($O348="","",$O348-IF($P348="",0,$P348))</f>
        <v>0</v>
      </c>
      <c r="R348" s="13" t="n">
        <v>2</v>
      </c>
      <c r="S348" s="21" t="str">
        <f aca="false">IF($O348="","",IF($Q348&lt;=$R348,"⚠ REORDER","OK"))</f>
        <v>⚠ REORDER</v>
      </c>
      <c r="T348" s="13"/>
      <c r="U348" s="13"/>
      <c r="V348" s="13" t="s">
        <v>378</v>
      </c>
      <c r="W348" s="12" t="s">
        <v>379</v>
      </c>
      <c r="X348" s="13"/>
      <c r="Y348" s="13"/>
      <c r="Z348" s="12" t="s">
        <v>88</v>
      </c>
      <c r="AA348" s="12" t="s">
        <v>88</v>
      </c>
      <c r="AB348" s="12" t="s">
        <v>88</v>
      </c>
      <c r="AC348" s="12" t="s">
        <v>88</v>
      </c>
      <c r="AD348" s="12" t="s">
        <v>87</v>
      </c>
      <c r="AE348" s="21" t="n">
        <f aca="false">IFERROR(SUMIFS(Transactions!$F:$F,Transactions!$C:$C,$A348,Transactions!$D:$D,"Sale"),0)</f>
        <v>0</v>
      </c>
      <c r="AF348" s="15" t="n">
        <f aca="false">IFERROR(SUMIFS(Transactions!$H:$H,Transactions!$C:$C,$A348,Transactions!$D:$D,"Sale"),0)</f>
        <v>0</v>
      </c>
      <c r="AG348" s="22" t="str">
        <f aca="false">IFERROR(IF(maxifs(Transactions!$B:$B,Transactions!$C:$C,$A348,Transactions!$D:$D,"Sale")=0,"",maxifs(Transactions!$B:$B,Transactions!$C:$C,$A348,Transactions!$D:$D,"Sale")),"")</f>
        <v/>
      </c>
      <c r="AH348" s="12"/>
    </row>
    <row r="349" customFormat="false" ht="18" hidden="false" customHeight="true" outlineLevel="0" collapsed="false">
      <c r="A349" s="12" t="s">
        <v>751</v>
      </c>
      <c r="B349" s="12" t="s">
        <v>290</v>
      </c>
      <c r="C349" s="12" t="s">
        <v>269</v>
      </c>
      <c r="D349" s="12" t="s">
        <v>287</v>
      </c>
      <c r="E349" s="12" t="s">
        <v>270</v>
      </c>
      <c r="F349" s="12"/>
      <c r="G349" s="12" t="s">
        <v>648</v>
      </c>
      <c r="H349" s="12" t="s">
        <v>655</v>
      </c>
      <c r="I349" s="14" t="n">
        <v>13000</v>
      </c>
      <c r="J349" s="18" t="n">
        <f aca="false">IF($I349="","",ROUND($I349*Dropdowns!$K$5,2))</f>
        <v>33.8</v>
      </c>
      <c r="K349" s="19" t="n">
        <f aca="false">IF($I349="","",ROUND($I349*Dropdowns!$K$6,2))</f>
        <v>31.2</v>
      </c>
      <c r="L349" s="20" t="n">
        <f aca="false">IF($I349="","",ROUND($I349*Dropdowns!$K$7,2))</f>
        <v>2665</v>
      </c>
      <c r="M349" s="15" t="str">
        <f aca="false">IFERROR(IF($B349="","",VLOOKUP($B349,Designs!$A$3:$AP$165,27,FALSE())),"")</f>
        <v/>
      </c>
      <c r="N349" s="16" t="str">
        <f aca="false">IFERROR(IF(OR($I349="",$M349="",$M349=0),"",($I349-$M349)/$I349),"")</f>
        <v/>
      </c>
      <c r="O349" s="13" t="n">
        <v>0</v>
      </c>
      <c r="P349" s="13" t="n">
        <v>0</v>
      </c>
      <c r="Q349" s="21" t="n">
        <f aca="false">IF($O349="","",$O349-IF($P349="",0,$P349))</f>
        <v>0</v>
      </c>
      <c r="R349" s="13" t="n">
        <v>2</v>
      </c>
      <c r="S349" s="21" t="str">
        <f aca="false">IF($O349="","",IF($Q349&lt;=$R349,"⚠ REORDER","OK"))</f>
        <v>⚠ REORDER</v>
      </c>
      <c r="T349" s="13"/>
      <c r="U349" s="13"/>
      <c r="V349" s="13" t="s">
        <v>378</v>
      </c>
      <c r="W349" s="12" t="s">
        <v>379</v>
      </c>
      <c r="X349" s="13"/>
      <c r="Y349" s="13"/>
      <c r="Z349" s="12" t="s">
        <v>88</v>
      </c>
      <c r="AA349" s="12" t="s">
        <v>88</v>
      </c>
      <c r="AB349" s="12" t="s">
        <v>88</v>
      </c>
      <c r="AC349" s="12" t="s">
        <v>88</v>
      </c>
      <c r="AD349" s="12" t="s">
        <v>87</v>
      </c>
      <c r="AE349" s="21" t="n">
        <f aca="false">IFERROR(SUMIFS(Transactions!$F:$F,Transactions!$C:$C,$A349,Transactions!$D:$D,"Sale"),0)</f>
        <v>0</v>
      </c>
      <c r="AF349" s="15" t="n">
        <f aca="false">IFERROR(SUMIFS(Transactions!$H:$H,Transactions!$C:$C,$A349,Transactions!$D:$D,"Sale"),0)</f>
        <v>0</v>
      </c>
      <c r="AG349" s="22" t="str">
        <f aca="false">IFERROR(IF(maxifs(Transactions!$B:$B,Transactions!$C:$C,$A349,Transactions!$D:$D,"Sale")=0,"",maxifs(Transactions!$B:$B,Transactions!$C:$C,$A349,Transactions!$D:$D,"Sale")),"")</f>
        <v/>
      </c>
      <c r="AH349" s="12"/>
    </row>
    <row r="350" customFormat="false" ht="18" hidden="false" customHeight="true" outlineLevel="0" collapsed="false">
      <c r="A350" s="12" t="s">
        <v>752</v>
      </c>
      <c r="B350" s="12" t="s">
        <v>291</v>
      </c>
      <c r="C350" s="12" t="s">
        <v>292</v>
      </c>
      <c r="D350" s="12" t="s">
        <v>287</v>
      </c>
      <c r="E350" s="12" t="s">
        <v>264</v>
      </c>
      <c r="F350" s="12"/>
      <c r="G350" s="12" t="s">
        <v>648</v>
      </c>
      <c r="H350" s="12" t="s">
        <v>649</v>
      </c>
      <c r="I350" s="14" t="n">
        <v>13000</v>
      </c>
      <c r="J350" s="18" t="n">
        <f aca="false">IF($I350="","",ROUND($I350*Dropdowns!$K$5,2))</f>
        <v>33.8</v>
      </c>
      <c r="K350" s="19" t="n">
        <f aca="false">IF($I350="","",ROUND($I350*Dropdowns!$K$6,2))</f>
        <v>31.2</v>
      </c>
      <c r="L350" s="20" t="n">
        <f aca="false">IF($I350="","",ROUND($I350*Dropdowns!$K$7,2))</f>
        <v>2665</v>
      </c>
      <c r="M350" s="15" t="str">
        <f aca="false">IFERROR(IF($B350="","",VLOOKUP($B350,Designs!$A$3:$AP$165,27,FALSE())),"")</f>
        <v/>
      </c>
      <c r="N350" s="16" t="str">
        <f aca="false">IFERROR(IF(OR($I350="",$M350="",$M350=0),"",($I350-$M350)/$I350),"")</f>
        <v/>
      </c>
      <c r="O350" s="13" t="n">
        <v>0</v>
      </c>
      <c r="P350" s="13" t="n">
        <v>0</v>
      </c>
      <c r="Q350" s="21" t="n">
        <f aca="false">IF($O350="","",$O350-IF($P350="",0,$P350))</f>
        <v>0</v>
      </c>
      <c r="R350" s="13" t="n">
        <v>2</v>
      </c>
      <c r="S350" s="21" t="str">
        <f aca="false">IF($O350="","",IF($Q350&lt;=$R350,"⚠ REORDER","OK"))</f>
        <v>⚠ REORDER</v>
      </c>
      <c r="T350" s="13"/>
      <c r="U350" s="13"/>
      <c r="V350" s="13" t="s">
        <v>378</v>
      </c>
      <c r="W350" s="12" t="s">
        <v>379</v>
      </c>
      <c r="X350" s="13"/>
      <c r="Y350" s="13"/>
      <c r="Z350" s="12" t="s">
        <v>88</v>
      </c>
      <c r="AA350" s="12" t="s">
        <v>88</v>
      </c>
      <c r="AB350" s="12" t="s">
        <v>88</v>
      </c>
      <c r="AC350" s="12" t="s">
        <v>88</v>
      </c>
      <c r="AD350" s="12" t="s">
        <v>87</v>
      </c>
      <c r="AE350" s="21" t="n">
        <f aca="false">IFERROR(SUMIFS(Transactions!$F:$F,Transactions!$C:$C,$A350,Transactions!$D:$D,"Sale"),0)</f>
        <v>0</v>
      </c>
      <c r="AF350" s="15" t="n">
        <f aca="false">IFERROR(SUMIFS(Transactions!$H:$H,Transactions!$C:$C,$A350,Transactions!$D:$D,"Sale"),0)</f>
        <v>0</v>
      </c>
      <c r="AG350" s="22" t="str">
        <f aca="false">IFERROR(IF(maxifs(Transactions!$B:$B,Transactions!$C:$C,$A350,Transactions!$D:$D,"Sale")=0,"",maxifs(Transactions!$B:$B,Transactions!$C:$C,$A350,Transactions!$D:$D,"Sale")),"")</f>
        <v/>
      </c>
      <c r="AH350" s="12"/>
    </row>
    <row r="351" customFormat="false" ht="18" hidden="false" customHeight="true" outlineLevel="0" collapsed="false">
      <c r="A351" s="12" t="s">
        <v>753</v>
      </c>
      <c r="B351" s="12" t="s">
        <v>291</v>
      </c>
      <c r="C351" s="12" t="s">
        <v>292</v>
      </c>
      <c r="D351" s="12" t="s">
        <v>287</v>
      </c>
      <c r="E351" s="12" t="s">
        <v>264</v>
      </c>
      <c r="F351" s="12"/>
      <c r="G351" s="12" t="s">
        <v>648</v>
      </c>
      <c r="H351" s="12" t="s">
        <v>383</v>
      </c>
      <c r="I351" s="14" t="n">
        <v>13000</v>
      </c>
      <c r="J351" s="18" t="n">
        <f aca="false">IF($I351="","",ROUND($I351*Dropdowns!$K$5,2))</f>
        <v>33.8</v>
      </c>
      <c r="K351" s="19" t="n">
        <f aca="false">IF($I351="","",ROUND($I351*Dropdowns!$K$6,2))</f>
        <v>31.2</v>
      </c>
      <c r="L351" s="20" t="n">
        <f aca="false">IF($I351="","",ROUND($I351*Dropdowns!$K$7,2))</f>
        <v>2665</v>
      </c>
      <c r="M351" s="15" t="str">
        <f aca="false">IFERROR(IF($B351="","",VLOOKUP($B351,Designs!$A$3:$AP$165,27,FALSE())),"")</f>
        <v/>
      </c>
      <c r="N351" s="16" t="str">
        <f aca="false">IFERROR(IF(OR($I351="",$M351="",$M351=0),"",($I351-$M351)/$I351),"")</f>
        <v/>
      </c>
      <c r="O351" s="13" t="n">
        <v>0</v>
      </c>
      <c r="P351" s="13" t="n">
        <v>0</v>
      </c>
      <c r="Q351" s="21" t="n">
        <f aca="false">IF($O351="","",$O351-IF($P351="",0,$P351))</f>
        <v>0</v>
      </c>
      <c r="R351" s="13" t="n">
        <v>2</v>
      </c>
      <c r="S351" s="21" t="str">
        <f aca="false">IF($O351="","",IF($Q351&lt;=$R351,"⚠ REORDER","OK"))</f>
        <v>⚠ REORDER</v>
      </c>
      <c r="T351" s="13"/>
      <c r="U351" s="13"/>
      <c r="V351" s="13" t="s">
        <v>378</v>
      </c>
      <c r="W351" s="12" t="s">
        <v>379</v>
      </c>
      <c r="X351" s="13"/>
      <c r="Y351" s="13"/>
      <c r="Z351" s="12" t="s">
        <v>88</v>
      </c>
      <c r="AA351" s="12" t="s">
        <v>88</v>
      </c>
      <c r="AB351" s="12" t="s">
        <v>88</v>
      </c>
      <c r="AC351" s="12" t="s">
        <v>88</v>
      </c>
      <c r="AD351" s="12" t="s">
        <v>87</v>
      </c>
      <c r="AE351" s="21" t="n">
        <f aca="false">IFERROR(SUMIFS(Transactions!$F:$F,Transactions!$C:$C,$A351,Transactions!$D:$D,"Sale"),0)</f>
        <v>0</v>
      </c>
      <c r="AF351" s="15" t="n">
        <f aca="false">IFERROR(SUMIFS(Transactions!$H:$H,Transactions!$C:$C,$A351,Transactions!$D:$D,"Sale"),0)</f>
        <v>0</v>
      </c>
      <c r="AG351" s="22" t="str">
        <f aca="false">IFERROR(IF(maxifs(Transactions!$B:$B,Transactions!$C:$C,$A351,Transactions!$D:$D,"Sale")=0,"",maxifs(Transactions!$B:$B,Transactions!$C:$C,$A351,Transactions!$D:$D,"Sale")),"")</f>
        <v/>
      </c>
      <c r="AH351" s="12"/>
    </row>
    <row r="352" customFormat="false" ht="18" hidden="false" customHeight="true" outlineLevel="0" collapsed="false">
      <c r="A352" s="12" t="s">
        <v>754</v>
      </c>
      <c r="B352" s="12" t="s">
        <v>291</v>
      </c>
      <c r="C352" s="12" t="s">
        <v>292</v>
      </c>
      <c r="D352" s="12" t="s">
        <v>287</v>
      </c>
      <c r="E352" s="12" t="s">
        <v>264</v>
      </c>
      <c r="F352" s="12"/>
      <c r="G352" s="12" t="s">
        <v>648</v>
      </c>
      <c r="H352" s="12" t="s">
        <v>652</v>
      </c>
      <c r="I352" s="14" t="n">
        <v>13000</v>
      </c>
      <c r="J352" s="18" t="n">
        <f aca="false">IF($I352="","",ROUND($I352*Dropdowns!$K$5,2))</f>
        <v>33.8</v>
      </c>
      <c r="K352" s="19" t="n">
        <f aca="false">IF($I352="","",ROUND($I352*Dropdowns!$K$6,2))</f>
        <v>31.2</v>
      </c>
      <c r="L352" s="20" t="n">
        <f aca="false">IF($I352="","",ROUND($I352*Dropdowns!$K$7,2))</f>
        <v>2665</v>
      </c>
      <c r="M352" s="15" t="str">
        <f aca="false">IFERROR(IF($B352="","",VLOOKUP($B352,Designs!$A$3:$AP$165,27,FALSE())),"")</f>
        <v/>
      </c>
      <c r="N352" s="16" t="str">
        <f aca="false">IFERROR(IF(OR($I352="",$M352="",$M352=0),"",($I352-$M352)/$I352),"")</f>
        <v/>
      </c>
      <c r="O352" s="13" t="n">
        <v>0</v>
      </c>
      <c r="P352" s="13" t="n">
        <v>0</v>
      </c>
      <c r="Q352" s="21" t="n">
        <f aca="false">IF($O352="","",$O352-IF($P352="",0,$P352))</f>
        <v>0</v>
      </c>
      <c r="R352" s="13" t="n">
        <v>2</v>
      </c>
      <c r="S352" s="21" t="str">
        <f aca="false">IF($O352="","",IF($Q352&lt;=$R352,"⚠ REORDER","OK"))</f>
        <v>⚠ REORDER</v>
      </c>
      <c r="T352" s="13"/>
      <c r="U352" s="13"/>
      <c r="V352" s="13" t="s">
        <v>378</v>
      </c>
      <c r="W352" s="12" t="s">
        <v>379</v>
      </c>
      <c r="X352" s="13"/>
      <c r="Y352" s="13"/>
      <c r="Z352" s="12" t="s">
        <v>88</v>
      </c>
      <c r="AA352" s="12" t="s">
        <v>88</v>
      </c>
      <c r="AB352" s="12" t="s">
        <v>88</v>
      </c>
      <c r="AC352" s="12" t="s">
        <v>88</v>
      </c>
      <c r="AD352" s="12" t="s">
        <v>87</v>
      </c>
      <c r="AE352" s="21" t="n">
        <f aca="false">IFERROR(SUMIFS(Transactions!$F:$F,Transactions!$C:$C,$A352,Transactions!$D:$D,"Sale"),0)</f>
        <v>0</v>
      </c>
      <c r="AF352" s="15" t="n">
        <f aca="false">IFERROR(SUMIFS(Transactions!$H:$H,Transactions!$C:$C,$A352,Transactions!$D:$D,"Sale"),0)</f>
        <v>0</v>
      </c>
      <c r="AG352" s="22" t="str">
        <f aca="false">IFERROR(IF(maxifs(Transactions!$B:$B,Transactions!$C:$C,$A352,Transactions!$D:$D,"Sale")=0,"",maxifs(Transactions!$B:$B,Transactions!$C:$C,$A352,Transactions!$D:$D,"Sale")),"")</f>
        <v/>
      </c>
      <c r="AH352" s="12"/>
    </row>
    <row r="353" customFormat="false" ht="18" hidden="false" customHeight="true" outlineLevel="0" collapsed="false">
      <c r="A353" s="12" t="s">
        <v>755</v>
      </c>
      <c r="B353" s="12" t="s">
        <v>291</v>
      </c>
      <c r="C353" s="12" t="s">
        <v>292</v>
      </c>
      <c r="D353" s="12" t="s">
        <v>287</v>
      </c>
      <c r="E353" s="12" t="s">
        <v>264</v>
      </c>
      <c r="F353" s="12"/>
      <c r="G353" s="12" t="s">
        <v>648</v>
      </c>
      <c r="H353" s="12" t="s">
        <v>381</v>
      </c>
      <c r="I353" s="14" t="n">
        <v>13000</v>
      </c>
      <c r="J353" s="18" t="n">
        <f aca="false">IF($I353="","",ROUND($I353*Dropdowns!$K$5,2))</f>
        <v>33.8</v>
      </c>
      <c r="K353" s="19" t="n">
        <f aca="false">IF($I353="","",ROUND($I353*Dropdowns!$K$6,2))</f>
        <v>31.2</v>
      </c>
      <c r="L353" s="20" t="n">
        <f aca="false">IF($I353="","",ROUND($I353*Dropdowns!$K$7,2))</f>
        <v>2665</v>
      </c>
      <c r="M353" s="15" t="str">
        <f aca="false">IFERROR(IF($B353="","",VLOOKUP($B353,Designs!$A$3:$AP$165,27,FALSE())),"")</f>
        <v/>
      </c>
      <c r="N353" s="16" t="str">
        <f aca="false">IFERROR(IF(OR($I353="",$M353="",$M353=0),"",($I353-$M353)/$I353),"")</f>
        <v/>
      </c>
      <c r="O353" s="13" t="n">
        <v>0</v>
      </c>
      <c r="P353" s="13" t="n">
        <v>0</v>
      </c>
      <c r="Q353" s="21" t="n">
        <f aca="false">IF($O353="","",$O353-IF($P353="",0,$P353))</f>
        <v>0</v>
      </c>
      <c r="R353" s="13" t="n">
        <v>2</v>
      </c>
      <c r="S353" s="21" t="str">
        <f aca="false">IF($O353="","",IF($Q353&lt;=$R353,"⚠ REORDER","OK"))</f>
        <v>⚠ REORDER</v>
      </c>
      <c r="T353" s="13"/>
      <c r="U353" s="13"/>
      <c r="V353" s="13" t="s">
        <v>378</v>
      </c>
      <c r="W353" s="12" t="s">
        <v>379</v>
      </c>
      <c r="X353" s="13"/>
      <c r="Y353" s="13"/>
      <c r="Z353" s="12" t="s">
        <v>88</v>
      </c>
      <c r="AA353" s="12" t="s">
        <v>88</v>
      </c>
      <c r="AB353" s="12" t="s">
        <v>88</v>
      </c>
      <c r="AC353" s="12" t="s">
        <v>88</v>
      </c>
      <c r="AD353" s="12" t="s">
        <v>87</v>
      </c>
      <c r="AE353" s="21" t="n">
        <f aca="false">IFERROR(SUMIFS(Transactions!$F:$F,Transactions!$C:$C,$A353,Transactions!$D:$D,"Sale"),0)</f>
        <v>0</v>
      </c>
      <c r="AF353" s="15" t="n">
        <f aca="false">IFERROR(SUMIFS(Transactions!$H:$H,Transactions!$C:$C,$A353,Transactions!$D:$D,"Sale"),0)</f>
        <v>0</v>
      </c>
      <c r="AG353" s="22" t="str">
        <f aca="false">IFERROR(IF(maxifs(Transactions!$B:$B,Transactions!$C:$C,$A353,Transactions!$D:$D,"Sale")=0,"",maxifs(Transactions!$B:$B,Transactions!$C:$C,$A353,Transactions!$D:$D,"Sale")),"")</f>
        <v/>
      </c>
      <c r="AH353" s="12"/>
    </row>
    <row r="354" customFormat="false" ht="18" hidden="false" customHeight="true" outlineLevel="0" collapsed="false">
      <c r="A354" s="12" t="s">
        <v>756</v>
      </c>
      <c r="B354" s="12" t="s">
        <v>291</v>
      </c>
      <c r="C354" s="12" t="s">
        <v>292</v>
      </c>
      <c r="D354" s="12" t="s">
        <v>287</v>
      </c>
      <c r="E354" s="12" t="s">
        <v>264</v>
      </c>
      <c r="F354" s="12"/>
      <c r="G354" s="12" t="s">
        <v>648</v>
      </c>
      <c r="H354" s="12" t="s">
        <v>655</v>
      </c>
      <c r="I354" s="14" t="n">
        <v>13000</v>
      </c>
      <c r="J354" s="18" t="n">
        <f aca="false">IF($I354="","",ROUND($I354*Dropdowns!$K$5,2))</f>
        <v>33.8</v>
      </c>
      <c r="K354" s="19" t="n">
        <f aca="false">IF($I354="","",ROUND($I354*Dropdowns!$K$6,2))</f>
        <v>31.2</v>
      </c>
      <c r="L354" s="20" t="n">
        <f aca="false">IF($I354="","",ROUND($I354*Dropdowns!$K$7,2))</f>
        <v>2665</v>
      </c>
      <c r="M354" s="15" t="str">
        <f aca="false">IFERROR(IF($B354="","",VLOOKUP($B354,Designs!$A$3:$AP$165,27,FALSE())),"")</f>
        <v/>
      </c>
      <c r="N354" s="16" t="str">
        <f aca="false">IFERROR(IF(OR($I354="",$M354="",$M354=0),"",($I354-$M354)/$I354),"")</f>
        <v/>
      </c>
      <c r="O354" s="13" t="n">
        <v>0</v>
      </c>
      <c r="P354" s="13" t="n">
        <v>0</v>
      </c>
      <c r="Q354" s="21" t="n">
        <f aca="false">IF($O354="","",$O354-IF($P354="",0,$P354))</f>
        <v>0</v>
      </c>
      <c r="R354" s="13" t="n">
        <v>2</v>
      </c>
      <c r="S354" s="21" t="str">
        <f aca="false">IF($O354="","",IF($Q354&lt;=$R354,"⚠ REORDER","OK"))</f>
        <v>⚠ REORDER</v>
      </c>
      <c r="T354" s="13"/>
      <c r="U354" s="13"/>
      <c r="V354" s="13" t="s">
        <v>378</v>
      </c>
      <c r="W354" s="12" t="s">
        <v>379</v>
      </c>
      <c r="X354" s="13"/>
      <c r="Y354" s="13"/>
      <c r="Z354" s="12" t="s">
        <v>88</v>
      </c>
      <c r="AA354" s="12" t="s">
        <v>88</v>
      </c>
      <c r="AB354" s="12" t="s">
        <v>88</v>
      </c>
      <c r="AC354" s="12" t="s">
        <v>88</v>
      </c>
      <c r="AD354" s="12" t="s">
        <v>87</v>
      </c>
      <c r="AE354" s="21" t="n">
        <f aca="false">IFERROR(SUMIFS(Transactions!$F:$F,Transactions!$C:$C,$A354,Transactions!$D:$D,"Sale"),0)</f>
        <v>0</v>
      </c>
      <c r="AF354" s="15" t="n">
        <f aca="false">IFERROR(SUMIFS(Transactions!$H:$H,Transactions!$C:$C,$A354,Transactions!$D:$D,"Sale"),0)</f>
        <v>0</v>
      </c>
      <c r="AG354" s="22" t="str">
        <f aca="false">IFERROR(IF(maxifs(Transactions!$B:$B,Transactions!$C:$C,$A354,Transactions!$D:$D,"Sale")=0,"",maxifs(Transactions!$B:$B,Transactions!$C:$C,$A354,Transactions!$D:$D,"Sale")),"")</f>
        <v/>
      </c>
      <c r="AH354" s="12"/>
    </row>
    <row r="355" customFormat="false" ht="18" hidden="false" customHeight="true" outlineLevel="0" collapsed="false">
      <c r="A355" s="12" t="s">
        <v>757</v>
      </c>
      <c r="B355" s="12" t="s">
        <v>293</v>
      </c>
      <c r="C355" s="12" t="s">
        <v>294</v>
      </c>
      <c r="D355" s="12" t="s">
        <v>287</v>
      </c>
      <c r="E355" s="12" t="s">
        <v>258</v>
      </c>
      <c r="F355" s="12"/>
      <c r="G355" s="12" t="s">
        <v>648</v>
      </c>
      <c r="H355" s="12" t="s">
        <v>649</v>
      </c>
      <c r="I355" s="14" t="n">
        <v>13000</v>
      </c>
      <c r="J355" s="18" t="n">
        <f aca="false">IF($I355="","",ROUND($I355*Dropdowns!$K$5,2))</f>
        <v>33.8</v>
      </c>
      <c r="K355" s="19" t="n">
        <f aca="false">IF($I355="","",ROUND($I355*Dropdowns!$K$6,2))</f>
        <v>31.2</v>
      </c>
      <c r="L355" s="20" t="n">
        <f aca="false">IF($I355="","",ROUND($I355*Dropdowns!$K$7,2))</f>
        <v>2665</v>
      </c>
      <c r="M355" s="15" t="str">
        <f aca="false">IFERROR(IF($B355="","",VLOOKUP($B355,Designs!$A$3:$AP$165,27,FALSE())),"")</f>
        <v/>
      </c>
      <c r="N355" s="16" t="str">
        <f aca="false">IFERROR(IF(OR($I355="",$M355="",$M355=0),"",($I355-$M355)/$I355),"")</f>
        <v/>
      </c>
      <c r="O355" s="13" t="n">
        <v>0</v>
      </c>
      <c r="P355" s="13" t="n">
        <v>0</v>
      </c>
      <c r="Q355" s="21" t="n">
        <f aca="false">IF($O355="","",$O355-IF($P355="",0,$P355))</f>
        <v>0</v>
      </c>
      <c r="R355" s="13" t="n">
        <v>2</v>
      </c>
      <c r="S355" s="21" t="str">
        <f aca="false">IF($O355="","",IF($Q355&lt;=$R355,"⚠ REORDER","OK"))</f>
        <v>⚠ REORDER</v>
      </c>
      <c r="T355" s="13"/>
      <c r="U355" s="13"/>
      <c r="V355" s="13" t="s">
        <v>378</v>
      </c>
      <c r="W355" s="12" t="s">
        <v>379</v>
      </c>
      <c r="X355" s="13"/>
      <c r="Y355" s="13"/>
      <c r="Z355" s="12" t="s">
        <v>88</v>
      </c>
      <c r="AA355" s="12" t="s">
        <v>88</v>
      </c>
      <c r="AB355" s="12" t="s">
        <v>88</v>
      </c>
      <c r="AC355" s="12" t="s">
        <v>88</v>
      </c>
      <c r="AD355" s="12" t="s">
        <v>87</v>
      </c>
      <c r="AE355" s="21" t="n">
        <f aca="false">IFERROR(SUMIFS(Transactions!$F:$F,Transactions!$C:$C,$A355,Transactions!$D:$D,"Sale"),0)</f>
        <v>0</v>
      </c>
      <c r="AF355" s="15" t="n">
        <f aca="false">IFERROR(SUMIFS(Transactions!$H:$H,Transactions!$C:$C,$A355,Transactions!$D:$D,"Sale"),0)</f>
        <v>0</v>
      </c>
      <c r="AG355" s="22" t="str">
        <f aca="false">IFERROR(IF(maxifs(Transactions!$B:$B,Transactions!$C:$C,$A355,Transactions!$D:$D,"Sale")=0,"",maxifs(Transactions!$B:$B,Transactions!$C:$C,$A355,Transactions!$D:$D,"Sale")),"")</f>
        <v/>
      </c>
      <c r="AH355" s="12"/>
    </row>
    <row r="356" customFormat="false" ht="18" hidden="false" customHeight="true" outlineLevel="0" collapsed="false">
      <c r="A356" s="12" t="s">
        <v>758</v>
      </c>
      <c r="B356" s="12" t="s">
        <v>293</v>
      </c>
      <c r="C356" s="12" t="s">
        <v>294</v>
      </c>
      <c r="D356" s="12" t="s">
        <v>287</v>
      </c>
      <c r="E356" s="12" t="s">
        <v>258</v>
      </c>
      <c r="F356" s="12"/>
      <c r="G356" s="12" t="s">
        <v>648</v>
      </c>
      <c r="H356" s="12" t="s">
        <v>383</v>
      </c>
      <c r="I356" s="14" t="n">
        <v>13000</v>
      </c>
      <c r="J356" s="18" t="n">
        <f aca="false">IF($I356="","",ROUND($I356*Dropdowns!$K$5,2))</f>
        <v>33.8</v>
      </c>
      <c r="K356" s="19" t="n">
        <f aca="false">IF($I356="","",ROUND($I356*Dropdowns!$K$6,2))</f>
        <v>31.2</v>
      </c>
      <c r="L356" s="20" t="n">
        <f aca="false">IF($I356="","",ROUND($I356*Dropdowns!$K$7,2))</f>
        <v>2665</v>
      </c>
      <c r="M356" s="15" t="str">
        <f aca="false">IFERROR(IF($B356="","",VLOOKUP($B356,Designs!$A$3:$AP$165,27,FALSE())),"")</f>
        <v/>
      </c>
      <c r="N356" s="16" t="str">
        <f aca="false">IFERROR(IF(OR($I356="",$M356="",$M356=0),"",($I356-$M356)/$I356),"")</f>
        <v/>
      </c>
      <c r="O356" s="13" t="n">
        <v>0</v>
      </c>
      <c r="P356" s="13" t="n">
        <v>0</v>
      </c>
      <c r="Q356" s="21" t="n">
        <f aca="false">IF($O356="","",$O356-IF($P356="",0,$P356))</f>
        <v>0</v>
      </c>
      <c r="R356" s="13" t="n">
        <v>2</v>
      </c>
      <c r="S356" s="21" t="str">
        <f aca="false">IF($O356="","",IF($Q356&lt;=$R356,"⚠ REORDER","OK"))</f>
        <v>⚠ REORDER</v>
      </c>
      <c r="T356" s="13"/>
      <c r="U356" s="13"/>
      <c r="V356" s="13" t="s">
        <v>378</v>
      </c>
      <c r="W356" s="12" t="s">
        <v>379</v>
      </c>
      <c r="X356" s="13"/>
      <c r="Y356" s="13"/>
      <c r="Z356" s="12" t="s">
        <v>88</v>
      </c>
      <c r="AA356" s="12" t="s">
        <v>88</v>
      </c>
      <c r="AB356" s="12" t="s">
        <v>88</v>
      </c>
      <c r="AC356" s="12" t="s">
        <v>88</v>
      </c>
      <c r="AD356" s="12" t="s">
        <v>87</v>
      </c>
      <c r="AE356" s="21" t="n">
        <f aca="false">IFERROR(SUMIFS(Transactions!$F:$F,Transactions!$C:$C,$A356,Transactions!$D:$D,"Sale"),0)</f>
        <v>0</v>
      </c>
      <c r="AF356" s="15" t="n">
        <f aca="false">IFERROR(SUMIFS(Transactions!$H:$H,Transactions!$C:$C,$A356,Transactions!$D:$D,"Sale"),0)</f>
        <v>0</v>
      </c>
      <c r="AG356" s="22" t="str">
        <f aca="false">IFERROR(IF(maxifs(Transactions!$B:$B,Transactions!$C:$C,$A356,Transactions!$D:$D,"Sale")=0,"",maxifs(Transactions!$B:$B,Transactions!$C:$C,$A356,Transactions!$D:$D,"Sale")),"")</f>
        <v/>
      </c>
      <c r="AH356" s="12"/>
    </row>
    <row r="357" customFormat="false" ht="18" hidden="false" customHeight="true" outlineLevel="0" collapsed="false">
      <c r="A357" s="12" t="s">
        <v>759</v>
      </c>
      <c r="B357" s="12" t="s">
        <v>293</v>
      </c>
      <c r="C357" s="12" t="s">
        <v>294</v>
      </c>
      <c r="D357" s="12" t="s">
        <v>287</v>
      </c>
      <c r="E357" s="12" t="s">
        <v>258</v>
      </c>
      <c r="F357" s="12"/>
      <c r="G357" s="12" t="s">
        <v>648</v>
      </c>
      <c r="H357" s="12" t="s">
        <v>652</v>
      </c>
      <c r="I357" s="14" t="n">
        <v>13000</v>
      </c>
      <c r="J357" s="18" t="n">
        <f aca="false">IF($I357="","",ROUND($I357*Dropdowns!$K$5,2))</f>
        <v>33.8</v>
      </c>
      <c r="K357" s="19" t="n">
        <f aca="false">IF($I357="","",ROUND($I357*Dropdowns!$K$6,2))</f>
        <v>31.2</v>
      </c>
      <c r="L357" s="20" t="n">
        <f aca="false">IF($I357="","",ROUND($I357*Dropdowns!$K$7,2))</f>
        <v>2665</v>
      </c>
      <c r="M357" s="15" t="str">
        <f aca="false">IFERROR(IF($B357="","",VLOOKUP($B357,Designs!$A$3:$AP$165,27,FALSE())),"")</f>
        <v/>
      </c>
      <c r="N357" s="16" t="str">
        <f aca="false">IFERROR(IF(OR($I357="",$M357="",$M357=0),"",($I357-$M357)/$I357),"")</f>
        <v/>
      </c>
      <c r="O357" s="13" t="n">
        <v>0</v>
      </c>
      <c r="P357" s="13" t="n">
        <v>0</v>
      </c>
      <c r="Q357" s="21" t="n">
        <f aca="false">IF($O357="","",$O357-IF($P357="",0,$P357))</f>
        <v>0</v>
      </c>
      <c r="R357" s="13" t="n">
        <v>2</v>
      </c>
      <c r="S357" s="21" t="str">
        <f aca="false">IF($O357="","",IF($Q357&lt;=$R357,"⚠ REORDER","OK"))</f>
        <v>⚠ REORDER</v>
      </c>
      <c r="T357" s="13"/>
      <c r="U357" s="13"/>
      <c r="V357" s="13" t="s">
        <v>378</v>
      </c>
      <c r="W357" s="12" t="s">
        <v>379</v>
      </c>
      <c r="X357" s="13"/>
      <c r="Y357" s="13"/>
      <c r="Z357" s="12" t="s">
        <v>88</v>
      </c>
      <c r="AA357" s="12" t="s">
        <v>88</v>
      </c>
      <c r="AB357" s="12" t="s">
        <v>88</v>
      </c>
      <c r="AC357" s="12" t="s">
        <v>88</v>
      </c>
      <c r="AD357" s="12" t="s">
        <v>87</v>
      </c>
      <c r="AE357" s="21" t="n">
        <f aca="false">IFERROR(SUMIFS(Transactions!$F:$F,Transactions!$C:$C,$A357,Transactions!$D:$D,"Sale"),0)</f>
        <v>0</v>
      </c>
      <c r="AF357" s="15" t="n">
        <f aca="false">IFERROR(SUMIFS(Transactions!$H:$H,Transactions!$C:$C,$A357,Transactions!$D:$D,"Sale"),0)</f>
        <v>0</v>
      </c>
      <c r="AG357" s="22" t="str">
        <f aca="false">IFERROR(IF(maxifs(Transactions!$B:$B,Transactions!$C:$C,$A357,Transactions!$D:$D,"Sale")=0,"",maxifs(Transactions!$B:$B,Transactions!$C:$C,$A357,Transactions!$D:$D,"Sale")),"")</f>
        <v/>
      </c>
      <c r="AH357" s="12"/>
    </row>
    <row r="358" customFormat="false" ht="18" hidden="false" customHeight="true" outlineLevel="0" collapsed="false">
      <c r="A358" s="12" t="s">
        <v>760</v>
      </c>
      <c r="B358" s="12" t="s">
        <v>293</v>
      </c>
      <c r="C358" s="12" t="s">
        <v>294</v>
      </c>
      <c r="D358" s="12" t="s">
        <v>287</v>
      </c>
      <c r="E358" s="12" t="s">
        <v>258</v>
      </c>
      <c r="F358" s="12"/>
      <c r="G358" s="12" t="s">
        <v>648</v>
      </c>
      <c r="H358" s="12" t="s">
        <v>381</v>
      </c>
      <c r="I358" s="14" t="n">
        <v>13000</v>
      </c>
      <c r="J358" s="18" t="n">
        <f aca="false">IF($I358="","",ROUND($I358*Dropdowns!$K$5,2))</f>
        <v>33.8</v>
      </c>
      <c r="K358" s="19" t="n">
        <f aca="false">IF($I358="","",ROUND($I358*Dropdowns!$K$6,2))</f>
        <v>31.2</v>
      </c>
      <c r="L358" s="20" t="n">
        <f aca="false">IF($I358="","",ROUND($I358*Dropdowns!$K$7,2))</f>
        <v>2665</v>
      </c>
      <c r="M358" s="15" t="str">
        <f aca="false">IFERROR(IF($B358="","",VLOOKUP($B358,Designs!$A$3:$AP$165,27,FALSE())),"")</f>
        <v/>
      </c>
      <c r="N358" s="16" t="str">
        <f aca="false">IFERROR(IF(OR($I358="",$M358="",$M358=0),"",($I358-$M358)/$I358),"")</f>
        <v/>
      </c>
      <c r="O358" s="13" t="n">
        <v>0</v>
      </c>
      <c r="P358" s="13" t="n">
        <v>0</v>
      </c>
      <c r="Q358" s="21" t="n">
        <f aca="false">IF($O358="","",$O358-IF($P358="",0,$P358))</f>
        <v>0</v>
      </c>
      <c r="R358" s="13" t="n">
        <v>2</v>
      </c>
      <c r="S358" s="21" t="str">
        <f aca="false">IF($O358="","",IF($Q358&lt;=$R358,"⚠ REORDER","OK"))</f>
        <v>⚠ REORDER</v>
      </c>
      <c r="T358" s="13"/>
      <c r="U358" s="13"/>
      <c r="V358" s="13" t="s">
        <v>378</v>
      </c>
      <c r="W358" s="12" t="s">
        <v>379</v>
      </c>
      <c r="X358" s="13"/>
      <c r="Y358" s="13"/>
      <c r="Z358" s="12" t="s">
        <v>88</v>
      </c>
      <c r="AA358" s="12" t="s">
        <v>88</v>
      </c>
      <c r="AB358" s="12" t="s">
        <v>88</v>
      </c>
      <c r="AC358" s="12" t="s">
        <v>88</v>
      </c>
      <c r="AD358" s="12" t="s">
        <v>87</v>
      </c>
      <c r="AE358" s="21" t="n">
        <f aca="false">IFERROR(SUMIFS(Transactions!$F:$F,Transactions!$C:$C,$A358,Transactions!$D:$D,"Sale"),0)</f>
        <v>0</v>
      </c>
      <c r="AF358" s="15" t="n">
        <f aca="false">IFERROR(SUMIFS(Transactions!$H:$H,Transactions!$C:$C,$A358,Transactions!$D:$D,"Sale"),0)</f>
        <v>0</v>
      </c>
      <c r="AG358" s="22" t="str">
        <f aca="false">IFERROR(IF(maxifs(Transactions!$B:$B,Transactions!$C:$C,$A358,Transactions!$D:$D,"Sale")=0,"",maxifs(Transactions!$B:$B,Transactions!$C:$C,$A358,Transactions!$D:$D,"Sale")),"")</f>
        <v/>
      </c>
      <c r="AH358" s="12"/>
    </row>
    <row r="359" customFormat="false" ht="18" hidden="false" customHeight="true" outlineLevel="0" collapsed="false">
      <c r="A359" s="12" t="s">
        <v>761</v>
      </c>
      <c r="B359" s="12" t="s">
        <v>293</v>
      </c>
      <c r="C359" s="12" t="s">
        <v>294</v>
      </c>
      <c r="D359" s="12" t="s">
        <v>287</v>
      </c>
      <c r="E359" s="12" t="s">
        <v>258</v>
      </c>
      <c r="F359" s="12"/>
      <c r="G359" s="12" t="s">
        <v>648</v>
      </c>
      <c r="H359" s="12" t="s">
        <v>655</v>
      </c>
      <c r="I359" s="14" t="n">
        <v>13000</v>
      </c>
      <c r="J359" s="18" t="n">
        <f aca="false">IF($I359="","",ROUND($I359*Dropdowns!$K$5,2))</f>
        <v>33.8</v>
      </c>
      <c r="K359" s="19" t="n">
        <f aca="false">IF($I359="","",ROUND($I359*Dropdowns!$K$6,2))</f>
        <v>31.2</v>
      </c>
      <c r="L359" s="20" t="n">
        <f aca="false">IF($I359="","",ROUND($I359*Dropdowns!$K$7,2))</f>
        <v>2665</v>
      </c>
      <c r="M359" s="15" t="str">
        <f aca="false">IFERROR(IF($B359="","",VLOOKUP($B359,Designs!$A$3:$AP$165,27,FALSE())),"")</f>
        <v/>
      </c>
      <c r="N359" s="16" t="str">
        <f aca="false">IFERROR(IF(OR($I359="",$M359="",$M359=0),"",($I359-$M359)/$I359),"")</f>
        <v/>
      </c>
      <c r="O359" s="13" t="n">
        <v>0</v>
      </c>
      <c r="P359" s="13" t="n">
        <v>0</v>
      </c>
      <c r="Q359" s="21" t="n">
        <f aca="false">IF($O359="","",$O359-IF($P359="",0,$P359))</f>
        <v>0</v>
      </c>
      <c r="R359" s="13" t="n">
        <v>2</v>
      </c>
      <c r="S359" s="21" t="str">
        <f aca="false">IF($O359="","",IF($Q359&lt;=$R359,"⚠ REORDER","OK"))</f>
        <v>⚠ REORDER</v>
      </c>
      <c r="T359" s="13"/>
      <c r="U359" s="13"/>
      <c r="V359" s="13" t="s">
        <v>378</v>
      </c>
      <c r="W359" s="12" t="s">
        <v>379</v>
      </c>
      <c r="X359" s="13"/>
      <c r="Y359" s="13"/>
      <c r="Z359" s="12" t="s">
        <v>88</v>
      </c>
      <c r="AA359" s="12" t="s">
        <v>88</v>
      </c>
      <c r="AB359" s="12" t="s">
        <v>88</v>
      </c>
      <c r="AC359" s="12" t="s">
        <v>88</v>
      </c>
      <c r="AD359" s="12" t="s">
        <v>87</v>
      </c>
      <c r="AE359" s="21" t="n">
        <f aca="false">IFERROR(SUMIFS(Transactions!$F:$F,Transactions!$C:$C,$A359,Transactions!$D:$D,"Sale"),0)</f>
        <v>0</v>
      </c>
      <c r="AF359" s="15" t="n">
        <f aca="false">IFERROR(SUMIFS(Transactions!$H:$H,Transactions!$C:$C,$A359,Transactions!$D:$D,"Sale"),0)</f>
        <v>0</v>
      </c>
      <c r="AG359" s="22" t="str">
        <f aca="false">IFERROR(IF(maxifs(Transactions!$B:$B,Transactions!$C:$C,$A359,Transactions!$D:$D,"Sale")=0,"",maxifs(Transactions!$B:$B,Transactions!$C:$C,$A359,Transactions!$D:$D,"Sale")),"")</f>
        <v/>
      </c>
      <c r="AH359" s="12"/>
    </row>
    <row r="360" customFormat="false" ht="18" hidden="false" customHeight="true" outlineLevel="0" collapsed="false">
      <c r="A360" s="12" t="s">
        <v>762</v>
      </c>
      <c r="B360" s="12" t="s">
        <v>293</v>
      </c>
      <c r="C360" s="12" t="s">
        <v>294</v>
      </c>
      <c r="D360" s="12" t="s">
        <v>287</v>
      </c>
      <c r="E360" s="12" t="s">
        <v>258</v>
      </c>
      <c r="F360" s="12"/>
      <c r="G360" s="12" t="s">
        <v>648</v>
      </c>
      <c r="H360" s="12" t="s">
        <v>763</v>
      </c>
      <c r="I360" s="14" t="n">
        <v>13000</v>
      </c>
      <c r="J360" s="18" t="n">
        <f aca="false">IF($I360="","",ROUND($I360*Dropdowns!$K$5,2))</f>
        <v>33.8</v>
      </c>
      <c r="K360" s="19" t="n">
        <f aca="false">IF($I360="","",ROUND($I360*Dropdowns!$K$6,2))</f>
        <v>31.2</v>
      </c>
      <c r="L360" s="20" t="n">
        <f aca="false">IF($I360="","",ROUND($I360*Dropdowns!$K$7,2))</f>
        <v>2665</v>
      </c>
      <c r="M360" s="15" t="str">
        <f aca="false">IFERROR(IF($B360="","",VLOOKUP($B360,Designs!$A$3:$AP$165,27,FALSE())),"")</f>
        <v/>
      </c>
      <c r="N360" s="16" t="str">
        <f aca="false">IFERROR(IF(OR($I360="",$M360="",$M360=0),"",($I360-$M360)/$I360),"")</f>
        <v/>
      </c>
      <c r="O360" s="13" t="n">
        <v>0</v>
      </c>
      <c r="P360" s="13" t="n">
        <v>0</v>
      </c>
      <c r="Q360" s="21" t="n">
        <f aca="false">IF($O360="","",$O360-IF($P360="",0,$P360))</f>
        <v>0</v>
      </c>
      <c r="R360" s="13" t="n">
        <v>2</v>
      </c>
      <c r="S360" s="21" t="str">
        <f aca="false">IF($O360="","",IF($Q360&lt;=$R360,"⚠ REORDER","OK"))</f>
        <v>⚠ REORDER</v>
      </c>
      <c r="T360" s="13"/>
      <c r="U360" s="13"/>
      <c r="V360" s="13" t="s">
        <v>378</v>
      </c>
      <c r="W360" s="12" t="s">
        <v>379</v>
      </c>
      <c r="X360" s="13"/>
      <c r="Y360" s="13"/>
      <c r="Z360" s="12" t="s">
        <v>88</v>
      </c>
      <c r="AA360" s="12" t="s">
        <v>88</v>
      </c>
      <c r="AB360" s="12" t="s">
        <v>88</v>
      </c>
      <c r="AC360" s="12" t="s">
        <v>88</v>
      </c>
      <c r="AD360" s="12" t="s">
        <v>87</v>
      </c>
      <c r="AE360" s="21" t="n">
        <f aca="false">IFERROR(SUMIFS(Transactions!$F:$F,Transactions!$C:$C,$A360,Transactions!$D:$D,"Sale"),0)</f>
        <v>0</v>
      </c>
      <c r="AF360" s="15" t="n">
        <f aca="false">IFERROR(SUMIFS(Transactions!$H:$H,Transactions!$C:$C,$A360,Transactions!$D:$D,"Sale"),0)</f>
        <v>0</v>
      </c>
      <c r="AG360" s="22" t="str">
        <f aca="false">IFERROR(IF(maxifs(Transactions!$B:$B,Transactions!$C:$C,$A360,Transactions!$D:$D,"Sale")=0,"",maxifs(Transactions!$B:$B,Transactions!$C:$C,$A360,Transactions!$D:$D,"Sale")),"")</f>
        <v/>
      </c>
      <c r="AH360" s="12"/>
    </row>
    <row r="361" customFormat="false" ht="18" hidden="false" customHeight="true" outlineLevel="0" collapsed="false">
      <c r="A361" s="12" t="s">
        <v>764</v>
      </c>
      <c r="B361" s="12" t="s">
        <v>293</v>
      </c>
      <c r="C361" s="12" t="s">
        <v>294</v>
      </c>
      <c r="D361" s="12" t="s">
        <v>287</v>
      </c>
      <c r="E361" s="12" t="s">
        <v>258</v>
      </c>
      <c r="F361" s="12"/>
      <c r="G361" s="12" t="s">
        <v>648</v>
      </c>
      <c r="H361" s="12" t="s">
        <v>660</v>
      </c>
      <c r="I361" s="14" t="n">
        <v>13000</v>
      </c>
      <c r="J361" s="18" t="n">
        <f aca="false">IF($I361="","",ROUND($I361*Dropdowns!$K$5,2))</f>
        <v>33.8</v>
      </c>
      <c r="K361" s="19" t="n">
        <f aca="false">IF($I361="","",ROUND($I361*Dropdowns!$K$6,2))</f>
        <v>31.2</v>
      </c>
      <c r="L361" s="20" t="n">
        <f aca="false">IF($I361="","",ROUND($I361*Dropdowns!$K$7,2))</f>
        <v>2665</v>
      </c>
      <c r="M361" s="15" t="str">
        <f aca="false">IFERROR(IF($B361="","",VLOOKUP($B361,Designs!$A$3:$AP$165,27,FALSE())),"")</f>
        <v/>
      </c>
      <c r="N361" s="16" t="str">
        <f aca="false">IFERROR(IF(OR($I361="",$M361="",$M361=0),"",($I361-$M361)/$I361),"")</f>
        <v/>
      </c>
      <c r="O361" s="13" t="n">
        <v>0</v>
      </c>
      <c r="P361" s="13" t="n">
        <v>0</v>
      </c>
      <c r="Q361" s="21" t="n">
        <f aca="false">IF($O361="","",$O361-IF($P361="",0,$P361))</f>
        <v>0</v>
      </c>
      <c r="R361" s="13" t="n">
        <v>2</v>
      </c>
      <c r="S361" s="21" t="str">
        <f aca="false">IF($O361="","",IF($Q361&lt;=$R361,"⚠ REORDER","OK"))</f>
        <v>⚠ REORDER</v>
      </c>
      <c r="T361" s="13"/>
      <c r="U361" s="13"/>
      <c r="V361" s="13" t="s">
        <v>378</v>
      </c>
      <c r="W361" s="12" t="s">
        <v>379</v>
      </c>
      <c r="X361" s="13"/>
      <c r="Y361" s="13"/>
      <c r="Z361" s="12" t="s">
        <v>88</v>
      </c>
      <c r="AA361" s="12" t="s">
        <v>88</v>
      </c>
      <c r="AB361" s="12" t="s">
        <v>88</v>
      </c>
      <c r="AC361" s="12" t="s">
        <v>88</v>
      </c>
      <c r="AD361" s="12" t="s">
        <v>87</v>
      </c>
      <c r="AE361" s="21" t="n">
        <f aca="false">IFERROR(SUMIFS(Transactions!$F:$F,Transactions!$C:$C,$A361,Transactions!$D:$D,"Sale"),0)</f>
        <v>0</v>
      </c>
      <c r="AF361" s="15" t="n">
        <f aca="false">IFERROR(SUMIFS(Transactions!$H:$H,Transactions!$C:$C,$A361,Transactions!$D:$D,"Sale"),0)</f>
        <v>0</v>
      </c>
      <c r="AG361" s="22" t="str">
        <f aca="false">IFERROR(IF(maxifs(Transactions!$B:$B,Transactions!$C:$C,$A361,Transactions!$D:$D,"Sale")=0,"",maxifs(Transactions!$B:$B,Transactions!$C:$C,$A361,Transactions!$D:$D,"Sale")),"")</f>
        <v/>
      </c>
      <c r="AH361" s="12"/>
    </row>
    <row r="362" customFormat="false" ht="18" hidden="false" customHeight="true" outlineLevel="0" collapsed="false">
      <c r="A362" s="12" t="s">
        <v>765</v>
      </c>
      <c r="B362" s="12" t="s">
        <v>295</v>
      </c>
      <c r="C362" s="12" t="s">
        <v>296</v>
      </c>
      <c r="D362" s="12" t="s">
        <v>297</v>
      </c>
      <c r="E362" s="12" t="s">
        <v>246</v>
      </c>
      <c r="F362" s="12"/>
      <c r="G362" s="12"/>
      <c r="H362" s="12" t="s">
        <v>660</v>
      </c>
      <c r="I362" s="14" t="n">
        <v>20000</v>
      </c>
      <c r="J362" s="18" t="n">
        <f aca="false">IF($I362="","",ROUND($I362*Dropdowns!$K$5,2))</f>
        <v>52</v>
      </c>
      <c r="K362" s="19" t="n">
        <f aca="false">IF($I362="","",ROUND($I362*Dropdowns!$K$6,2))</f>
        <v>48</v>
      </c>
      <c r="L362" s="20" t="n">
        <f aca="false">IF($I362="","",ROUND($I362*Dropdowns!$K$7,2))</f>
        <v>4100</v>
      </c>
      <c r="M362" s="15" t="str">
        <f aca="false">IFERROR(IF($B362="","",VLOOKUP($B362,Designs!$A$3:$AP$165,27,FALSE())),"")</f>
        <v/>
      </c>
      <c r="N362" s="16" t="str">
        <f aca="false">IFERROR(IF(OR($I362="",$M362="",$M362=0),"",($I362-$M362)/$I362),"")</f>
        <v/>
      </c>
      <c r="O362" s="13" t="n">
        <v>0</v>
      </c>
      <c r="P362" s="13" t="n">
        <v>0</v>
      </c>
      <c r="Q362" s="21" t="n">
        <f aca="false">IF($O362="","",$O362-IF($P362="",0,$P362))</f>
        <v>0</v>
      </c>
      <c r="R362" s="13" t="n">
        <v>2</v>
      </c>
      <c r="S362" s="21" t="str">
        <f aca="false">IF($O362="","",IF($Q362&lt;=$R362,"⚠ REORDER","OK"))</f>
        <v>⚠ REORDER</v>
      </c>
      <c r="T362" s="13"/>
      <c r="U362" s="13"/>
      <c r="V362" s="13" t="s">
        <v>378</v>
      </c>
      <c r="W362" s="12" t="s">
        <v>379</v>
      </c>
      <c r="X362" s="13"/>
      <c r="Y362" s="13"/>
      <c r="Z362" s="12" t="s">
        <v>88</v>
      </c>
      <c r="AA362" s="12" t="s">
        <v>88</v>
      </c>
      <c r="AB362" s="12" t="s">
        <v>88</v>
      </c>
      <c r="AC362" s="12" t="s">
        <v>88</v>
      </c>
      <c r="AD362" s="12" t="s">
        <v>87</v>
      </c>
      <c r="AE362" s="21" t="n">
        <f aca="false">IFERROR(SUMIFS(Transactions!$F:$F,Transactions!$C:$C,$A362,Transactions!$D:$D,"Sale"),0)</f>
        <v>0</v>
      </c>
      <c r="AF362" s="15" t="n">
        <f aca="false">IFERROR(SUMIFS(Transactions!$H:$H,Transactions!$C:$C,$A362,Transactions!$D:$D,"Sale"),0)</f>
        <v>0</v>
      </c>
      <c r="AG362" s="22" t="str">
        <f aca="false">IFERROR(IF(maxifs(Transactions!$B:$B,Transactions!$C:$C,$A362,Transactions!$D:$D,"Sale")=0,"",maxifs(Transactions!$B:$B,Transactions!$C:$C,$A362,Transactions!$D:$D,"Sale")),"")</f>
        <v/>
      </c>
      <c r="AH362" s="12"/>
    </row>
    <row r="363" customFormat="false" ht="18" hidden="false" customHeight="true" outlineLevel="0" collapsed="false">
      <c r="A363" s="12" t="s">
        <v>766</v>
      </c>
      <c r="B363" s="12" t="s">
        <v>295</v>
      </c>
      <c r="C363" s="12" t="s">
        <v>296</v>
      </c>
      <c r="D363" s="12" t="s">
        <v>297</v>
      </c>
      <c r="E363" s="12" t="s">
        <v>246</v>
      </c>
      <c r="F363" s="12"/>
      <c r="G363" s="12"/>
      <c r="H363" s="12" t="s">
        <v>662</v>
      </c>
      <c r="I363" s="14" t="n">
        <v>20000</v>
      </c>
      <c r="J363" s="18" t="n">
        <f aca="false">IF($I363="","",ROUND($I363*Dropdowns!$K$5,2))</f>
        <v>52</v>
      </c>
      <c r="K363" s="19" t="n">
        <f aca="false">IF($I363="","",ROUND($I363*Dropdowns!$K$6,2))</f>
        <v>48</v>
      </c>
      <c r="L363" s="20" t="n">
        <f aca="false">IF($I363="","",ROUND($I363*Dropdowns!$K$7,2))</f>
        <v>4100</v>
      </c>
      <c r="M363" s="15" t="str">
        <f aca="false">IFERROR(IF($B363="","",VLOOKUP($B363,Designs!$A$3:$AP$165,27,FALSE())),"")</f>
        <v/>
      </c>
      <c r="N363" s="16" t="str">
        <f aca="false">IFERROR(IF(OR($I363="",$M363="",$M363=0),"",($I363-$M363)/$I363),"")</f>
        <v/>
      </c>
      <c r="O363" s="13" t="n">
        <v>0</v>
      </c>
      <c r="P363" s="13" t="n">
        <v>0</v>
      </c>
      <c r="Q363" s="21" t="n">
        <f aca="false">IF($O363="","",$O363-IF($P363="",0,$P363))</f>
        <v>0</v>
      </c>
      <c r="R363" s="13" t="n">
        <v>2</v>
      </c>
      <c r="S363" s="21" t="str">
        <f aca="false">IF($O363="","",IF($Q363&lt;=$R363,"⚠ REORDER","OK"))</f>
        <v>⚠ REORDER</v>
      </c>
      <c r="T363" s="13"/>
      <c r="U363" s="13"/>
      <c r="V363" s="13" t="s">
        <v>378</v>
      </c>
      <c r="W363" s="12" t="s">
        <v>379</v>
      </c>
      <c r="X363" s="13"/>
      <c r="Y363" s="13"/>
      <c r="Z363" s="12" t="s">
        <v>88</v>
      </c>
      <c r="AA363" s="12" t="s">
        <v>88</v>
      </c>
      <c r="AB363" s="12" t="s">
        <v>88</v>
      </c>
      <c r="AC363" s="12" t="s">
        <v>88</v>
      </c>
      <c r="AD363" s="12" t="s">
        <v>87</v>
      </c>
      <c r="AE363" s="21" t="n">
        <f aca="false">IFERROR(SUMIFS(Transactions!$F:$F,Transactions!$C:$C,$A363,Transactions!$D:$D,"Sale"),0)</f>
        <v>0</v>
      </c>
      <c r="AF363" s="15" t="n">
        <f aca="false">IFERROR(SUMIFS(Transactions!$H:$H,Transactions!$C:$C,$A363,Transactions!$D:$D,"Sale"),0)</f>
        <v>0</v>
      </c>
      <c r="AG363" s="22" t="str">
        <f aca="false">IFERROR(IF(maxifs(Transactions!$B:$B,Transactions!$C:$C,$A363,Transactions!$D:$D,"Sale")=0,"",maxifs(Transactions!$B:$B,Transactions!$C:$C,$A363,Transactions!$D:$D,"Sale")),"")</f>
        <v/>
      </c>
      <c r="AH363" s="12"/>
    </row>
    <row r="364" customFormat="false" ht="18" hidden="false" customHeight="true" outlineLevel="0" collapsed="false">
      <c r="A364" s="12" t="s">
        <v>767</v>
      </c>
      <c r="B364" s="12" t="s">
        <v>295</v>
      </c>
      <c r="C364" s="12" t="s">
        <v>296</v>
      </c>
      <c r="D364" s="12" t="s">
        <v>297</v>
      </c>
      <c r="E364" s="12" t="s">
        <v>246</v>
      </c>
      <c r="F364" s="12"/>
      <c r="G364" s="12"/>
      <c r="H364" s="12" t="s">
        <v>768</v>
      </c>
      <c r="I364" s="14" t="n">
        <v>20000</v>
      </c>
      <c r="J364" s="18" t="n">
        <f aca="false">IF($I364="","",ROUND($I364*Dropdowns!$K$5,2))</f>
        <v>52</v>
      </c>
      <c r="K364" s="19" t="n">
        <f aca="false">IF($I364="","",ROUND($I364*Dropdowns!$K$6,2))</f>
        <v>48</v>
      </c>
      <c r="L364" s="20" t="n">
        <f aca="false">IF($I364="","",ROUND($I364*Dropdowns!$K$7,2))</f>
        <v>4100</v>
      </c>
      <c r="M364" s="15" t="str">
        <f aca="false">IFERROR(IF($B364="","",VLOOKUP($B364,Designs!$A$3:$AP$165,27,FALSE())),"")</f>
        <v/>
      </c>
      <c r="N364" s="16" t="str">
        <f aca="false">IFERROR(IF(OR($I364="",$M364="",$M364=0),"",($I364-$M364)/$I364),"")</f>
        <v/>
      </c>
      <c r="O364" s="13" t="n">
        <v>0</v>
      </c>
      <c r="P364" s="13" t="n">
        <v>0</v>
      </c>
      <c r="Q364" s="21" t="n">
        <f aca="false">IF($O364="","",$O364-IF($P364="",0,$P364))</f>
        <v>0</v>
      </c>
      <c r="R364" s="13" t="n">
        <v>2</v>
      </c>
      <c r="S364" s="21" t="str">
        <f aca="false">IF($O364="","",IF($Q364&lt;=$R364,"⚠ REORDER","OK"))</f>
        <v>⚠ REORDER</v>
      </c>
      <c r="T364" s="13"/>
      <c r="U364" s="13"/>
      <c r="V364" s="13" t="s">
        <v>378</v>
      </c>
      <c r="W364" s="12" t="s">
        <v>379</v>
      </c>
      <c r="X364" s="13"/>
      <c r="Y364" s="13"/>
      <c r="Z364" s="12" t="s">
        <v>88</v>
      </c>
      <c r="AA364" s="12" t="s">
        <v>88</v>
      </c>
      <c r="AB364" s="12" t="s">
        <v>88</v>
      </c>
      <c r="AC364" s="12" t="s">
        <v>88</v>
      </c>
      <c r="AD364" s="12" t="s">
        <v>87</v>
      </c>
      <c r="AE364" s="21" t="n">
        <f aca="false">IFERROR(SUMIFS(Transactions!$F:$F,Transactions!$C:$C,$A364,Transactions!$D:$D,"Sale"),0)</f>
        <v>0</v>
      </c>
      <c r="AF364" s="15" t="n">
        <f aca="false">IFERROR(SUMIFS(Transactions!$H:$H,Transactions!$C:$C,$A364,Transactions!$D:$D,"Sale"),0)</f>
        <v>0</v>
      </c>
      <c r="AG364" s="22" t="str">
        <f aca="false">IFERROR(IF(maxifs(Transactions!$B:$B,Transactions!$C:$C,$A364,Transactions!$D:$D,"Sale")=0,"",maxifs(Transactions!$B:$B,Transactions!$C:$C,$A364,Transactions!$D:$D,"Sale")),"")</f>
        <v/>
      </c>
      <c r="AH364" s="12"/>
    </row>
    <row r="365" customFormat="false" ht="18" hidden="false" customHeight="true" outlineLevel="0" collapsed="false">
      <c r="A365" s="12" t="s">
        <v>769</v>
      </c>
      <c r="B365" s="12" t="s">
        <v>295</v>
      </c>
      <c r="C365" s="12" t="s">
        <v>296</v>
      </c>
      <c r="D365" s="12" t="s">
        <v>297</v>
      </c>
      <c r="E365" s="12" t="s">
        <v>246</v>
      </c>
      <c r="F365" s="12"/>
      <c r="G365" s="12"/>
      <c r="H365" s="12" t="s">
        <v>770</v>
      </c>
      <c r="I365" s="14" t="n">
        <v>20000</v>
      </c>
      <c r="J365" s="18" t="n">
        <f aca="false">IF($I365="","",ROUND($I365*Dropdowns!$K$5,2))</f>
        <v>52</v>
      </c>
      <c r="K365" s="19" t="n">
        <f aca="false">IF($I365="","",ROUND($I365*Dropdowns!$K$6,2))</f>
        <v>48</v>
      </c>
      <c r="L365" s="20" t="n">
        <f aca="false">IF($I365="","",ROUND($I365*Dropdowns!$K$7,2))</f>
        <v>4100</v>
      </c>
      <c r="M365" s="15" t="str">
        <f aca="false">IFERROR(IF($B365="","",VLOOKUP($B365,Designs!$A$3:$AP$165,27,FALSE())),"")</f>
        <v/>
      </c>
      <c r="N365" s="16" t="str">
        <f aca="false">IFERROR(IF(OR($I365="",$M365="",$M365=0),"",($I365-$M365)/$I365),"")</f>
        <v/>
      </c>
      <c r="O365" s="13" t="n">
        <v>0</v>
      </c>
      <c r="P365" s="13" t="n">
        <v>0</v>
      </c>
      <c r="Q365" s="21" t="n">
        <f aca="false">IF($O365="","",$O365-IF($P365="",0,$P365))</f>
        <v>0</v>
      </c>
      <c r="R365" s="13" t="n">
        <v>2</v>
      </c>
      <c r="S365" s="21" t="str">
        <f aca="false">IF($O365="","",IF($Q365&lt;=$R365,"⚠ REORDER","OK"))</f>
        <v>⚠ REORDER</v>
      </c>
      <c r="T365" s="13"/>
      <c r="U365" s="13"/>
      <c r="V365" s="13" t="s">
        <v>378</v>
      </c>
      <c r="W365" s="12" t="s">
        <v>379</v>
      </c>
      <c r="X365" s="13"/>
      <c r="Y365" s="13"/>
      <c r="Z365" s="12" t="s">
        <v>88</v>
      </c>
      <c r="AA365" s="12" t="s">
        <v>88</v>
      </c>
      <c r="AB365" s="12" t="s">
        <v>88</v>
      </c>
      <c r="AC365" s="12" t="s">
        <v>88</v>
      </c>
      <c r="AD365" s="12" t="s">
        <v>87</v>
      </c>
      <c r="AE365" s="21" t="n">
        <f aca="false">IFERROR(SUMIFS(Transactions!$F:$F,Transactions!$C:$C,$A365,Transactions!$D:$D,"Sale"),0)</f>
        <v>0</v>
      </c>
      <c r="AF365" s="15" t="n">
        <f aca="false">IFERROR(SUMIFS(Transactions!$H:$H,Transactions!$C:$C,$A365,Transactions!$D:$D,"Sale"),0)</f>
        <v>0</v>
      </c>
      <c r="AG365" s="22" t="str">
        <f aca="false">IFERROR(IF(maxifs(Transactions!$B:$B,Transactions!$C:$C,$A365,Transactions!$D:$D,"Sale")=0,"",maxifs(Transactions!$B:$B,Transactions!$C:$C,$A365,Transactions!$D:$D,"Sale")),"")</f>
        <v/>
      </c>
      <c r="AH365" s="12"/>
    </row>
    <row r="366" customFormat="false" ht="18" hidden="false" customHeight="true" outlineLevel="0" collapsed="false">
      <c r="A366" s="12" t="s">
        <v>771</v>
      </c>
      <c r="B366" s="12" t="s">
        <v>298</v>
      </c>
      <c r="C366" s="12" t="s">
        <v>299</v>
      </c>
      <c r="D366" s="12" t="s">
        <v>297</v>
      </c>
      <c r="E366" s="12" t="s">
        <v>252</v>
      </c>
      <c r="F366" s="12"/>
      <c r="G366" s="12"/>
      <c r="H366" s="12" t="s">
        <v>660</v>
      </c>
      <c r="I366" s="14" t="n">
        <v>20000</v>
      </c>
      <c r="J366" s="18" t="n">
        <f aca="false">IF($I366="","",ROUND($I366*Dropdowns!$K$5,2))</f>
        <v>52</v>
      </c>
      <c r="K366" s="19" t="n">
        <f aca="false">IF($I366="","",ROUND($I366*Dropdowns!$K$6,2))</f>
        <v>48</v>
      </c>
      <c r="L366" s="20" t="n">
        <f aca="false">IF($I366="","",ROUND($I366*Dropdowns!$K$7,2))</f>
        <v>4100</v>
      </c>
      <c r="M366" s="15" t="str">
        <f aca="false">IFERROR(IF($B366="","",VLOOKUP($B366,Designs!$A$3:$AP$165,27,FALSE())),"")</f>
        <v/>
      </c>
      <c r="N366" s="16" t="str">
        <f aca="false">IFERROR(IF(OR($I366="",$M366="",$M366=0),"",($I366-$M366)/$I366),"")</f>
        <v/>
      </c>
      <c r="O366" s="13" t="n">
        <v>0</v>
      </c>
      <c r="P366" s="13" t="n">
        <v>0</v>
      </c>
      <c r="Q366" s="21" t="n">
        <f aca="false">IF($O366="","",$O366-IF($P366="",0,$P366))</f>
        <v>0</v>
      </c>
      <c r="R366" s="13" t="n">
        <v>2</v>
      </c>
      <c r="S366" s="21" t="str">
        <f aca="false">IF($O366="","",IF($Q366&lt;=$R366,"⚠ REORDER","OK"))</f>
        <v>⚠ REORDER</v>
      </c>
      <c r="T366" s="13"/>
      <c r="U366" s="13"/>
      <c r="V366" s="13" t="s">
        <v>378</v>
      </c>
      <c r="W366" s="12" t="s">
        <v>379</v>
      </c>
      <c r="X366" s="13"/>
      <c r="Y366" s="13"/>
      <c r="Z366" s="12" t="s">
        <v>88</v>
      </c>
      <c r="AA366" s="12" t="s">
        <v>88</v>
      </c>
      <c r="AB366" s="12" t="s">
        <v>88</v>
      </c>
      <c r="AC366" s="12" t="s">
        <v>88</v>
      </c>
      <c r="AD366" s="12" t="s">
        <v>87</v>
      </c>
      <c r="AE366" s="21" t="n">
        <f aca="false">IFERROR(SUMIFS(Transactions!$F:$F,Transactions!$C:$C,$A366,Transactions!$D:$D,"Sale"),0)</f>
        <v>0</v>
      </c>
      <c r="AF366" s="15" t="n">
        <f aca="false">IFERROR(SUMIFS(Transactions!$H:$H,Transactions!$C:$C,$A366,Transactions!$D:$D,"Sale"),0)</f>
        <v>0</v>
      </c>
      <c r="AG366" s="22" t="str">
        <f aca="false">IFERROR(IF(maxifs(Transactions!$B:$B,Transactions!$C:$C,$A366,Transactions!$D:$D,"Sale")=0,"",maxifs(Transactions!$B:$B,Transactions!$C:$C,$A366,Transactions!$D:$D,"Sale")),"")</f>
        <v/>
      </c>
      <c r="AH366" s="12"/>
    </row>
    <row r="367" customFormat="false" ht="18" hidden="false" customHeight="true" outlineLevel="0" collapsed="false">
      <c r="A367" s="12" t="s">
        <v>772</v>
      </c>
      <c r="B367" s="12" t="s">
        <v>298</v>
      </c>
      <c r="C367" s="12" t="s">
        <v>299</v>
      </c>
      <c r="D367" s="12" t="s">
        <v>297</v>
      </c>
      <c r="E367" s="12" t="s">
        <v>252</v>
      </c>
      <c r="F367" s="12"/>
      <c r="G367" s="12"/>
      <c r="H367" s="12" t="s">
        <v>662</v>
      </c>
      <c r="I367" s="14" t="n">
        <v>20000</v>
      </c>
      <c r="J367" s="18" t="n">
        <f aca="false">IF($I367="","",ROUND($I367*Dropdowns!$K$5,2))</f>
        <v>52</v>
      </c>
      <c r="K367" s="19" t="n">
        <f aca="false">IF($I367="","",ROUND($I367*Dropdowns!$K$6,2))</f>
        <v>48</v>
      </c>
      <c r="L367" s="20" t="n">
        <f aca="false">IF($I367="","",ROUND($I367*Dropdowns!$K$7,2))</f>
        <v>4100</v>
      </c>
      <c r="M367" s="15" t="str">
        <f aca="false">IFERROR(IF($B367="","",VLOOKUP($B367,Designs!$A$3:$AP$165,27,FALSE())),"")</f>
        <v/>
      </c>
      <c r="N367" s="16" t="str">
        <f aca="false">IFERROR(IF(OR($I367="",$M367="",$M367=0),"",($I367-$M367)/$I367),"")</f>
        <v/>
      </c>
      <c r="O367" s="13" t="n">
        <v>0</v>
      </c>
      <c r="P367" s="13" t="n">
        <v>0</v>
      </c>
      <c r="Q367" s="21" t="n">
        <f aca="false">IF($O367="","",$O367-IF($P367="",0,$P367))</f>
        <v>0</v>
      </c>
      <c r="R367" s="13" t="n">
        <v>2</v>
      </c>
      <c r="S367" s="21" t="str">
        <f aca="false">IF($O367="","",IF($Q367&lt;=$R367,"⚠ REORDER","OK"))</f>
        <v>⚠ REORDER</v>
      </c>
      <c r="T367" s="13"/>
      <c r="U367" s="13"/>
      <c r="V367" s="13" t="s">
        <v>378</v>
      </c>
      <c r="W367" s="12" t="s">
        <v>379</v>
      </c>
      <c r="X367" s="13"/>
      <c r="Y367" s="13"/>
      <c r="Z367" s="12" t="s">
        <v>88</v>
      </c>
      <c r="AA367" s="12" t="s">
        <v>88</v>
      </c>
      <c r="AB367" s="12" t="s">
        <v>88</v>
      </c>
      <c r="AC367" s="12" t="s">
        <v>88</v>
      </c>
      <c r="AD367" s="12" t="s">
        <v>87</v>
      </c>
      <c r="AE367" s="21" t="n">
        <f aca="false">IFERROR(SUMIFS(Transactions!$F:$F,Transactions!$C:$C,$A367,Transactions!$D:$D,"Sale"),0)</f>
        <v>0</v>
      </c>
      <c r="AF367" s="15" t="n">
        <f aca="false">IFERROR(SUMIFS(Transactions!$H:$H,Transactions!$C:$C,$A367,Transactions!$D:$D,"Sale"),0)</f>
        <v>0</v>
      </c>
      <c r="AG367" s="22" t="str">
        <f aca="false">IFERROR(IF(maxifs(Transactions!$B:$B,Transactions!$C:$C,$A367,Transactions!$D:$D,"Sale")=0,"",maxifs(Transactions!$B:$B,Transactions!$C:$C,$A367,Transactions!$D:$D,"Sale")),"")</f>
        <v/>
      </c>
      <c r="AH367" s="12"/>
    </row>
    <row r="368" customFormat="false" ht="18" hidden="false" customHeight="true" outlineLevel="0" collapsed="false">
      <c r="A368" s="12" t="s">
        <v>773</v>
      </c>
      <c r="B368" s="12" t="s">
        <v>298</v>
      </c>
      <c r="C368" s="12" t="s">
        <v>299</v>
      </c>
      <c r="D368" s="12" t="s">
        <v>297</v>
      </c>
      <c r="E368" s="12" t="s">
        <v>252</v>
      </c>
      <c r="F368" s="12"/>
      <c r="G368" s="12"/>
      <c r="H368" s="12" t="s">
        <v>768</v>
      </c>
      <c r="I368" s="14" t="n">
        <v>20000</v>
      </c>
      <c r="J368" s="18" t="n">
        <f aca="false">IF($I368="","",ROUND($I368*Dropdowns!$K$5,2))</f>
        <v>52</v>
      </c>
      <c r="K368" s="19" t="n">
        <f aca="false">IF($I368="","",ROUND($I368*Dropdowns!$K$6,2))</f>
        <v>48</v>
      </c>
      <c r="L368" s="20" t="n">
        <f aca="false">IF($I368="","",ROUND($I368*Dropdowns!$K$7,2))</f>
        <v>4100</v>
      </c>
      <c r="M368" s="15" t="str">
        <f aca="false">IFERROR(IF($B368="","",VLOOKUP($B368,Designs!$A$3:$AP$165,27,FALSE())),"")</f>
        <v/>
      </c>
      <c r="N368" s="16" t="str">
        <f aca="false">IFERROR(IF(OR($I368="",$M368="",$M368=0),"",($I368-$M368)/$I368),"")</f>
        <v/>
      </c>
      <c r="O368" s="13" t="n">
        <v>0</v>
      </c>
      <c r="P368" s="13" t="n">
        <v>0</v>
      </c>
      <c r="Q368" s="21" t="n">
        <f aca="false">IF($O368="","",$O368-IF($P368="",0,$P368))</f>
        <v>0</v>
      </c>
      <c r="R368" s="13" t="n">
        <v>2</v>
      </c>
      <c r="S368" s="21" t="str">
        <f aca="false">IF($O368="","",IF($Q368&lt;=$R368,"⚠ REORDER","OK"))</f>
        <v>⚠ REORDER</v>
      </c>
      <c r="T368" s="13"/>
      <c r="U368" s="13"/>
      <c r="V368" s="13" t="s">
        <v>378</v>
      </c>
      <c r="W368" s="12" t="s">
        <v>379</v>
      </c>
      <c r="X368" s="13"/>
      <c r="Y368" s="13"/>
      <c r="Z368" s="12" t="s">
        <v>88</v>
      </c>
      <c r="AA368" s="12" t="s">
        <v>88</v>
      </c>
      <c r="AB368" s="12" t="s">
        <v>88</v>
      </c>
      <c r="AC368" s="12" t="s">
        <v>88</v>
      </c>
      <c r="AD368" s="12" t="s">
        <v>87</v>
      </c>
      <c r="AE368" s="21" t="n">
        <f aca="false">IFERROR(SUMIFS(Transactions!$F:$F,Transactions!$C:$C,$A368,Transactions!$D:$D,"Sale"),0)</f>
        <v>0</v>
      </c>
      <c r="AF368" s="15" t="n">
        <f aca="false">IFERROR(SUMIFS(Transactions!$H:$H,Transactions!$C:$C,$A368,Transactions!$D:$D,"Sale"),0)</f>
        <v>0</v>
      </c>
      <c r="AG368" s="22" t="str">
        <f aca="false">IFERROR(IF(maxifs(Transactions!$B:$B,Transactions!$C:$C,$A368,Transactions!$D:$D,"Sale")=0,"",maxifs(Transactions!$B:$B,Transactions!$C:$C,$A368,Transactions!$D:$D,"Sale")),"")</f>
        <v/>
      </c>
      <c r="AH368" s="12"/>
    </row>
    <row r="369" customFormat="false" ht="18" hidden="false" customHeight="true" outlineLevel="0" collapsed="false">
      <c r="A369" s="12" t="s">
        <v>774</v>
      </c>
      <c r="B369" s="12" t="s">
        <v>298</v>
      </c>
      <c r="C369" s="12" t="s">
        <v>299</v>
      </c>
      <c r="D369" s="12" t="s">
        <v>297</v>
      </c>
      <c r="E369" s="12" t="s">
        <v>252</v>
      </c>
      <c r="F369" s="12"/>
      <c r="G369" s="12"/>
      <c r="H369" s="12" t="s">
        <v>770</v>
      </c>
      <c r="I369" s="14" t="n">
        <v>20000</v>
      </c>
      <c r="J369" s="18" t="n">
        <f aca="false">IF($I369="","",ROUND($I369*Dropdowns!$K$5,2))</f>
        <v>52</v>
      </c>
      <c r="K369" s="19" t="n">
        <f aca="false">IF($I369="","",ROUND($I369*Dropdowns!$K$6,2))</f>
        <v>48</v>
      </c>
      <c r="L369" s="20" t="n">
        <f aca="false">IF($I369="","",ROUND($I369*Dropdowns!$K$7,2))</f>
        <v>4100</v>
      </c>
      <c r="M369" s="15" t="str">
        <f aca="false">IFERROR(IF($B369="","",VLOOKUP($B369,Designs!$A$3:$AP$165,27,FALSE())),"")</f>
        <v/>
      </c>
      <c r="N369" s="16" t="str">
        <f aca="false">IFERROR(IF(OR($I369="",$M369="",$M369=0),"",($I369-$M369)/$I369),"")</f>
        <v/>
      </c>
      <c r="O369" s="13" t="n">
        <v>0</v>
      </c>
      <c r="P369" s="13" t="n">
        <v>0</v>
      </c>
      <c r="Q369" s="21" t="n">
        <f aca="false">IF($O369="","",$O369-IF($P369="",0,$P369))</f>
        <v>0</v>
      </c>
      <c r="R369" s="13" t="n">
        <v>2</v>
      </c>
      <c r="S369" s="21" t="str">
        <f aca="false">IF($O369="","",IF($Q369&lt;=$R369,"⚠ REORDER","OK"))</f>
        <v>⚠ REORDER</v>
      </c>
      <c r="T369" s="13"/>
      <c r="U369" s="13"/>
      <c r="V369" s="13" t="s">
        <v>378</v>
      </c>
      <c r="W369" s="12" t="s">
        <v>379</v>
      </c>
      <c r="X369" s="13"/>
      <c r="Y369" s="13"/>
      <c r="Z369" s="12" t="s">
        <v>88</v>
      </c>
      <c r="AA369" s="12" t="s">
        <v>88</v>
      </c>
      <c r="AB369" s="12" t="s">
        <v>88</v>
      </c>
      <c r="AC369" s="12" t="s">
        <v>88</v>
      </c>
      <c r="AD369" s="12" t="s">
        <v>87</v>
      </c>
      <c r="AE369" s="21" t="n">
        <f aca="false">IFERROR(SUMIFS(Transactions!$F:$F,Transactions!$C:$C,$A369,Transactions!$D:$D,"Sale"),0)</f>
        <v>0</v>
      </c>
      <c r="AF369" s="15" t="n">
        <f aca="false">IFERROR(SUMIFS(Transactions!$H:$H,Transactions!$C:$C,$A369,Transactions!$D:$D,"Sale"),0)</f>
        <v>0</v>
      </c>
      <c r="AG369" s="22" t="str">
        <f aca="false">IFERROR(IF(maxifs(Transactions!$B:$B,Transactions!$C:$C,$A369,Transactions!$D:$D,"Sale")=0,"",maxifs(Transactions!$B:$B,Transactions!$C:$C,$A369,Transactions!$D:$D,"Sale")),"")</f>
        <v/>
      </c>
      <c r="AH369" s="12"/>
    </row>
    <row r="370" customFormat="false" ht="18" hidden="false" customHeight="true" outlineLevel="0" collapsed="false">
      <c r="A370" s="12" t="s">
        <v>775</v>
      </c>
      <c r="B370" s="12" t="s">
        <v>300</v>
      </c>
      <c r="C370" s="12" t="s">
        <v>301</v>
      </c>
      <c r="D370" s="12" t="s">
        <v>297</v>
      </c>
      <c r="E370" s="12" t="s">
        <v>264</v>
      </c>
      <c r="F370" s="12"/>
      <c r="G370" s="12"/>
      <c r="H370" s="12" t="s">
        <v>660</v>
      </c>
      <c r="I370" s="14" t="n">
        <v>20000</v>
      </c>
      <c r="J370" s="18" t="n">
        <f aca="false">IF($I370="","",ROUND($I370*Dropdowns!$K$5,2))</f>
        <v>52</v>
      </c>
      <c r="K370" s="19" t="n">
        <f aca="false">IF($I370="","",ROUND($I370*Dropdowns!$K$6,2))</f>
        <v>48</v>
      </c>
      <c r="L370" s="20" t="n">
        <f aca="false">IF($I370="","",ROUND($I370*Dropdowns!$K$7,2))</f>
        <v>4100</v>
      </c>
      <c r="M370" s="15" t="str">
        <f aca="false">IFERROR(IF($B370="","",VLOOKUP($B370,Designs!$A$3:$AP$165,27,FALSE())),"")</f>
        <v/>
      </c>
      <c r="N370" s="16" t="str">
        <f aca="false">IFERROR(IF(OR($I370="",$M370="",$M370=0),"",($I370-$M370)/$I370),"")</f>
        <v/>
      </c>
      <c r="O370" s="13" t="n">
        <v>0</v>
      </c>
      <c r="P370" s="13" t="n">
        <v>0</v>
      </c>
      <c r="Q370" s="21" t="n">
        <f aca="false">IF($O370="","",$O370-IF($P370="",0,$P370))</f>
        <v>0</v>
      </c>
      <c r="R370" s="13" t="n">
        <v>2</v>
      </c>
      <c r="S370" s="21" t="str">
        <f aca="false">IF($O370="","",IF($Q370&lt;=$R370,"⚠ REORDER","OK"))</f>
        <v>⚠ REORDER</v>
      </c>
      <c r="T370" s="13"/>
      <c r="U370" s="13"/>
      <c r="V370" s="13" t="s">
        <v>378</v>
      </c>
      <c r="W370" s="12" t="s">
        <v>379</v>
      </c>
      <c r="X370" s="13"/>
      <c r="Y370" s="13"/>
      <c r="Z370" s="12" t="s">
        <v>88</v>
      </c>
      <c r="AA370" s="12" t="s">
        <v>88</v>
      </c>
      <c r="AB370" s="12" t="s">
        <v>88</v>
      </c>
      <c r="AC370" s="12" t="s">
        <v>88</v>
      </c>
      <c r="AD370" s="12" t="s">
        <v>87</v>
      </c>
      <c r="AE370" s="21" t="n">
        <f aca="false">IFERROR(SUMIFS(Transactions!$F:$F,Transactions!$C:$C,$A370,Transactions!$D:$D,"Sale"),0)</f>
        <v>0</v>
      </c>
      <c r="AF370" s="15" t="n">
        <f aca="false">IFERROR(SUMIFS(Transactions!$H:$H,Transactions!$C:$C,$A370,Transactions!$D:$D,"Sale"),0)</f>
        <v>0</v>
      </c>
      <c r="AG370" s="22" t="str">
        <f aca="false">IFERROR(IF(maxifs(Transactions!$B:$B,Transactions!$C:$C,$A370,Transactions!$D:$D,"Sale")=0,"",maxifs(Transactions!$B:$B,Transactions!$C:$C,$A370,Transactions!$D:$D,"Sale")),"")</f>
        <v/>
      </c>
      <c r="AH370" s="12"/>
    </row>
    <row r="371" customFormat="false" ht="18" hidden="false" customHeight="true" outlineLevel="0" collapsed="false">
      <c r="A371" s="12" t="s">
        <v>776</v>
      </c>
      <c r="B371" s="12" t="s">
        <v>300</v>
      </c>
      <c r="C371" s="12" t="s">
        <v>301</v>
      </c>
      <c r="D371" s="12" t="s">
        <v>297</v>
      </c>
      <c r="E371" s="12" t="s">
        <v>264</v>
      </c>
      <c r="F371" s="12"/>
      <c r="G371" s="12"/>
      <c r="H371" s="12" t="s">
        <v>662</v>
      </c>
      <c r="I371" s="14" t="n">
        <v>20000</v>
      </c>
      <c r="J371" s="18" t="n">
        <f aca="false">IF($I371="","",ROUND($I371*Dropdowns!$K$5,2))</f>
        <v>52</v>
      </c>
      <c r="K371" s="19" t="n">
        <f aca="false">IF($I371="","",ROUND($I371*Dropdowns!$K$6,2))</f>
        <v>48</v>
      </c>
      <c r="L371" s="20" t="n">
        <f aca="false">IF($I371="","",ROUND($I371*Dropdowns!$K$7,2))</f>
        <v>4100</v>
      </c>
      <c r="M371" s="15" t="str">
        <f aca="false">IFERROR(IF($B371="","",VLOOKUP($B371,Designs!$A$3:$AP$165,27,FALSE())),"")</f>
        <v/>
      </c>
      <c r="N371" s="16" t="str">
        <f aca="false">IFERROR(IF(OR($I371="",$M371="",$M371=0),"",($I371-$M371)/$I371),"")</f>
        <v/>
      </c>
      <c r="O371" s="13" t="n">
        <v>0</v>
      </c>
      <c r="P371" s="13" t="n">
        <v>0</v>
      </c>
      <c r="Q371" s="21" t="n">
        <f aca="false">IF($O371="","",$O371-IF($P371="",0,$P371))</f>
        <v>0</v>
      </c>
      <c r="R371" s="13" t="n">
        <v>2</v>
      </c>
      <c r="S371" s="21" t="str">
        <f aca="false">IF($O371="","",IF($Q371&lt;=$R371,"⚠ REORDER","OK"))</f>
        <v>⚠ REORDER</v>
      </c>
      <c r="T371" s="13"/>
      <c r="U371" s="13"/>
      <c r="V371" s="13" t="s">
        <v>378</v>
      </c>
      <c r="W371" s="12" t="s">
        <v>379</v>
      </c>
      <c r="X371" s="13"/>
      <c r="Y371" s="13"/>
      <c r="Z371" s="12" t="s">
        <v>88</v>
      </c>
      <c r="AA371" s="12" t="s">
        <v>88</v>
      </c>
      <c r="AB371" s="12" t="s">
        <v>88</v>
      </c>
      <c r="AC371" s="12" t="s">
        <v>88</v>
      </c>
      <c r="AD371" s="12" t="s">
        <v>87</v>
      </c>
      <c r="AE371" s="21" t="n">
        <f aca="false">IFERROR(SUMIFS(Transactions!$F:$F,Transactions!$C:$C,$A371,Transactions!$D:$D,"Sale"),0)</f>
        <v>0</v>
      </c>
      <c r="AF371" s="15" t="n">
        <f aca="false">IFERROR(SUMIFS(Transactions!$H:$H,Transactions!$C:$C,$A371,Transactions!$D:$D,"Sale"),0)</f>
        <v>0</v>
      </c>
      <c r="AG371" s="22" t="str">
        <f aca="false">IFERROR(IF(maxifs(Transactions!$B:$B,Transactions!$C:$C,$A371,Transactions!$D:$D,"Sale")=0,"",maxifs(Transactions!$B:$B,Transactions!$C:$C,$A371,Transactions!$D:$D,"Sale")),"")</f>
        <v/>
      </c>
      <c r="AH371" s="12"/>
    </row>
    <row r="372" customFormat="false" ht="18" hidden="false" customHeight="true" outlineLevel="0" collapsed="false">
      <c r="A372" s="12" t="s">
        <v>777</v>
      </c>
      <c r="B372" s="12" t="s">
        <v>300</v>
      </c>
      <c r="C372" s="12" t="s">
        <v>301</v>
      </c>
      <c r="D372" s="12" t="s">
        <v>297</v>
      </c>
      <c r="E372" s="12" t="s">
        <v>264</v>
      </c>
      <c r="F372" s="12"/>
      <c r="G372" s="12"/>
      <c r="H372" s="12" t="s">
        <v>768</v>
      </c>
      <c r="I372" s="14" t="n">
        <v>20000</v>
      </c>
      <c r="J372" s="18" t="n">
        <f aca="false">IF($I372="","",ROUND($I372*Dropdowns!$K$5,2))</f>
        <v>52</v>
      </c>
      <c r="K372" s="19" t="n">
        <f aca="false">IF($I372="","",ROUND($I372*Dropdowns!$K$6,2))</f>
        <v>48</v>
      </c>
      <c r="L372" s="20" t="n">
        <f aca="false">IF($I372="","",ROUND($I372*Dropdowns!$K$7,2))</f>
        <v>4100</v>
      </c>
      <c r="M372" s="15" t="str">
        <f aca="false">IFERROR(IF($B372="","",VLOOKUP($B372,Designs!$A$3:$AP$165,27,FALSE())),"")</f>
        <v/>
      </c>
      <c r="N372" s="16" t="str">
        <f aca="false">IFERROR(IF(OR($I372="",$M372="",$M372=0),"",($I372-$M372)/$I372),"")</f>
        <v/>
      </c>
      <c r="O372" s="13" t="n">
        <v>0</v>
      </c>
      <c r="P372" s="13" t="n">
        <v>0</v>
      </c>
      <c r="Q372" s="21" t="n">
        <f aca="false">IF($O372="","",$O372-IF($P372="",0,$P372))</f>
        <v>0</v>
      </c>
      <c r="R372" s="13" t="n">
        <v>2</v>
      </c>
      <c r="S372" s="21" t="str">
        <f aca="false">IF($O372="","",IF($Q372&lt;=$R372,"⚠ REORDER","OK"))</f>
        <v>⚠ REORDER</v>
      </c>
      <c r="T372" s="13"/>
      <c r="U372" s="13"/>
      <c r="V372" s="13" t="s">
        <v>378</v>
      </c>
      <c r="W372" s="12" t="s">
        <v>379</v>
      </c>
      <c r="X372" s="13"/>
      <c r="Y372" s="13"/>
      <c r="Z372" s="12" t="s">
        <v>88</v>
      </c>
      <c r="AA372" s="12" t="s">
        <v>88</v>
      </c>
      <c r="AB372" s="12" t="s">
        <v>88</v>
      </c>
      <c r="AC372" s="12" t="s">
        <v>88</v>
      </c>
      <c r="AD372" s="12" t="s">
        <v>87</v>
      </c>
      <c r="AE372" s="21" t="n">
        <f aca="false">IFERROR(SUMIFS(Transactions!$F:$F,Transactions!$C:$C,$A372,Transactions!$D:$D,"Sale"),0)</f>
        <v>0</v>
      </c>
      <c r="AF372" s="15" t="n">
        <f aca="false">IFERROR(SUMIFS(Transactions!$H:$H,Transactions!$C:$C,$A372,Transactions!$D:$D,"Sale"),0)</f>
        <v>0</v>
      </c>
      <c r="AG372" s="22" t="str">
        <f aca="false">IFERROR(IF(maxifs(Transactions!$B:$B,Transactions!$C:$C,$A372,Transactions!$D:$D,"Sale")=0,"",maxifs(Transactions!$B:$B,Transactions!$C:$C,$A372,Transactions!$D:$D,"Sale")),"")</f>
        <v/>
      </c>
      <c r="AH372" s="12"/>
    </row>
    <row r="373" customFormat="false" ht="18" hidden="false" customHeight="true" outlineLevel="0" collapsed="false">
      <c r="A373" s="12" t="s">
        <v>778</v>
      </c>
      <c r="B373" s="12" t="s">
        <v>300</v>
      </c>
      <c r="C373" s="12" t="s">
        <v>301</v>
      </c>
      <c r="D373" s="12" t="s">
        <v>297</v>
      </c>
      <c r="E373" s="12" t="s">
        <v>264</v>
      </c>
      <c r="F373" s="12"/>
      <c r="G373" s="12"/>
      <c r="H373" s="12" t="s">
        <v>770</v>
      </c>
      <c r="I373" s="14" t="n">
        <v>20000</v>
      </c>
      <c r="J373" s="18" t="n">
        <f aca="false">IF($I373="","",ROUND($I373*Dropdowns!$K$5,2))</f>
        <v>52</v>
      </c>
      <c r="K373" s="19" t="n">
        <f aca="false">IF($I373="","",ROUND($I373*Dropdowns!$K$6,2))</f>
        <v>48</v>
      </c>
      <c r="L373" s="20" t="n">
        <f aca="false">IF($I373="","",ROUND($I373*Dropdowns!$K$7,2))</f>
        <v>4100</v>
      </c>
      <c r="M373" s="15" t="str">
        <f aca="false">IFERROR(IF($B373="","",VLOOKUP($B373,Designs!$A$3:$AP$165,27,FALSE())),"")</f>
        <v/>
      </c>
      <c r="N373" s="16" t="str">
        <f aca="false">IFERROR(IF(OR($I373="",$M373="",$M373=0),"",($I373-$M373)/$I373),"")</f>
        <v/>
      </c>
      <c r="O373" s="13" t="n">
        <v>0</v>
      </c>
      <c r="P373" s="13" t="n">
        <v>0</v>
      </c>
      <c r="Q373" s="21" t="n">
        <f aca="false">IF($O373="","",$O373-IF($P373="",0,$P373))</f>
        <v>0</v>
      </c>
      <c r="R373" s="13" t="n">
        <v>2</v>
      </c>
      <c r="S373" s="21" t="str">
        <f aca="false">IF($O373="","",IF($Q373&lt;=$R373,"⚠ REORDER","OK"))</f>
        <v>⚠ REORDER</v>
      </c>
      <c r="T373" s="13"/>
      <c r="U373" s="13"/>
      <c r="V373" s="13" t="s">
        <v>378</v>
      </c>
      <c r="W373" s="12" t="s">
        <v>379</v>
      </c>
      <c r="X373" s="13"/>
      <c r="Y373" s="13"/>
      <c r="Z373" s="12" t="s">
        <v>88</v>
      </c>
      <c r="AA373" s="12" t="s">
        <v>88</v>
      </c>
      <c r="AB373" s="12" t="s">
        <v>88</v>
      </c>
      <c r="AC373" s="12" t="s">
        <v>88</v>
      </c>
      <c r="AD373" s="12" t="s">
        <v>87</v>
      </c>
      <c r="AE373" s="21" t="n">
        <f aca="false">IFERROR(SUMIFS(Transactions!$F:$F,Transactions!$C:$C,$A373,Transactions!$D:$D,"Sale"),0)</f>
        <v>0</v>
      </c>
      <c r="AF373" s="15" t="n">
        <f aca="false">IFERROR(SUMIFS(Transactions!$H:$H,Transactions!$C:$C,$A373,Transactions!$D:$D,"Sale"),0)</f>
        <v>0</v>
      </c>
      <c r="AG373" s="22" t="str">
        <f aca="false">IFERROR(IF(maxifs(Transactions!$B:$B,Transactions!$C:$C,$A373,Transactions!$D:$D,"Sale")=0,"",maxifs(Transactions!$B:$B,Transactions!$C:$C,$A373,Transactions!$D:$D,"Sale")),"")</f>
        <v/>
      </c>
      <c r="AH373" s="12"/>
    </row>
    <row r="374" customFormat="false" ht="18" hidden="false" customHeight="true" outlineLevel="0" collapsed="false">
      <c r="A374" s="12" t="s">
        <v>779</v>
      </c>
      <c r="B374" s="12" t="s">
        <v>302</v>
      </c>
      <c r="C374" s="12" t="s">
        <v>289</v>
      </c>
      <c r="D374" s="12" t="s">
        <v>287</v>
      </c>
      <c r="E374" s="12" t="s">
        <v>252</v>
      </c>
      <c r="F374" s="12"/>
      <c r="G374" s="12" t="s">
        <v>657</v>
      </c>
      <c r="H374" s="12" t="s">
        <v>649</v>
      </c>
      <c r="I374" s="14" t="n">
        <v>20000</v>
      </c>
      <c r="J374" s="18" t="n">
        <f aca="false">IF($I374="","",ROUND($I374*Dropdowns!$K$5,2))</f>
        <v>52</v>
      </c>
      <c r="K374" s="19" t="n">
        <f aca="false">IF($I374="","",ROUND($I374*Dropdowns!$K$6,2))</f>
        <v>48</v>
      </c>
      <c r="L374" s="20" t="n">
        <f aca="false">IF($I374="","",ROUND($I374*Dropdowns!$K$7,2))</f>
        <v>4100</v>
      </c>
      <c r="M374" s="15" t="str">
        <f aca="false">IFERROR(IF($B374="","",VLOOKUP($B374,Designs!$A$3:$AP$165,27,FALSE())),"")</f>
        <v/>
      </c>
      <c r="N374" s="16" t="str">
        <f aca="false">IFERROR(IF(OR($I374="",$M374="",$M374=0),"",($I374-$M374)/$I374),"")</f>
        <v/>
      </c>
      <c r="O374" s="13" t="n">
        <v>0</v>
      </c>
      <c r="P374" s="13" t="n">
        <v>0</v>
      </c>
      <c r="Q374" s="21" t="n">
        <f aca="false">IF($O374="","",$O374-IF($P374="",0,$P374))</f>
        <v>0</v>
      </c>
      <c r="R374" s="13" t="n">
        <v>2</v>
      </c>
      <c r="S374" s="21" t="str">
        <f aca="false">IF($O374="","",IF($Q374&lt;=$R374,"⚠ REORDER","OK"))</f>
        <v>⚠ REORDER</v>
      </c>
      <c r="T374" s="13"/>
      <c r="U374" s="13"/>
      <c r="V374" s="13" t="s">
        <v>378</v>
      </c>
      <c r="W374" s="12" t="s">
        <v>379</v>
      </c>
      <c r="X374" s="13"/>
      <c r="Y374" s="13"/>
      <c r="Z374" s="12" t="s">
        <v>88</v>
      </c>
      <c r="AA374" s="12" t="s">
        <v>88</v>
      </c>
      <c r="AB374" s="12" t="s">
        <v>88</v>
      </c>
      <c r="AC374" s="12" t="s">
        <v>88</v>
      </c>
      <c r="AD374" s="12" t="s">
        <v>87</v>
      </c>
      <c r="AE374" s="21" t="n">
        <f aca="false">IFERROR(SUMIFS(Transactions!$F:$F,Transactions!$C:$C,$A374,Transactions!$D:$D,"Sale"),0)</f>
        <v>0</v>
      </c>
      <c r="AF374" s="15" t="n">
        <f aca="false">IFERROR(SUMIFS(Transactions!$H:$H,Transactions!$C:$C,$A374,Transactions!$D:$D,"Sale"),0)</f>
        <v>0</v>
      </c>
      <c r="AG374" s="22" t="str">
        <f aca="false">IFERROR(IF(maxifs(Transactions!$B:$B,Transactions!$C:$C,$A374,Transactions!$D:$D,"Sale")=0,"",maxifs(Transactions!$B:$B,Transactions!$C:$C,$A374,Transactions!$D:$D,"Sale")),"")</f>
        <v/>
      </c>
      <c r="AH374" s="12"/>
    </row>
    <row r="375" customFormat="false" ht="18" hidden="false" customHeight="true" outlineLevel="0" collapsed="false">
      <c r="A375" s="12" t="s">
        <v>780</v>
      </c>
      <c r="B375" s="12" t="s">
        <v>302</v>
      </c>
      <c r="C375" s="12" t="s">
        <v>289</v>
      </c>
      <c r="D375" s="12" t="s">
        <v>287</v>
      </c>
      <c r="E375" s="12" t="s">
        <v>252</v>
      </c>
      <c r="F375" s="12"/>
      <c r="G375" s="12" t="s">
        <v>657</v>
      </c>
      <c r="H375" s="12" t="s">
        <v>383</v>
      </c>
      <c r="I375" s="14" t="n">
        <v>20000</v>
      </c>
      <c r="J375" s="18" t="n">
        <f aca="false">IF($I375="","",ROUND($I375*Dropdowns!$K$5,2))</f>
        <v>52</v>
      </c>
      <c r="K375" s="19" t="n">
        <f aca="false">IF($I375="","",ROUND($I375*Dropdowns!$K$6,2))</f>
        <v>48</v>
      </c>
      <c r="L375" s="20" t="n">
        <f aca="false">IF($I375="","",ROUND($I375*Dropdowns!$K$7,2))</f>
        <v>4100</v>
      </c>
      <c r="M375" s="15" t="str">
        <f aca="false">IFERROR(IF($B375="","",VLOOKUP($B375,Designs!$A$3:$AP$165,27,FALSE())),"")</f>
        <v/>
      </c>
      <c r="N375" s="16" t="str">
        <f aca="false">IFERROR(IF(OR($I375="",$M375="",$M375=0),"",($I375-$M375)/$I375),"")</f>
        <v/>
      </c>
      <c r="O375" s="13" t="n">
        <v>0</v>
      </c>
      <c r="P375" s="13" t="n">
        <v>0</v>
      </c>
      <c r="Q375" s="21" t="n">
        <f aca="false">IF($O375="","",$O375-IF($P375="",0,$P375))</f>
        <v>0</v>
      </c>
      <c r="R375" s="13" t="n">
        <v>2</v>
      </c>
      <c r="S375" s="21" t="str">
        <f aca="false">IF($O375="","",IF($Q375&lt;=$R375,"⚠ REORDER","OK"))</f>
        <v>⚠ REORDER</v>
      </c>
      <c r="T375" s="13"/>
      <c r="U375" s="13"/>
      <c r="V375" s="13" t="s">
        <v>378</v>
      </c>
      <c r="W375" s="12" t="s">
        <v>379</v>
      </c>
      <c r="X375" s="13"/>
      <c r="Y375" s="13"/>
      <c r="Z375" s="12" t="s">
        <v>88</v>
      </c>
      <c r="AA375" s="12" t="s">
        <v>88</v>
      </c>
      <c r="AB375" s="12" t="s">
        <v>88</v>
      </c>
      <c r="AC375" s="12" t="s">
        <v>88</v>
      </c>
      <c r="AD375" s="12" t="s">
        <v>87</v>
      </c>
      <c r="AE375" s="21" t="n">
        <f aca="false">IFERROR(SUMIFS(Transactions!$F:$F,Transactions!$C:$C,$A375,Transactions!$D:$D,"Sale"),0)</f>
        <v>0</v>
      </c>
      <c r="AF375" s="15" t="n">
        <f aca="false">IFERROR(SUMIFS(Transactions!$H:$H,Transactions!$C:$C,$A375,Transactions!$D:$D,"Sale"),0)</f>
        <v>0</v>
      </c>
      <c r="AG375" s="22" t="str">
        <f aca="false">IFERROR(IF(maxifs(Transactions!$B:$B,Transactions!$C:$C,$A375,Transactions!$D:$D,"Sale")=0,"",maxifs(Transactions!$B:$B,Transactions!$C:$C,$A375,Transactions!$D:$D,"Sale")),"")</f>
        <v/>
      </c>
      <c r="AH375" s="12"/>
    </row>
    <row r="376" customFormat="false" ht="18" hidden="false" customHeight="true" outlineLevel="0" collapsed="false">
      <c r="A376" s="12" t="s">
        <v>781</v>
      </c>
      <c r="B376" s="12" t="s">
        <v>302</v>
      </c>
      <c r="C376" s="12" t="s">
        <v>289</v>
      </c>
      <c r="D376" s="12" t="s">
        <v>287</v>
      </c>
      <c r="E376" s="12" t="s">
        <v>252</v>
      </c>
      <c r="F376" s="12"/>
      <c r="G376" s="12" t="s">
        <v>657</v>
      </c>
      <c r="H376" s="12" t="s">
        <v>673</v>
      </c>
      <c r="I376" s="14" t="n">
        <v>20000</v>
      </c>
      <c r="J376" s="18" t="n">
        <f aca="false">IF($I376="","",ROUND($I376*Dropdowns!$K$5,2))</f>
        <v>52</v>
      </c>
      <c r="K376" s="19" t="n">
        <f aca="false">IF($I376="","",ROUND($I376*Dropdowns!$K$6,2))</f>
        <v>48</v>
      </c>
      <c r="L376" s="20" t="n">
        <f aca="false">IF($I376="","",ROUND($I376*Dropdowns!$K$7,2))</f>
        <v>4100</v>
      </c>
      <c r="M376" s="15" t="str">
        <f aca="false">IFERROR(IF($B376="","",VLOOKUP($B376,Designs!$A$3:$AP$165,27,FALSE())),"")</f>
        <v/>
      </c>
      <c r="N376" s="16" t="str">
        <f aca="false">IFERROR(IF(OR($I376="",$M376="",$M376=0),"",($I376-$M376)/$I376),"")</f>
        <v/>
      </c>
      <c r="O376" s="13" t="n">
        <v>0</v>
      </c>
      <c r="P376" s="13" t="n">
        <v>0</v>
      </c>
      <c r="Q376" s="21" t="n">
        <f aca="false">IF($O376="","",$O376-IF($P376="",0,$P376))</f>
        <v>0</v>
      </c>
      <c r="R376" s="13" t="n">
        <v>2</v>
      </c>
      <c r="S376" s="21" t="str">
        <f aca="false">IF($O376="","",IF($Q376&lt;=$R376,"⚠ REORDER","OK"))</f>
        <v>⚠ REORDER</v>
      </c>
      <c r="T376" s="13"/>
      <c r="U376" s="13"/>
      <c r="V376" s="13" t="s">
        <v>378</v>
      </c>
      <c r="W376" s="12" t="s">
        <v>379</v>
      </c>
      <c r="X376" s="13"/>
      <c r="Y376" s="13"/>
      <c r="Z376" s="12" t="s">
        <v>88</v>
      </c>
      <c r="AA376" s="12" t="s">
        <v>88</v>
      </c>
      <c r="AB376" s="12" t="s">
        <v>88</v>
      </c>
      <c r="AC376" s="12" t="s">
        <v>88</v>
      </c>
      <c r="AD376" s="12" t="s">
        <v>87</v>
      </c>
      <c r="AE376" s="21" t="n">
        <f aca="false">IFERROR(SUMIFS(Transactions!$F:$F,Transactions!$C:$C,$A376,Transactions!$D:$D,"Sale"),0)</f>
        <v>0</v>
      </c>
      <c r="AF376" s="15" t="n">
        <f aca="false">IFERROR(SUMIFS(Transactions!$H:$H,Transactions!$C:$C,$A376,Transactions!$D:$D,"Sale"),0)</f>
        <v>0</v>
      </c>
      <c r="AG376" s="22" t="str">
        <f aca="false">IFERROR(IF(maxifs(Transactions!$B:$B,Transactions!$C:$C,$A376,Transactions!$D:$D,"Sale")=0,"",maxifs(Transactions!$B:$B,Transactions!$C:$C,$A376,Transactions!$D:$D,"Sale")),"")</f>
        <v/>
      </c>
      <c r="AH376" s="12"/>
    </row>
    <row r="377" customFormat="false" ht="18" hidden="false" customHeight="true" outlineLevel="0" collapsed="false">
      <c r="A377" s="12" t="s">
        <v>782</v>
      </c>
      <c r="B377" s="12" t="s">
        <v>302</v>
      </c>
      <c r="C377" s="12" t="s">
        <v>289</v>
      </c>
      <c r="D377" s="12" t="s">
        <v>287</v>
      </c>
      <c r="E377" s="12" t="s">
        <v>252</v>
      </c>
      <c r="F377" s="12"/>
      <c r="G377" s="12" t="s">
        <v>657</v>
      </c>
      <c r="H377" s="12" t="s">
        <v>381</v>
      </c>
      <c r="I377" s="14" t="n">
        <v>20000</v>
      </c>
      <c r="J377" s="18" t="n">
        <f aca="false">IF($I377="","",ROUND($I377*Dropdowns!$K$5,2))</f>
        <v>52</v>
      </c>
      <c r="K377" s="19" t="n">
        <f aca="false">IF($I377="","",ROUND($I377*Dropdowns!$K$6,2))</f>
        <v>48</v>
      </c>
      <c r="L377" s="20" t="n">
        <f aca="false">IF($I377="","",ROUND($I377*Dropdowns!$K$7,2))</f>
        <v>4100</v>
      </c>
      <c r="M377" s="15" t="str">
        <f aca="false">IFERROR(IF($B377="","",VLOOKUP($B377,Designs!$A$3:$AP$165,27,FALSE())),"")</f>
        <v/>
      </c>
      <c r="N377" s="16" t="str">
        <f aca="false">IFERROR(IF(OR($I377="",$M377="",$M377=0),"",($I377-$M377)/$I377),"")</f>
        <v/>
      </c>
      <c r="O377" s="13" t="n">
        <v>0</v>
      </c>
      <c r="P377" s="13" t="n">
        <v>0</v>
      </c>
      <c r="Q377" s="21" t="n">
        <f aca="false">IF($O377="","",$O377-IF($P377="",0,$P377))</f>
        <v>0</v>
      </c>
      <c r="R377" s="13" t="n">
        <v>2</v>
      </c>
      <c r="S377" s="21" t="str">
        <f aca="false">IF($O377="","",IF($Q377&lt;=$R377,"⚠ REORDER","OK"))</f>
        <v>⚠ REORDER</v>
      </c>
      <c r="T377" s="13"/>
      <c r="U377" s="13"/>
      <c r="V377" s="13" t="s">
        <v>378</v>
      </c>
      <c r="W377" s="12" t="s">
        <v>379</v>
      </c>
      <c r="X377" s="13"/>
      <c r="Y377" s="13"/>
      <c r="Z377" s="12" t="s">
        <v>88</v>
      </c>
      <c r="AA377" s="12" t="s">
        <v>88</v>
      </c>
      <c r="AB377" s="12" t="s">
        <v>88</v>
      </c>
      <c r="AC377" s="12" t="s">
        <v>88</v>
      </c>
      <c r="AD377" s="12" t="s">
        <v>87</v>
      </c>
      <c r="AE377" s="21" t="n">
        <f aca="false">IFERROR(SUMIFS(Transactions!$F:$F,Transactions!$C:$C,$A377,Transactions!$D:$D,"Sale"),0)</f>
        <v>0</v>
      </c>
      <c r="AF377" s="15" t="n">
        <f aca="false">IFERROR(SUMIFS(Transactions!$H:$H,Transactions!$C:$C,$A377,Transactions!$D:$D,"Sale"),0)</f>
        <v>0</v>
      </c>
      <c r="AG377" s="22" t="str">
        <f aca="false">IFERROR(IF(maxifs(Transactions!$B:$B,Transactions!$C:$C,$A377,Transactions!$D:$D,"Sale")=0,"",maxifs(Transactions!$B:$B,Transactions!$C:$C,$A377,Transactions!$D:$D,"Sale")),"")</f>
        <v/>
      </c>
      <c r="AH377" s="12"/>
    </row>
    <row r="378" customFormat="false" ht="18" hidden="false" customHeight="true" outlineLevel="0" collapsed="false">
      <c r="A378" s="12" t="s">
        <v>783</v>
      </c>
      <c r="B378" s="12" t="s">
        <v>303</v>
      </c>
      <c r="C378" s="12" t="s">
        <v>286</v>
      </c>
      <c r="D378" s="12" t="s">
        <v>287</v>
      </c>
      <c r="E378" s="12" t="s">
        <v>246</v>
      </c>
      <c r="F378" s="12"/>
      <c r="G378" s="12" t="s">
        <v>657</v>
      </c>
      <c r="H378" s="12" t="s">
        <v>658</v>
      </c>
      <c r="I378" s="14" t="n">
        <v>20000</v>
      </c>
      <c r="J378" s="18" t="n">
        <f aca="false">IF($I378="","",ROUND($I378*Dropdowns!$K$5,2))</f>
        <v>52</v>
      </c>
      <c r="K378" s="19" t="n">
        <f aca="false">IF($I378="","",ROUND($I378*Dropdowns!$K$6,2))</f>
        <v>48</v>
      </c>
      <c r="L378" s="20" t="n">
        <f aca="false">IF($I378="","",ROUND($I378*Dropdowns!$K$7,2))</f>
        <v>4100</v>
      </c>
      <c r="M378" s="15" t="str">
        <f aca="false">IFERROR(IF($B378="","",VLOOKUP($B378,Designs!$A$3:$AP$165,27,FALSE())),"")</f>
        <v/>
      </c>
      <c r="N378" s="16" t="str">
        <f aca="false">IFERROR(IF(OR($I378="",$M378="",$M378=0),"",($I378-$M378)/$I378),"")</f>
        <v/>
      </c>
      <c r="O378" s="13" t="n">
        <v>0</v>
      </c>
      <c r="P378" s="13" t="n">
        <v>0</v>
      </c>
      <c r="Q378" s="21" t="n">
        <f aca="false">IF($O378="","",$O378-IF($P378="",0,$P378))</f>
        <v>0</v>
      </c>
      <c r="R378" s="13" t="n">
        <v>2</v>
      </c>
      <c r="S378" s="21" t="str">
        <f aca="false">IF($O378="","",IF($Q378&lt;=$R378,"⚠ REORDER","OK"))</f>
        <v>⚠ REORDER</v>
      </c>
      <c r="T378" s="13"/>
      <c r="U378" s="13"/>
      <c r="V378" s="13" t="s">
        <v>378</v>
      </c>
      <c r="W378" s="12" t="s">
        <v>379</v>
      </c>
      <c r="X378" s="13"/>
      <c r="Y378" s="13"/>
      <c r="Z378" s="12" t="s">
        <v>88</v>
      </c>
      <c r="AA378" s="12" t="s">
        <v>88</v>
      </c>
      <c r="AB378" s="12" t="s">
        <v>88</v>
      </c>
      <c r="AC378" s="12" t="s">
        <v>88</v>
      </c>
      <c r="AD378" s="12" t="s">
        <v>87</v>
      </c>
      <c r="AE378" s="21" t="n">
        <f aca="false">IFERROR(SUMIFS(Transactions!$F:$F,Transactions!$C:$C,$A378,Transactions!$D:$D,"Sale"),0)</f>
        <v>0</v>
      </c>
      <c r="AF378" s="15" t="n">
        <f aca="false">IFERROR(SUMIFS(Transactions!$H:$H,Transactions!$C:$C,$A378,Transactions!$D:$D,"Sale"),0)</f>
        <v>0</v>
      </c>
      <c r="AG378" s="22" t="str">
        <f aca="false">IFERROR(IF(maxifs(Transactions!$B:$B,Transactions!$C:$C,$A378,Transactions!$D:$D,"Sale")=0,"",maxifs(Transactions!$B:$B,Transactions!$C:$C,$A378,Transactions!$D:$D,"Sale")),"")</f>
        <v/>
      </c>
      <c r="AH378" s="12"/>
    </row>
    <row r="379" customFormat="false" ht="18" hidden="false" customHeight="true" outlineLevel="0" collapsed="false">
      <c r="A379" s="12" t="s">
        <v>784</v>
      </c>
      <c r="B379" s="12" t="s">
        <v>303</v>
      </c>
      <c r="C379" s="12" t="s">
        <v>286</v>
      </c>
      <c r="D379" s="12" t="s">
        <v>287</v>
      </c>
      <c r="E379" s="12" t="s">
        <v>246</v>
      </c>
      <c r="F379" s="12"/>
      <c r="G379" s="12" t="s">
        <v>657</v>
      </c>
      <c r="H379" s="12" t="s">
        <v>660</v>
      </c>
      <c r="I379" s="14" t="n">
        <v>20000</v>
      </c>
      <c r="J379" s="18" t="n">
        <f aca="false">IF($I379="","",ROUND($I379*Dropdowns!$K$5,2))</f>
        <v>52</v>
      </c>
      <c r="K379" s="19" t="n">
        <f aca="false">IF($I379="","",ROUND($I379*Dropdowns!$K$6,2))</f>
        <v>48</v>
      </c>
      <c r="L379" s="20" t="n">
        <f aca="false">IF($I379="","",ROUND($I379*Dropdowns!$K$7,2))</f>
        <v>4100</v>
      </c>
      <c r="M379" s="15" t="str">
        <f aca="false">IFERROR(IF($B379="","",VLOOKUP($B379,Designs!$A$3:$AP$165,27,FALSE())),"")</f>
        <v/>
      </c>
      <c r="N379" s="16" t="str">
        <f aca="false">IFERROR(IF(OR($I379="",$M379="",$M379=0),"",($I379-$M379)/$I379),"")</f>
        <v/>
      </c>
      <c r="O379" s="13" t="n">
        <v>0</v>
      </c>
      <c r="P379" s="13" t="n">
        <v>0</v>
      </c>
      <c r="Q379" s="21" t="n">
        <f aca="false">IF($O379="","",$O379-IF($P379="",0,$P379))</f>
        <v>0</v>
      </c>
      <c r="R379" s="13" t="n">
        <v>2</v>
      </c>
      <c r="S379" s="21" t="str">
        <f aca="false">IF($O379="","",IF($Q379&lt;=$R379,"⚠ REORDER","OK"))</f>
        <v>⚠ REORDER</v>
      </c>
      <c r="T379" s="13"/>
      <c r="U379" s="13"/>
      <c r="V379" s="13" t="s">
        <v>378</v>
      </c>
      <c r="W379" s="12" t="s">
        <v>379</v>
      </c>
      <c r="X379" s="13"/>
      <c r="Y379" s="13"/>
      <c r="Z379" s="12" t="s">
        <v>88</v>
      </c>
      <c r="AA379" s="12" t="s">
        <v>88</v>
      </c>
      <c r="AB379" s="12" t="s">
        <v>88</v>
      </c>
      <c r="AC379" s="12" t="s">
        <v>88</v>
      </c>
      <c r="AD379" s="12" t="s">
        <v>87</v>
      </c>
      <c r="AE379" s="21" t="n">
        <f aca="false">IFERROR(SUMIFS(Transactions!$F:$F,Transactions!$C:$C,$A379,Transactions!$D:$D,"Sale"),0)</f>
        <v>0</v>
      </c>
      <c r="AF379" s="15" t="n">
        <f aca="false">IFERROR(SUMIFS(Transactions!$H:$H,Transactions!$C:$C,$A379,Transactions!$D:$D,"Sale"),0)</f>
        <v>0</v>
      </c>
      <c r="AG379" s="22" t="str">
        <f aca="false">IFERROR(IF(maxifs(Transactions!$B:$B,Transactions!$C:$C,$A379,Transactions!$D:$D,"Sale")=0,"",maxifs(Transactions!$B:$B,Transactions!$C:$C,$A379,Transactions!$D:$D,"Sale")),"")</f>
        <v/>
      </c>
      <c r="AH379" s="12"/>
    </row>
    <row r="380" customFormat="false" ht="18" hidden="false" customHeight="true" outlineLevel="0" collapsed="false">
      <c r="A380" s="12" t="s">
        <v>785</v>
      </c>
      <c r="B380" s="12" t="s">
        <v>303</v>
      </c>
      <c r="C380" s="12" t="s">
        <v>286</v>
      </c>
      <c r="D380" s="12" t="s">
        <v>287</v>
      </c>
      <c r="E380" s="12" t="s">
        <v>246</v>
      </c>
      <c r="F380" s="12"/>
      <c r="G380" s="12" t="s">
        <v>657</v>
      </c>
      <c r="H380" s="12" t="s">
        <v>662</v>
      </c>
      <c r="I380" s="14" t="n">
        <v>20000</v>
      </c>
      <c r="J380" s="18" t="n">
        <f aca="false">IF($I380="","",ROUND($I380*Dropdowns!$K$5,2))</f>
        <v>52</v>
      </c>
      <c r="K380" s="19" t="n">
        <f aca="false">IF($I380="","",ROUND($I380*Dropdowns!$K$6,2))</f>
        <v>48</v>
      </c>
      <c r="L380" s="20" t="n">
        <f aca="false">IF($I380="","",ROUND($I380*Dropdowns!$K$7,2))</f>
        <v>4100</v>
      </c>
      <c r="M380" s="15" t="str">
        <f aca="false">IFERROR(IF($B380="","",VLOOKUP($B380,Designs!$A$3:$AP$165,27,FALSE())),"")</f>
        <v/>
      </c>
      <c r="N380" s="16" t="str">
        <f aca="false">IFERROR(IF(OR($I380="",$M380="",$M380=0),"",($I380-$M380)/$I380),"")</f>
        <v/>
      </c>
      <c r="O380" s="13" t="n">
        <v>0</v>
      </c>
      <c r="P380" s="13" t="n">
        <v>0</v>
      </c>
      <c r="Q380" s="21" t="n">
        <f aca="false">IF($O380="","",$O380-IF($P380="",0,$P380))</f>
        <v>0</v>
      </c>
      <c r="R380" s="13" t="n">
        <v>2</v>
      </c>
      <c r="S380" s="21" t="str">
        <f aca="false">IF($O380="","",IF($Q380&lt;=$R380,"⚠ REORDER","OK"))</f>
        <v>⚠ REORDER</v>
      </c>
      <c r="T380" s="13"/>
      <c r="U380" s="13"/>
      <c r="V380" s="13" t="s">
        <v>378</v>
      </c>
      <c r="W380" s="12" t="s">
        <v>379</v>
      </c>
      <c r="X380" s="13"/>
      <c r="Y380" s="13"/>
      <c r="Z380" s="12" t="s">
        <v>88</v>
      </c>
      <c r="AA380" s="12" t="s">
        <v>88</v>
      </c>
      <c r="AB380" s="12" t="s">
        <v>88</v>
      </c>
      <c r="AC380" s="12" t="s">
        <v>88</v>
      </c>
      <c r="AD380" s="12" t="s">
        <v>87</v>
      </c>
      <c r="AE380" s="21" t="n">
        <f aca="false">IFERROR(SUMIFS(Transactions!$F:$F,Transactions!$C:$C,$A380,Transactions!$D:$D,"Sale"),0)</f>
        <v>0</v>
      </c>
      <c r="AF380" s="15" t="n">
        <f aca="false">IFERROR(SUMIFS(Transactions!$H:$H,Transactions!$C:$C,$A380,Transactions!$D:$D,"Sale"),0)</f>
        <v>0</v>
      </c>
      <c r="AG380" s="22" t="str">
        <f aca="false">IFERROR(IF(maxifs(Transactions!$B:$B,Transactions!$C:$C,$A380,Transactions!$D:$D,"Sale")=0,"",maxifs(Transactions!$B:$B,Transactions!$C:$C,$A380,Transactions!$D:$D,"Sale")),"")</f>
        <v/>
      </c>
      <c r="AH380" s="12"/>
    </row>
    <row r="381" customFormat="false" ht="18" hidden="false" customHeight="true" outlineLevel="0" collapsed="false">
      <c r="A381" s="12" t="s">
        <v>786</v>
      </c>
      <c r="B381" s="12" t="s">
        <v>303</v>
      </c>
      <c r="C381" s="12" t="s">
        <v>286</v>
      </c>
      <c r="D381" s="12" t="s">
        <v>287</v>
      </c>
      <c r="E381" s="12" t="s">
        <v>246</v>
      </c>
      <c r="F381" s="12"/>
      <c r="G381" s="12" t="s">
        <v>657</v>
      </c>
      <c r="H381" s="12" t="s">
        <v>664</v>
      </c>
      <c r="I381" s="14" t="n">
        <v>20000</v>
      </c>
      <c r="J381" s="18" t="n">
        <f aca="false">IF($I381="","",ROUND($I381*Dropdowns!$K$5,2))</f>
        <v>52</v>
      </c>
      <c r="K381" s="19" t="n">
        <f aca="false">IF($I381="","",ROUND($I381*Dropdowns!$K$6,2))</f>
        <v>48</v>
      </c>
      <c r="L381" s="20" t="n">
        <f aca="false">IF($I381="","",ROUND($I381*Dropdowns!$K$7,2))</f>
        <v>4100</v>
      </c>
      <c r="M381" s="15" t="str">
        <f aca="false">IFERROR(IF($B381="","",VLOOKUP($B381,Designs!$A$3:$AP$165,27,FALSE())),"")</f>
        <v/>
      </c>
      <c r="N381" s="16" t="str">
        <f aca="false">IFERROR(IF(OR($I381="",$M381="",$M381=0),"",($I381-$M381)/$I381),"")</f>
        <v/>
      </c>
      <c r="O381" s="13" t="n">
        <v>0</v>
      </c>
      <c r="P381" s="13" t="n">
        <v>0</v>
      </c>
      <c r="Q381" s="21" t="n">
        <f aca="false">IF($O381="","",$O381-IF($P381="",0,$P381))</f>
        <v>0</v>
      </c>
      <c r="R381" s="13" t="n">
        <v>2</v>
      </c>
      <c r="S381" s="21" t="str">
        <f aca="false">IF($O381="","",IF($Q381&lt;=$R381,"⚠ REORDER","OK"))</f>
        <v>⚠ REORDER</v>
      </c>
      <c r="T381" s="13"/>
      <c r="U381" s="13"/>
      <c r="V381" s="13" t="s">
        <v>378</v>
      </c>
      <c r="W381" s="12" t="s">
        <v>379</v>
      </c>
      <c r="X381" s="13"/>
      <c r="Y381" s="13"/>
      <c r="Z381" s="12" t="s">
        <v>88</v>
      </c>
      <c r="AA381" s="12" t="s">
        <v>88</v>
      </c>
      <c r="AB381" s="12" t="s">
        <v>88</v>
      </c>
      <c r="AC381" s="12" t="s">
        <v>88</v>
      </c>
      <c r="AD381" s="12" t="s">
        <v>87</v>
      </c>
      <c r="AE381" s="21" t="n">
        <f aca="false">IFERROR(SUMIFS(Transactions!$F:$F,Transactions!$C:$C,$A381,Transactions!$D:$D,"Sale"),0)</f>
        <v>0</v>
      </c>
      <c r="AF381" s="15" t="n">
        <f aca="false">IFERROR(SUMIFS(Transactions!$H:$H,Transactions!$C:$C,$A381,Transactions!$D:$D,"Sale"),0)</f>
        <v>0</v>
      </c>
      <c r="AG381" s="22" t="str">
        <f aca="false">IFERROR(IF(maxifs(Transactions!$B:$B,Transactions!$C:$C,$A381,Transactions!$D:$D,"Sale")=0,"",maxifs(Transactions!$B:$B,Transactions!$C:$C,$A381,Transactions!$D:$D,"Sale")),"")</f>
        <v/>
      </c>
      <c r="AH381" s="12"/>
    </row>
    <row r="382" customFormat="false" ht="18" hidden="false" customHeight="true" outlineLevel="0" collapsed="false">
      <c r="A382" s="12" t="s">
        <v>787</v>
      </c>
      <c r="B382" s="12" t="s">
        <v>304</v>
      </c>
      <c r="C382" s="12" t="s">
        <v>294</v>
      </c>
      <c r="D382" s="12" t="s">
        <v>287</v>
      </c>
      <c r="E382" s="12" t="s">
        <v>258</v>
      </c>
      <c r="F382" s="12"/>
      <c r="G382" s="12" t="s">
        <v>657</v>
      </c>
      <c r="H382" s="12" t="s">
        <v>658</v>
      </c>
      <c r="I382" s="14" t="n">
        <v>20000</v>
      </c>
      <c r="J382" s="18" t="n">
        <f aca="false">IF($I382="","",ROUND($I382*Dropdowns!$K$5,2))</f>
        <v>52</v>
      </c>
      <c r="K382" s="19" t="n">
        <f aca="false">IF($I382="","",ROUND($I382*Dropdowns!$K$6,2))</f>
        <v>48</v>
      </c>
      <c r="L382" s="20" t="n">
        <f aca="false">IF($I382="","",ROUND($I382*Dropdowns!$K$7,2))</f>
        <v>4100</v>
      </c>
      <c r="M382" s="15" t="str">
        <f aca="false">IFERROR(IF($B382="","",VLOOKUP($B382,Designs!$A$3:$AP$165,27,FALSE())),"")</f>
        <v/>
      </c>
      <c r="N382" s="16" t="str">
        <f aca="false">IFERROR(IF(OR($I382="",$M382="",$M382=0),"",($I382-$M382)/$I382),"")</f>
        <v/>
      </c>
      <c r="O382" s="13" t="n">
        <v>0</v>
      </c>
      <c r="P382" s="13" t="n">
        <v>0</v>
      </c>
      <c r="Q382" s="21" t="n">
        <f aca="false">IF($O382="","",$O382-IF($P382="",0,$P382))</f>
        <v>0</v>
      </c>
      <c r="R382" s="13" t="n">
        <v>2</v>
      </c>
      <c r="S382" s="21" t="str">
        <f aca="false">IF($O382="","",IF($Q382&lt;=$R382,"⚠ REORDER","OK"))</f>
        <v>⚠ REORDER</v>
      </c>
      <c r="T382" s="13"/>
      <c r="U382" s="13"/>
      <c r="V382" s="13" t="s">
        <v>378</v>
      </c>
      <c r="W382" s="12" t="s">
        <v>379</v>
      </c>
      <c r="X382" s="13"/>
      <c r="Y382" s="13"/>
      <c r="Z382" s="12" t="s">
        <v>88</v>
      </c>
      <c r="AA382" s="12" t="s">
        <v>88</v>
      </c>
      <c r="AB382" s="12" t="s">
        <v>88</v>
      </c>
      <c r="AC382" s="12" t="s">
        <v>88</v>
      </c>
      <c r="AD382" s="12" t="s">
        <v>87</v>
      </c>
      <c r="AE382" s="21" t="n">
        <f aca="false">IFERROR(SUMIFS(Transactions!$F:$F,Transactions!$C:$C,$A382,Transactions!$D:$D,"Sale"),0)</f>
        <v>0</v>
      </c>
      <c r="AF382" s="15" t="n">
        <f aca="false">IFERROR(SUMIFS(Transactions!$H:$H,Transactions!$C:$C,$A382,Transactions!$D:$D,"Sale"),0)</f>
        <v>0</v>
      </c>
      <c r="AG382" s="22" t="str">
        <f aca="false">IFERROR(IF(maxifs(Transactions!$B:$B,Transactions!$C:$C,$A382,Transactions!$D:$D,"Sale")=0,"",maxifs(Transactions!$B:$B,Transactions!$C:$C,$A382,Transactions!$D:$D,"Sale")),"")</f>
        <v/>
      </c>
      <c r="AH382" s="12"/>
    </row>
    <row r="383" customFormat="false" ht="18" hidden="false" customHeight="true" outlineLevel="0" collapsed="false">
      <c r="A383" s="12" t="s">
        <v>788</v>
      </c>
      <c r="B383" s="12" t="s">
        <v>304</v>
      </c>
      <c r="C383" s="12" t="s">
        <v>294</v>
      </c>
      <c r="D383" s="12" t="s">
        <v>287</v>
      </c>
      <c r="E383" s="12" t="s">
        <v>258</v>
      </c>
      <c r="F383" s="12"/>
      <c r="G383" s="12" t="s">
        <v>657</v>
      </c>
      <c r="H383" s="12" t="s">
        <v>660</v>
      </c>
      <c r="I383" s="14" t="n">
        <v>20000</v>
      </c>
      <c r="J383" s="18" t="n">
        <f aca="false">IF($I383="","",ROUND($I383*Dropdowns!$K$5,2))</f>
        <v>52</v>
      </c>
      <c r="K383" s="19" t="n">
        <f aca="false">IF($I383="","",ROUND($I383*Dropdowns!$K$6,2))</f>
        <v>48</v>
      </c>
      <c r="L383" s="20" t="n">
        <f aca="false">IF($I383="","",ROUND($I383*Dropdowns!$K$7,2))</f>
        <v>4100</v>
      </c>
      <c r="M383" s="15" t="str">
        <f aca="false">IFERROR(IF($B383="","",VLOOKUP($B383,Designs!$A$3:$AP$165,27,FALSE())),"")</f>
        <v/>
      </c>
      <c r="N383" s="16" t="str">
        <f aca="false">IFERROR(IF(OR($I383="",$M383="",$M383=0),"",($I383-$M383)/$I383),"")</f>
        <v/>
      </c>
      <c r="O383" s="13" t="n">
        <v>0</v>
      </c>
      <c r="P383" s="13" t="n">
        <v>0</v>
      </c>
      <c r="Q383" s="21" t="n">
        <f aca="false">IF($O383="","",$O383-IF($P383="",0,$P383))</f>
        <v>0</v>
      </c>
      <c r="R383" s="13" t="n">
        <v>2</v>
      </c>
      <c r="S383" s="21" t="str">
        <f aca="false">IF($O383="","",IF($Q383&lt;=$R383,"⚠ REORDER","OK"))</f>
        <v>⚠ REORDER</v>
      </c>
      <c r="T383" s="13"/>
      <c r="U383" s="13"/>
      <c r="V383" s="13" t="s">
        <v>378</v>
      </c>
      <c r="W383" s="12" t="s">
        <v>379</v>
      </c>
      <c r="X383" s="13"/>
      <c r="Y383" s="13"/>
      <c r="Z383" s="12" t="s">
        <v>88</v>
      </c>
      <c r="AA383" s="12" t="s">
        <v>88</v>
      </c>
      <c r="AB383" s="12" t="s">
        <v>88</v>
      </c>
      <c r="AC383" s="12" t="s">
        <v>88</v>
      </c>
      <c r="AD383" s="12" t="s">
        <v>87</v>
      </c>
      <c r="AE383" s="21" t="n">
        <f aca="false">IFERROR(SUMIFS(Transactions!$F:$F,Transactions!$C:$C,$A383,Transactions!$D:$D,"Sale"),0)</f>
        <v>0</v>
      </c>
      <c r="AF383" s="15" t="n">
        <f aca="false">IFERROR(SUMIFS(Transactions!$H:$H,Transactions!$C:$C,$A383,Transactions!$D:$D,"Sale"),0)</f>
        <v>0</v>
      </c>
      <c r="AG383" s="22" t="str">
        <f aca="false">IFERROR(IF(maxifs(Transactions!$B:$B,Transactions!$C:$C,$A383,Transactions!$D:$D,"Sale")=0,"",maxifs(Transactions!$B:$B,Transactions!$C:$C,$A383,Transactions!$D:$D,"Sale")),"")</f>
        <v/>
      </c>
      <c r="AH383" s="12"/>
    </row>
    <row r="384" customFormat="false" ht="18" hidden="false" customHeight="true" outlineLevel="0" collapsed="false">
      <c r="A384" s="12" t="s">
        <v>789</v>
      </c>
      <c r="B384" s="12" t="s">
        <v>304</v>
      </c>
      <c r="C384" s="12" t="s">
        <v>294</v>
      </c>
      <c r="D384" s="12" t="s">
        <v>287</v>
      </c>
      <c r="E384" s="12" t="s">
        <v>258</v>
      </c>
      <c r="F384" s="12"/>
      <c r="G384" s="12" t="s">
        <v>657</v>
      </c>
      <c r="H384" s="12" t="s">
        <v>727</v>
      </c>
      <c r="I384" s="14" t="n">
        <v>20000</v>
      </c>
      <c r="J384" s="18" t="n">
        <f aca="false">IF($I384="","",ROUND($I384*Dropdowns!$K$5,2))</f>
        <v>52</v>
      </c>
      <c r="K384" s="19" t="n">
        <f aca="false">IF($I384="","",ROUND($I384*Dropdowns!$K$6,2))</f>
        <v>48</v>
      </c>
      <c r="L384" s="20" t="n">
        <f aca="false">IF($I384="","",ROUND($I384*Dropdowns!$K$7,2))</f>
        <v>4100</v>
      </c>
      <c r="M384" s="15" t="str">
        <f aca="false">IFERROR(IF($B384="","",VLOOKUP($B384,Designs!$A$3:$AP$165,27,FALSE())),"")</f>
        <v/>
      </c>
      <c r="N384" s="16" t="str">
        <f aca="false">IFERROR(IF(OR($I384="",$M384="",$M384=0),"",($I384-$M384)/$I384),"")</f>
        <v/>
      </c>
      <c r="O384" s="13" t="n">
        <v>0</v>
      </c>
      <c r="P384" s="13" t="n">
        <v>0</v>
      </c>
      <c r="Q384" s="21" t="n">
        <f aca="false">IF($O384="","",$O384-IF($P384="",0,$P384))</f>
        <v>0</v>
      </c>
      <c r="R384" s="13" t="n">
        <v>2</v>
      </c>
      <c r="S384" s="21" t="str">
        <f aca="false">IF($O384="","",IF($Q384&lt;=$R384,"⚠ REORDER","OK"))</f>
        <v>⚠ REORDER</v>
      </c>
      <c r="T384" s="13"/>
      <c r="U384" s="13"/>
      <c r="V384" s="13" t="s">
        <v>378</v>
      </c>
      <c r="W384" s="12" t="s">
        <v>379</v>
      </c>
      <c r="X384" s="13"/>
      <c r="Y384" s="13"/>
      <c r="Z384" s="12" t="s">
        <v>88</v>
      </c>
      <c r="AA384" s="12" t="s">
        <v>88</v>
      </c>
      <c r="AB384" s="12" t="s">
        <v>88</v>
      </c>
      <c r="AC384" s="12" t="s">
        <v>88</v>
      </c>
      <c r="AD384" s="12" t="s">
        <v>87</v>
      </c>
      <c r="AE384" s="21" t="n">
        <f aca="false">IFERROR(SUMIFS(Transactions!$F:$F,Transactions!$C:$C,$A384,Transactions!$D:$D,"Sale"),0)</f>
        <v>0</v>
      </c>
      <c r="AF384" s="15" t="n">
        <f aca="false">IFERROR(SUMIFS(Transactions!$H:$H,Transactions!$C:$C,$A384,Transactions!$D:$D,"Sale"),0)</f>
        <v>0</v>
      </c>
      <c r="AG384" s="22" t="str">
        <f aca="false">IFERROR(IF(maxifs(Transactions!$B:$B,Transactions!$C:$C,$A384,Transactions!$D:$D,"Sale")=0,"",maxifs(Transactions!$B:$B,Transactions!$C:$C,$A384,Transactions!$D:$D,"Sale")),"")</f>
        <v/>
      </c>
      <c r="AH384" s="12"/>
    </row>
    <row r="385" customFormat="false" ht="18" hidden="false" customHeight="true" outlineLevel="0" collapsed="false">
      <c r="A385" s="12" t="s">
        <v>790</v>
      </c>
      <c r="B385" s="12" t="s">
        <v>304</v>
      </c>
      <c r="C385" s="12" t="s">
        <v>294</v>
      </c>
      <c r="D385" s="12" t="s">
        <v>287</v>
      </c>
      <c r="E385" s="12" t="s">
        <v>258</v>
      </c>
      <c r="F385" s="12"/>
      <c r="G385" s="12" t="s">
        <v>657</v>
      </c>
      <c r="H385" s="12" t="s">
        <v>381</v>
      </c>
      <c r="I385" s="14" t="n">
        <v>20000</v>
      </c>
      <c r="J385" s="18" t="n">
        <f aca="false">IF($I385="","",ROUND($I385*Dropdowns!$K$5,2))</f>
        <v>52</v>
      </c>
      <c r="K385" s="19" t="n">
        <f aca="false">IF($I385="","",ROUND($I385*Dropdowns!$K$6,2))</f>
        <v>48</v>
      </c>
      <c r="L385" s="20" t="n">
        <f aca="false">IF($I385="","",ROUND($I385*Dropdowns!$K$7,2))</f>
        <v>4100</v>
      </c>
      <c r="M385" s="15" t="str">
        <f aca="false">IFERROR(IF($B385="","",VLOOKUP($B385,Designs!$A$3:$AP$165,27,FALSE())),"")</f>
        <v/>
      </c>
      <c r="N385" s="16" t="str">
        <f aca="false">IFERROR(IF(OR($I385="",$M385="",$M385=0),"",($I385-$M385)/$I385),"")</f>
        <v/>
      </c>
      <c r="O385" s="13" t="n">
        <v>0</v>
      </c>
      <c r="P385" s="13" t="n">
        <v>0</v>
      </c>
      <c r="Q385" s="21" t="n">
        <f aca="false">IF($O385="","",$O385-IF($P385="",0,$P385))</f>
        <v>0</v>
      </c>
      <c r="R385" s="13" t="n">
        <v>2</v>
      </c>
      <c r="S385" s="21" t="str">
        <f aca="false">IF($O385="","",IF($Q385&lt;=$R385,"⚠ REORDER","OK"))</f>
        <v>⚠ REORDER</v>
      </c>
      <c r="T385" s="13"/>
      <c r="U385" s="13"/>
      <c r="V385" s="13" t="s">
        <v>378</v>
      </c>
      <c r="W385" s="12" t="s">
        <v>379</v>
      </c>
      <c r="X385" s="13"/>
      <c r="Y385" s="13"/>
      <c r="Z385" s="12" t="s">
        <v>88</v>
      </c>
      <c r="AA385" s="12" t="s">
        <v>88</v>
      </c>
      <c r="AB385" s="12" t="s">
        <v>88</v>
      </c>
      <c r="AC385" s="12" t="s">
        <v>88</v>
      </c>
      <c r="AD385" s="12" t="s">
        <v>87</v>
      </c>
      <c r="AE385" s="21" t="n">
        <f aca="false">IFERROR(SUMIFS(Transactions!$F:$F,Transactions!$C:$C,$A385,Transactions!$D:$D,"Sale"),0)</f>
        <v>0</v>
      </c>
      <c r="AF385" s="15" t="n">
        <f aca="false">IFERROR(SUMIFS(Transactions!$H:$H,Transactions!$C:$C,$A385,Transactions!$D:$D,"Sale"),0)</f>
        <v>0</v>
      </c>
      <c r="AG385" s="22" t="str">
        <f aca="false">IFERROR(IF(maxifs(Transactions!$B:$B,Transactions!$C:$C,$A385,Transactions!$D:$D,"Sale")=0,"",maxifs(Transactions!$B:$B,Transactions!$C:$C,$A385,Transactions!$D:$D,"Sale")),"")</f>
        <v/>
      </c>
      <c r="AH385" s="12"/>
    </row>
    <row r="386" customFormat="false" ht="18" hidden="false" customHeight="true" outlineLevel="0" collapsed="false">
      <c r="A386" s="12" t="s">
        <v>791</v>
      </c>
      <c r="B386" s="12" t="s">
        <v>305</v>
      </c>
      <c r="C386" s="12" t="s">
        <v>292</v>
      </c>
      <c r="D386" s="12" t="s">
        <v>287</v>
      </c>
      <c r="E386" s="12" t="s">
        <v>264</v>
      </c>
      <c r="F386" s="12"/>
      <c r="G386" s="12" t="s">
        <v>657</v>
      </c>
      <c r="H386" s="12" t="s">
        <v>700</v>
      </c>
      <c r="I386" s="14" t="n">
        <v>20000</v>
      </c>
      <c r="J386" s="18" t="n">
        <f aca="false">IF($I386="","",ROUND($I386*Dropdowns!$K$5,2))</f>
        <v>52</v>
      </c>
      <c r="K386" s="19" t="n">
        <f aca="false">IF($I386="","",ROUND($I386*Dropdowns!$K$6,2))</f>
        <v>48</v>
      </c>
      <c r="L386" s="20" t="n">
        <f aca="false">IF($I386="","",ROUND($I386*Dropdowns!$K$7,2))</f>
        <v>4100</v>
      </c>
      <c r="M386" s="15" t="str">
        <f aca="false">IFERROR(IF($B386="","",VLOOKUP($B386,Designs!$A$3:$AP$165,27,FALSE())),"")</f>
        <v/>
      </c>
      <c r="N386" s="16" t="str">
        <f aca="false">IFERROR(IF(OR($I386="",$M386="",$M386=0),"",($I386-$M386)/$I386),"")</f>
        <v/>
      </c>
      <c r="O386" s="13" t="n">
        <v>0</v>
      </c>
      <c r="P386" s="13" t="n">
        <v>0</v>
      </c>
      <c r="Q386" s="21" t="n">
        <f aca="false">IF($O386="","",$O386-IF($P386="",0,$P386))</f>
        <v>0</v>
      </c>
      <c r="R386" s="13" t="n">
        <v>2</v>
      </c>
      <c r="S386" s="21" t="str">
        <f aca="false">IF($O386="","",IF($Q386&lt;=$R386,"⚠ REORDER","OK"))</f>
        <v>⚠ REORDER</v>
      </c>
      <c r="T386" s="13"/>
      <c r="U386" s="13"/>
      <c r="V386" s="13" t="s">
        <v>378</v>
      </c>
      <c r="W386" s="12" t="s">
        <v>379</v>
      </c>
      <c r="X386" s="13"/>
      <c r="Y386" s="13"/>
      <c r="Z386" s="12" t="s">
        <v>88</v>
      </c>
      <c r="AA386" s="12" t="s">
        <v>88</v>
      </c>
      <c r="AB386" s="12" t="s">
        <v>88</v>
      </c>
      <c r="AC386" s="12" t="s">
        <v>88</v>
      </c>
      <c r="AD386" s="12" t="s">
        <v>87</v>
      </c>
      <c r="AE386" s="21" t="n">
        <f aca="false">IFERROR(SUMIFS(Transactions!$F:$F,Transactions!$C:$C,$A386,Transactions!$D:$D,"Sale"),0)</f>
        <v>0</v>
      </c>
      <c r="AF386" s="15" t="n">
        <f aca="false">IFERROR(SUMIFS(Transactions!$H:$H,Transactions!$C:$C,$A386,Transactions!$D:$D,"Sale"),0)</f>
        <v>0</v>
      </c>
      <c r="AG386" s="22" t="str">
        <f aca="false">IFERROR(IF(maxifs(Transactions!$B:$B,Transactions!$C:$C,$A386,Transactions!$D:$D,"Sale")=0,"",maxifs(Transactions!$B:$B,Transactions!$C:$C,$A386,Transactions!$D:$D,"Sale")),"")</f>
        <v/>
      </c>
      <c r="AH386" s="12"/>
    </row>
    <row r="387" customFormat="false" ht="18" hidden="false" customHeight="true" outlineLevel="0" collapsed="false">
      <c r="A387" s="12" t="s">
        <v>792</v>
      </c>
      <c r="B387" s="12" t="s">
        <v>305</v>
      </c>
      <c r="C387" s="12" t="s">
        <v>292</v>
      </c>
      <c r="D387" s="12" t="s">
        <v>287</v>
      </c>
      <c r="E387" s="12" t="s">
        <v>264</v>
      </c>
      <c r="F387" s="12"/>
      <c r="G387" s="12" t="s">
        <v>657</v>
      </c>
      <c r="H387" s="12" t="s">
        <v>660</v>
      </c>
      <c r="I387" s="14" t="n">
        <v>20000</v>
      </c>
      <c r="J387" s="18" t="n">
        <f aca="false">IF($I387="","",ROUND($I387*Dropdowns!$K$5,2))</f>
        <v>52</v>
      </c>
      <c r="K387" s="19" t="n">
        <f aca="false">IF($I387="","",ROUND($I387*Dropdowns!$K$6,2))</f>
        <v>48</v>
      </c>
      <c r="L387" s="20" t="n">
        <f aca="false">IF($I387="","",ROUND($I387*Dropdowns!$K$7,2))</f>
        <v>4100</v>
      </c>
      <c r="M387" s="15" t="str">
        <f aca="false">IFERROR(IF($B387="","",VLOOKUP($B387,Designs!$A$3:$AP$165,27,FALSE())),"")</f>
        <v/>
      </c>
      <c r="N387" s="16" t="str">
        <f aca="false">IFERROR(IF(OR($I387="",$M387="",$M387=0),"",($I387-$M387)/$I387),"")</f>
        <v/>
      </c>
      <c r="O387" s="13" t="n">
        <v>0</v>
      </c>
      <c r="P387" s="13" t="n">
        <v>0</v>
      </c>
      <c r="Q387" s="21" t="n">
        <f aca="false">IF($O387="","",$O387-IF($P387="",0,$P387))</f>
        <v>0</v>
      </c>
      <c r="R387" s="13" t="n">
        <v>2</v>
      </c>
      <c r="S387" s="21" t="str">
        <f aca="false">IF($O387="","",IF($Q387&lt;=$R387,"⚠ REORDER","OK"))</f>
        <v>⚠ REORDER</v>
      </c>
      <c r="T387" s="13"/>
      <c r="U387" s="13"/>
      <c r="V387" s="13" t="s">
        <v>378</v>
      </c>
      <c r="W387" s="12" t="s">
        <v>379</v>
      </c>
      <c r="X387" s="13"/>
      <c r="Y387" s="13"/>
      <c r="Z387" s="12" t="s">
        <v>88</v>
      </c>
      <c r="AA387" s="12" t="s">
        <v>88</v>
      </c>
      <c r="AB387" s="12" t="s">
        <v>88</v>
      </c>
      <c r="AC387" s="12" t="s">
        <v>88</v>
      </c>
      <c r="AD387" s="12" t="s">
        <v>87</v>
      </c>
      <c r="AE387" s="21" t="n">
        <f aca="false">IFERROR(SUMIFS(Transactions!$F:$F,Transactions!$C:$C,$A387,Transactions!$D:$D,"Sale"),0)</f>
        <v>0</v>
      </c>
      <c r="AF387" s="15" t="n">
        <f aca="false">IFERROR(SUMIFS(Transactions!$H:$H,Transactions!$C:$C,$A387,Transactions!$D:$D,"Sale"),0)</f>
        <v>0</v>
      </c>
      <c r="AG387" s="22" t="str">
        <f aca="false">IFERROR(IF(maxifs(Transactions!$B:$B,Transactions!$C:$C,$A387,Transactions!$D:$D,"Sale")=0,"",maxifs(Transactions!$B:$B,Transactions!$C:$C,$A387,Transactions!$D:$D,"Sale")),"")</f>
        <v/>
      </c>
      <c r="AH387" s="12"/>
    </row>
    <row r="388" customFormat="false" ht="18" hidden="false" customHeight="true" outlineLevel="0" collapsed="false">
      <c r="A388" s="12" t="s">
        <v>793</v>
      </c>
      <c r="B388" s="12" t="s">
        <v>305</v>
      </c>
      <c r="C388" s="12" t="s">
        <v>292</v>
      </c>
      <c r="D388" s="12" t="s">
        <v>287</v>
      </c>
      <c r="E388" s="12" t="s">
        <v>264</v>
      </c>
      <c r="F388" s="12"/>
      <c r="G388" s="12" t="s">
        <v>657</v>
      </c>
      <c r="H388" s="12" t="s">
        <v>662</v>
      </c>
      <c r="I388" s="14" t="n">
        <v>20000</v>
      </c>
      <c r="J388" s="18" t="n">
        <f aca="false">IF($I388="","",ROUND($I388*Dropdowns!$K$5,2))</f>
        <v>52</v>
      </c>
      <c r="K388" s="19" t="n">
        <f aca="false">IF($I388="","",ROUND($I388*Dropdowns!$K$6,2))</f>
        <v>48</v>
      </c>
      <c r="L388" s="20" t="n">
        <f aca="false">IF($I388="","",ROUND($I388*Dropdowns!$K$7,2))</f>
        <v>4100</v>
      </c>
      <c r="M388" s="15" t="str">
        <f aca="false">IFERROR(IF($B388="","",VLOOKUP($B388,Designs!$A$3:$AP$165,27,FALSE())),"")</f>
        <v/>
      </c>
      <c r="N388" s="16" t="str">
        <f aca="false">IFERROR(IF(OR($I388="",$M388="",$M388=0),"",($I388-$M388)/$I388),"")</f>
        <v/>
      </c>
      <c r="O388" s="13" t="n">
        <v>0</v>
      </c>
      <c r="P388" s="13" t="n">
        <v>0</v>
      </c>
      <c r="Q388" s="21" t="n">
        <f aca="false">IF($O388="","",$O388-IF($P388="",0,$P388))</f>
        <v>0</v>
      </c>
      <c r="R388" s="13" t="n">
        <v>2</v>
      </c>
      <c r="S388" s="21" t="str">
        <f aca="false">IF($O388="","",IF($Q388&lt;=$R388,"⚠ REORDER","OK"))</f>
        <v>⚠ REORDER</v>
      </c>
      <c r="T388" s="13"/>
      <c r="U388" s="13"/>
      <c r="V388" s="13" t="s">
        <v>378</v>
      </c>
      <c r="W388" s="12" t="s">
        <v>379</v>
      </c>
      <c r="X388" s="13"/>
      <c r="Y388" s="13"/>
      <c r="Z388" s="12" t="s">
        <v>88</v>
      </c>
      <c r="AA388" s="12" t="s">
        <v>88</v>
      </c>
      <c r="AB388" s="12" t="s">
        <v>88</v>
      </c>
      <c r="AC388" s="12" t="s">
        <v>88</v>
      </c>
      <c r="AD388" s="12" t="s">
        <v>87</v>
      </c>
      <c r="AE388" s="21" t="n">
        <f aca="false">IFERROR(SUMIFS(Transactions!$F:$F,Transactions!$C:$C,$A388,Transactions!$D:$D,"Sale"),0)</f>
        <v>0</v>
      </c>
      <c r="AF388" s="15" t="n">
        <f aca="false">IFERROR(SUMIFS(Transactions!$H:$H,Transactions!$C:$C,$A388,Transactions!$D:$D,"Sale"),0)</f>
        <v>0</v>
      </c>
      <c r="AG388" s="22" t="str">
        <f aca="false">IFERROR(IF(maxifs(Transactions!$B:$B,Transactions!$C:$C,$A388,Transactions!$D:$D,"Sale")=0,"",maxifs(Transactions!$B:$B,Transactions!$C:$C,$A388,Transactions!$D:$D,"Sale")),"")</f>
        <v/>
      </c>
      <c r="AH388" s="12"/>
    </row>
    <row r="389" customFormat="false" ht="18" hidden="false" customHeight="true" outlineLevel="0" collapsed="false">
      <c r="A389" s="12" t="s">
        <v>794</v>
      </c>
      <c r="B389" s="12" t="s">
        <v>305</v>
      </c>
      <c r="C389" s="12" t="s">
        <v>292</v>
      </c>
      <c r="D389" s="12" t="s">
        <v>287</v>
      </c>
      <c r="E389" s="12" t="s">
        <v>264</v>
      </c>
      <c r="F389" s="12"/>
      <c r="G389" s="12" t="s">
        <v>657</v>
      </c>
      <c r="H389" s="12" t="s">
        <v>664</v>
      </c>
      <c r="I389" s="14" t="n">
        <v>20000</v>
      </c>
      <c r="J389" s="18" t="n">
        <f aca="false">IF($I389="","",ROUND($I389*Dropdowns!$K$5,2))</f>
        <v>52</v>
      </c>
      <c r="K389" s="19" t="n">
        <f aca="false">IF($I389="","",ROUND($I389*Dropdowns!$K$6,2))</f>
        <v>48</v>
      </c>
      <c r="L389" s="20" t="n">
        <f aca="false">IF($I389="","",ROUND($I389*Dropdowns!$K$7,2))</f>
        <v>4100</v>
      </c>
      <c r="M389" s="15" t="str">
        <f aca="false">IFERROR(IF($B389="","",VLOOKUP($B389,Designs!$A$3:$AP$165,27,FALSE())),"")</f>
        <v/>
      </c>
      <c r="N389" s="16" t="str">
        <f aca="false">IFERROR(IF(OR($I389="",$M389="",$M389=0),"",($I389-$M389)/$I389),"")</f>
        <v/>
      </c>
      <c r="O389" s="13" t="n">
        <v>0</v>
      </c>
      <c r="P389" s="13" t="n">
        <v>0</v>
      </c>
      <c r="Q389" s="21" t="n">
        <f aca="false">IF($O389="","",$O389-IF($P389="",0,$P389))</f>
        <v>0</v>
      </c>
      <c r="R389" s="13" t="n">
        <v>2</v>
      </c>
      <c r="S389" s="21" t="str">
        <f aca="false">IF($O389="","",IF($Q389&lt;=$R389,"⚠ REORDER","OK"))</f>
        <v>⚠ REORDER</v>
      </c>
      <c r="T389" s="13"/>
      <c r="U389" s="13"/>
      <c r="V389" s="13" t="s">
        <v>378</v>
      </c>
      <c r="W389" s="12" t="s">
        <v>379</v>
      </c>
      <c r="X389" s="13"/>
      <c r="Y389" s="13"/>
      <c r="Z389" s="12" t="s">
        <v>88</v>
      </c>
      <c r="AA389" s="12" t="s">
        <v>88</v>
      </c>
      <c r="AB389" s="12" t="s">
        <v>88</v>
      </c>
      <c r="AC389" s="12" t="s">
        <v>88</v>
      </c>
      <c r="AD389" s="12" t="s">
        <v>87</v>
      </c>
      <c r="AE389" s="21" t="n">
        <f aca="false">IFERROR(SUMIFS(Transactions!$F:$F,Transactions!$C:$C,$A389,Transactions!$D:$D,"Sale"),0)</f>
        <v>0</v>
      </c>
      <c r="AF389" s="15" t="n">
        <f aca="false">IFERROR(SUMIFS(Transactions!$H:$H,Transactions!$C:$C,$A389,Transactions!$D:$D,"Sale"),0)</f>
        <v>0</v>
      </c>
      <c r="AG389" s="22" t="str">
        <f aca="false">IFERROR(IF(maxifs(Transactions!$B:$B,Transactions!$C:$C,$A389,Transactions!$D:$D,"Sale")=0,"",maxifs(Transactions!$B:$B,Transactions!$C:$C,$A389,Transactions!$D:$D,"Sale")),"")</f>
        <v/>
      </c>
      <c r="AH389" s="12"/>
    </row>
    <row r="390" customFormat="false" ht="18" hidden="false" customHeight="true" outlineLevel="0" collapsed="false">
      <c r="A390" s="12" t="s">
        <v>795</v>
      </c>
      <c r="B390" s="12" t="s">
        <v>306</v>
      </c>
      <c r="C390" s="12" t="s">
        <v>269</v>
      </c>
      <c r="D390" s="12" t="s">
        <v>287</v>
      </c>
      <c r="E390" s="12" t="s">
        <v>270</v>
      </c>
      <c r="F390" s="12"/>
      <c r="G390" s="12" t="s">
        <v>657</v>
      </c>
      <c r="H390" s="12" t="s">
        <v>713</v>
      </c>
      <c r="I390" s="14" t="n">
        <v>20000</v>
      </c>
      <c r="J390" s="18" t="n">
        <f aca="false">IF($I390="","",ROUND($I390*Dropdowns!$K$5,2))</f>
        <v>52</v>
      </c>
      <c r="K390" s="19" t="n">
        <f aca="false">IF($I390="","",ROUND($I390*Dropdowns!$K$6,2))</f>
        <v>48</v>
      </c>
      <c r="L390" s="20" t="n">
        <f aca="false">IF($I390="","",ROUND($I390*Dropdowns!$K$7,2))</f>
        <v>4100</v>
      </c>
      <c r="M390" s="15" t="str">
        <f aca="false">IFERROR(IF($B390="","",VLOOKUP($B390,Designs!$A$3:$AP$165,27,FALSE())),"")</f>
        <v/>
      </c>
      <c r="N390" s="16" t="str">
        <f aca="false">IFERROR(IF(OR($I390="",$M390="",$M390=0),"",($I390-$M390)/$I390),"")</f>
        <v/>
      </c>
      <c r="O390" s="13" t="n">
        <v>0</v>
      </c>
      <c r="P390" s="13" t="n">
        <v>0</v>
      </c>
      <c r="Q390" s="21" t="n">
        <f aca="false">IF($O390="","",$O390-IF($P390="",0,$P390))</f>
        <v>0</v>
      </c>
      <c r="R390" s="13" t="n">
        <v>2</v>
      </c>
      <c r="S390" s="21" t="str">
        <f aca="false">IF($O390="","",IF($Q390&lt;=$R390,"⚠ REORDER","OK"))</f>
        <v>⚠ REORDER</v>
      </c>
      <c r="T390" s="13"/>
      <c r="U390" s="13"/>
      <c r="V390" s="13" t="s">
        <v>378</v>
      </c>
      <c r="W390" s="12" t="s">
        <v>379</v>
      </c>
      <c r="X390" s="13"/>
      <c r="Y390" s="13"/>
      <c r="Z390" s="12" t="s">
        <v>88</v>
      </c>
      <c r="AA390" s="12" t="s">
        <v>88</v>
      </c>
      <c r="AB390" s="12" t="s">
        <v>88</v>
      </c>
      <c r="AC390" s="12" t="s">
        <v>88</v>
      </c>
      <c r="AD390" s="12" t="s">
        <v>87</v>
      </c>
      <c r="AE390" s="21" t="n">
        <f aca="false">IFERROR(SUMIFS(Transactions!$F:$F,Transactions!$C:$C,$A390,Transactions!$D:$D,"Sale"),0)</f>
        <v>0</v>
      </c>
      <c r="AF390" s="15" t="n">
        <f aca="false">IFERROR(SUMIFS(Transactions!$H:$H,Transactions!$C:$C,$A390,Transactions!$D:$D,"Sale"),0)</f>
        <v>0</v>
      </c>
      <c r="AG390" s="22" t="str">
        <f aca="false">IFERROR(IF(maxifs(Transactions!$B:$B,Transactions!$C:$C,$A390,Transactions!$D:$D,"Sale")=0,"",maxifs(Transactions!$B:$B,Transactions!$C:$C,$A390,Transactions!$D:$D,"Sale")),"")</f>
        <v/>
      </c>
      <c r="AH390" s="12"/>
    </row>
    <row r="391" customFormat="false" ht="18" hidden="false" customHeight="true" outlineLevel="0" collapsed="false">
      <c r="A391" s="12" t="s">
        <v>796</v>
      </c>
      <c r="B391" s="12" t="s">
        <v>306</v>
      </c>
      <c r="C391" s="12" t="s">
        <v>269</v>
      </c>
      <c r="D391" s="12" t="s">
        <v>287</v>
      </c>
      <c r="E391" s="12" t="s">
        <v>270</v>
      </c>
      <c r="F391" s="12"/>
      <c r="G391" s="12" t="s">
        <v>657</v>
      </c>
      <c r="H391" s="12" t="s">
        <v>707</v>
      </c>
      <c r="I391" s="14" t="n">
        <v>20000</v>
      </c>
      <c r="J391" s="18" t="n">
        <f aca="false">IF($I391="","",ROUND($I391*Dropdowns!$K$5,2))</f>
        <v>52</v>
      </c>
      <c r="K391" s="19" t="n">
        <f aca="false">IF($I391="","",ROUND($I391*Dropdowns!$K$6,2))</f>
        <v>48</v>
      </c>
      <c r="L391" s="20" t="n">
        <f aca="false">IF($I391="","",ROUND($I391*Dropdowns!$K$7,2))</f>
        <v>4100</v>
      </c>
      <c r="M391" s="15" t="str">
        <f aca="false">IFERROR(IF($B391="","",VLOOKUP($B391,Designs!$A$3:$AP$165,27,FALSE())),"")</f>
        <v/>
      </c>
      <c r="N391" s="16" t="str">
        <f aca="false">IFERROR(IF(OR($I391="",$M391="",$M391=0),"",($I391-$M391)/$I391),"")</f>
        <v/>
      </c>
      <c r="O391" s="13" t="n">
        <v>0</v>
      </c>
      <c r="P391" s="13" t="n">
        <v>0</v>
      </c>
      <c r="Q391" s="21" t="n">
        <f aca="false">IF($O391="","",$O391-IF($P391="",0,$P391))</f>
        <v>0</v>
      </c>
      <c r="R391" s="13" t="n">
        <v>2</v>
      </c>
      <c r="S391" s="21" t="str">
        <f aca="false">IF($O391="","",IF($Q391&lt;=$R391,"⚠ REORDER","OK"))</f>
        <v>⚠ REORDER</v>
      </c>
      <c r="T391" s="13"/>
      <c r="U391" s="13"/>
      <c r="V391" s="13" t="s">
        <v>378</v>
      </c>
      <c r="W391" s="12" t="s">
        <v>379</v>
      </c>
      <c r="X391" s="13"/>
      <c r="Y391" s="13"/>
      <c r="Z391" s="12" t="s">
        <v>88</v>
      </c>
      <c r="AA391" s="12" t="s">
        <v>88</v>
      </c>
      <c r="AB391" s="12" t="s">
        <v>88</v>
      </c>
      <c r="AC391" s="12" t="s">
        <v>88</v>
      </c>
      <c r="AD391" s="12" t="s">
        <v>87</v>
      </c>
      <c r="AE391" s="21" t="n">
        <f aca="false">IFERROR(SUMIFS(Transactions!$F:$F,Transactions!$C:$C,$A391,Transactions!$D:$D,"Sale"),0)</f>
        <v>0</v>
      </c>
      <c r="AF391" s="15" t="n">
        <f aca="false">IFERROR(SUMIFS(Transactions!$H:$H,Transactions!$C:$C,$A391,Transactions!$D:$D,"Sale"),0)</f>
        <v>0</v>
      </c>
      <c r="AG391" s="22" t="str">
        <f aca="false">IFERROR(IF(maxifs(Transactions!$B:$B,Transactions!$C:$C,$A391,Transactions!$D:$D,"Sale")=0,"",maxifs(Transactions!$B:$B,Transactions!$C:$C,$A391,Transactions!$D:$D,"Sale")),"")</f>
        <v/>
      </c>
      <c r="AH391" s="12"/>
    </row>
    <row r="392" customFormat="false" ht="18" hidden="false" customHeight="true" outlineLevel="0" collapsed="false">
      <c r="A392" s="12" t="s">
        <v>797</v>
      </c>
      <c r="B392" s="12" t="s">
        <v>306</v>
      </c>
      <c r="C392" s="12" t="s">
        <v>269</v>
      </c>
      <c r="D392" s="12" t="s">
        <v>287</v>
      </c>
      <c r="E392" s="12" t="s">
        <v>270</v>
      </c>
      <c r="F392" s="12"/>
      <c r="G392" s="12" t="s">
        <v>657</v>
      </c>
      <c r="H392" s="12" t="s">
        <v>709</v>
      </c>
      <c r="I392" s="14" t="n">
        <v>20000</v>
      </c>
      <c r="J392" s="18" t="n">
        <f aca="false">IF($I392="","",ROUND($I392*Dropdowns!$K$5,2))</f>
        <v>52</v>
      </c>
      <c r="K392" s="19" t="n">
        <f aca="false">IF($I392="","",ROUND($I392*Dropdowns!$K$6,2))</f>
        <v>48</v>
      </c>
      <c r="L392" s="20" t="n">
        <f aca="false">IF($I392="","",ROUND($I392*Dropdowns!$K$7,2))</f>
        <v>4100</v>
      </c>
      <c r="M392" s="15" t="str">
        <f aca="false">IFERROR(IF($B392="","",VLOOKUP($B392,Designs!$A$3:$AP$165,27,FALSE())),"")</f>
        <v/>
      </c>
      <c r="N392" s="16" t="str">
        <f aca="false">IFERROR(IF(OR($I392="",$M392="",$M392=0),"",($I392-$M392)/$I392),"")</f>
        <v/>
      </c>
      <c r="O392" s="13" t="n">
        <v>0</v>
      </c>
      <c r="P392" s="13" t="n">
        <v>0</v>
      </c>
      <c r="Q392" s="21" t="n">
        <f aca="false">IF($O392="","",$O392-IF($P392="",0,$P392))</f>
        <v>0</v>
      </c>
      <c r="R392" s="13" t="n">
        <v>2</v>
      </c>
      <c r="S392" s="21" t="str">
        <f aca="false">IF($O392="","",IF($Q392&lt;=$R392,"⚠ REORDER","OK"))</f>
        <v>⚠ REORDER</v>
      </c>
      <c r="T392" s="13"/>
      <c r="U392" s="13"/>
      <c r="V392" s="13" t="s">
        <v>378</v>
      </c>
      <c r="W392" s="12" t="s">
        <v>379</v>
      </c>
      <c r="X392" s="13"/>
      <c r="Y392" s="13"/>
      <c r="Z392" s="12" t="s">
        <v>88</v>
      </c>
      <c r="AA392" s="12" t="s">
        <v>88</v>
      </c>
      <c r="AB392" s="12" t="s">
        <v>88</v>
      </c>
      <c r="AC392" s="12" t="s">
        <v>88</v>
      </c>
      <c r="AD392" s="12" t="s">
        <v>87</v>
      </c>
      <c r="AE392" s="21" t="n">
        <f aca="false">IFERROR(SUMIFS(Transactions!$F:$F,Transactions!$C:$C,$A392,Transactions!$D:$D,"Sale"),0)</f>
        <v>0</v>
      </c>
      <c r="AF392" s="15" t="n">
        <f aca="false">IFERROR(SUMIFS(Transactions!$H:$H,Transactions!$C:$C,$A392,Transactions!$D:$D,"Sale"),0)</f>
        <v>0</v>
      </c>
      <c r="AG392" s="22" t="str">
        <f aca="false">IFERROR(IF(maxifs(Transactions!$B:$B,Transactions!$C:$C,$A392,Transactions!$D:$D,"Sale")=0,"",maxifs(Transactions!$B:$B,Transactions!$C:$C,$A392,Transactions!$D:$D,"Sale")),"")</f>
        <v/>
      </c>
      <c r="AH392" s="12"/>
    </row>
    <row r="393" customFormat="false" ht="18" hidden="false" customHeight="true" outlineLevel="0" collapsed="false">
      <c r="A393" s="12" t="s">
        <v>798</v>
      </c>
      <c r="B393" s="12" t="s">
        <v>306</v>
      </c>
      <c r="C393" s="12" t="s">
        <v>269</v>
      </c>
      <c r="D393" s="12" t="s">
        <v>287</v>
      </c>
      <c r="E393" s="12" t="s">
        <v>270</v>
      </c>
      <c r="F393" s="12"/>
      <c r="G393" s="12" t="s">
        <v>657</v>
      </c>
      <c r="H393" s="12" t="s">
        <v>711</v>
      </c>
      <c r="I393" s="14" t="n">
        <v>20000</v>
      </c>
      <c r="J393" s="18" t="n">
        <f aca="false">IF($I393="","",ROUND($I393*Dropdowns!$K$5,2))</f>
        <v>52</v>
      </c>
      <c r="K393" s="19" t="n">
        <f aca="false">IF($I393="","",ROUND($I393*Dropdowns!$K$6,2))</f>
        <v>48</v>
      </c>
      <c r="L393" s="20" t="n">
        <f aca="false">IF($I393="","",ROUND($I393*Dropdowns!$K$7,2))</f>
        <v>4100</v>
      </c>
      <c r="M393" s="15" t="str">
        <f aca="false">IFERROR(IF($B393="","",VLOOKUP($B393,Designs!$A$3:$AP$165,27,FALSE())),"")</f>
        <v/>
      </c>
      <c r="N393" s="16" t="str">
        <f aca="false">IFERROR(IF(OR($I393="",$M393="",$M393=0),"",($I393-$M393)/$I393),"")</f>
        <v/>
      </c>
      <c r="O393" s="13" t="n">
        <v>0</v>
      </c>
      <c r="P393" s="13" t="n">
        <v>0</v>
      </c>
      <c r="Q393" s="21" t="n">
        <f aca="false">IF($O393="","",$O393-IF($P393="",0,$P393))</f>
        <v>0</v>
      </c>
      <c r="R393" s="13" t="n">
        <v>2</v>
      </c>
      <c r="S393" s="21" t="str">
        <f aca="false">IF($O393="","",IF($Q393&lt;=$R393,"⚠ REORDER","OK"))</f>
        <v>⚠ REORDER</v>
      </c>
      <c r="T393" s="13"/>
      <c r="U393" s="13"/>
      <c r="V393" s="13" t="s">
        <v>378</v>
      </c>
      <c r="W393" s="12" t="s">
        <v>379</v>
      </c>
      <c r="X393" s="13"/>
      <c r="Y393" s="13"/>
      <c r="Z393" s="12" t="s">
        <v>88</v>
      </c>
      <c r="AA393" s="12" t="s">
        <v>88</v>
      </c>
      <c r="AB393" s="12" t="s">
        <v>88</v>
      </c>
      <c r="AC393" s="12" t="s">
        <v>88</v>
      </c>
      <c r="AD393" s="12" t="s">
        <v>87</v>
      </c>
      <c r="AE393" s="21" t="n">
        <f aca="false">IFERROR(SUMIFS(Transactions!$F:$F,Transactions!$C:$C,$A393,Transactions!$D:$D,"Sale"),0)</f>
        <v>0</v>
      </c>
      <c r="AF393" s="15" t="n">
        <f aca="false">IFERROR(SUMIFS(Transactions!$H:$H,Transactions!$C:$C,$A393,Transactions!$D:$D,"Sale"),0)</f>
        <v>0</v>
      </c>
      <c r="AG393" s="22" t="str">
        <f aca="false">IFERROR(IF(maxifs(Transactions!$B:$B,Transactions!$C:$C,$A393,Transactions!$D:$D,"Sale")=0,"",maxifs(Transactions!$B:$B,Transactions!$C:$C,$A393,Transactions!$D:$D,"Sale")),"")</f>
        <v/>
      </c>
      <c r="AH393" s="12"/>
    </row>
    <row r="394" customFormat="false" ht="18" hidden="false" customHeight="true" outlineLevel="0" collapsed="false">
      <c r="A394" s="12" t="s">
        <v>799</v>
      </c>
      <c r="B394" s="12" t="s">
        <v>307</v>
      </c>
      <c r="C394" s="12" t="s">
        <v>308</v>
      </c>
      <c r="D394" s="12" t="s">
        <v>78</v>
      </c>
      <c r="E394" s="12" t="s">
        <v>246</v>
      </c>
      <c r="F394" s="12"/>
      <c r="G394" s="12" t="s">
        <v>657</v>
      </c>
      <c r="H394" s="12" t="s">
        <v>660</v>
      </c>
      <c r="I394" s="14" t="n">
        <v>19000</v>
      </c>
      <c r="J394" s="18" t="n">
        <f aca="false">IF($I394="","",ROUND($I394*Dropdowns!$K$5,2))</f>
        <v>49.4</v>
      </c>
      <c r="K394" s="19" t="n">
        <f aca="false">IF($I394="","",ROUND($I394*Dropdowns!$K$6,2))</f>
        <v>45.6</v>
      </c>
      <c r="L394" s="20" t="n">
        <f aca="false">IF($I394="","",ROUND($I394*Dropdowns!$K$7,2))</f>
        <v>3895</v>
      </c>
      <c r="M394" s="15" t="str">
        <f aca="false">IFERROR(IF($B394="","",VLOOKUP($B394,Designs!$A$3:$AP$165,27,FALSE())),"")</f>
        <v/>
      </c>
      <c r="N394" s="16" t="str">
        <f aca="false">IFERROR(IF(OR($I394="",$M394="",$M394=0),"",($I394-$M394)/$I394),"")</f>
        <v/>
      </c>
      <c r="O394" s="13" t="n">
        <v>0</v>
      </c>
      <c r="P394" s="13" t="n">
        <v>0</v>
      </c>
      <c r="Q394" s="21" t="n">
        <f aca="false">IF($O394="","",$O394-IF($P394="",0,$P394))</f>
        <v>0</v>
      </c>
      <c r="R394" s="13" t="n">
        <v>2</v>
      </c>
      <c r="S394" s="21" t="str">
        <f aca="false">IF($O394="","",IF($Q394&lt;=$R394,"⚠ REORDER","OK"))</f>
        <v>⚠ REORDER</v>
      </c>
      <c r="T394" s="13"/>
      <c r="U394" s="13"/>
      <c r="V394" s="13" t="s">
        <v>378</v>
      </c>
      <c r="W394" s="12" t="s">
        <v>379</v>
      </c>
      <c r="X394" s="13"/>
      <c r="Y394" s="13"/>
      <c r="Z394" s="12" t="s">
        <v>88</v>
      </c>
      <c r="AA394" s="12" t="s">
        <v>88</v>
      </c>
      <c r="AB394" s="12" t="s">
        <v>88</v>
      </c>
      <c r="AC394" s="12" t="s">
        <v>88</v>
      </c>
      <c r="AD394" s="12" t="s">
        <v>87</v>
      </c>
      <c r="AE394" s="21" t="n">
        <f aca="false">IFERROR(SUMIFS(Transactions!$F:$F,Transactions!$C:$C,$A394,Transactions!$D:$D,"Sale"),0)</f>
        <v>0</v>
      </c>
      <c r="AF394" s="15" t="n">
        <f aca="false">IFERROR(SUMIFS(Transactions!$H:$H,Transactions!$C:$C,$A394,Transactions!$D:$D,"Sale"),0)</f>
        <v>0</v>
      </c>
      <c r="AG394" s="22" t="str">
        <f aca="false">IFERROR(IF(maxifs(Transactions!$B:$B,Transactions!$C:$C,$A394,Transactions!$D:$D,"Sale")=0,"",maxifs(Transactions!$B:$B,Transactions!$C:$C,$A394,Transactions!$D:$D,"Sale")),"")</f>
        <v/>
      </c>
      <c r="AH394" s="12"/>
    </row>
    <row r="395" customFormat="false" ht="18" hidden="false" customHeight="true" outlineLevel="0" collapsed="false">
      <c r="A395" s="12" t="s">
        <v>800</v>
      </c>
      <c r="B395" s="12" t="s">
        <v>307</v>
      </c>
      <c r="C395" s="12" t="s">
        <v>308</v>
      </c>
      <c r="D395" s="12" t="s">
        <v>78</v>
      </c>
      <c r="E395" s="12" t="s">
        <v>246</v>
      </c>
      <c r="F395" s="12"/>
      <c r="G395" s="12" t="s">
        <v>657</v>
      </c>
      <c r="H395" s="12" t="s">
        <v>658</v>
      </c>
      <c r="I395" s="14" t="n">
        <v>19000</v>
      </c>
      <c r="J395" s="18" t="n">
        <f aca="false">IF($I395="","",ROUND($I395*Dropdowns!$K$5,2))</f>
        <v>49.4</v>
      </c>
      <c r="K395" s="19" t="n">
        <f aca="false">IF($I395="","",ROUND($I395*Dropdowns!$K$6,2))</f>
        <v>45.6</v>
      </c>
      <c r="L395" s="20" t="n">
        <f aca="false">IF($I395="","",ROUND($I395*Dropdowns!$K$7,2))</f>
        <v>3895</v>
      </c>
      <c r="M395" s="15" t="str">
        <f aca="false">IFERROR(IF($B395="","",VLOOKUP($B395,Designs!$A$3:$AP$165,27,FALSE())),"")</f>
        <v/>
      </c>
      <c r="N395" s="16" t="str">
        <f aca="false">IFERROR(IF(OR($I395="",$M395="",$M395=0),"",($I395-$M395)/$I395),"")</f>
        <v/>
      </c>
      <c r="O395" s="13" t="n">
        <v>0</v>
      </c>
      <c r="P395" s="13" t="n">
        <v>0</v>
      </c>
      <c r="Q395" s="21" t="n">
        <f aca="false">IF($O395="","",$O395-IF($P395="",0,$P395))</f>
        <v>0</v>
      </c>
      <c r="R395" s="13" t="n">
        <v>2</v>
      </c>
      <c r="S395" s="21" t="str">
        <f aca="false">IF($O395="","",IF($Q395&lt;=$R395,"⚠ REORDER","OK"))</f>
        <v>⚠ REORDER</v>
      </c>
      <c r="T395" s="13"/>
      <c r="U395" s="13"/>
      <c r="V395" s="13" t="s">
        <v>378</v>
      </c>
      <c r="W395" s="12" t="s">
        <v>379</v>
      </c>
      <c r="X395" s="13"/>
      <c r="Y395" s="13"/>
      <c r="Z395" s="12" t="s">
        <v>88</v>
      </c>
      <c r="AA395" s="12" t="s">
        <v>88</v>
      </c>
      <c r="AB395" s="12" t="s">
        <v>88</v>
      </c>
      <c r="AC395" s="12" t="s">
        <v>88</v>
      </c>
      <c r="AD395" s="12" t="s">
        <v>87</v>
      </c>
      <c r="AE395" s="21" t="n">
        <f aca="false">IFERROR(SUMIFS(Transactions!$F:$F,Transactions!$C:$C,$A395,Transactions!$D:$D,"Sale"),0)</f>
        <v>0</v>
      </c>
      <c r="AF395" s="15" t="n">
        <f aca="false">IFERROR(SUMIFS(Transactions!$H:$H,Transactions!$C:$C,$A395,Transactions!$D:$D,"Sale"),0)</f>
        <v>0</v>
      </c>
      <c r="AG395" s="22" t="str">
        <f aca="false">IFERROR(IF(maxifs(Transactions!$B:$B,Transactions!$C:$C,$A395,Transactions!$D:$D,"Sale")=0,"",maxifs(Transactions!$B:$B,Transactions!$C:$C,$A395,Transactions!$D:$D,"Sale")),"")</f>
        <v/>
      </c>
      <c r="AH395" s="12"/>
    </row>
    <row r="396" customFormat="false" ht="18" hidden="false" customHeight="true" outlineLevel="0" collapsed="false">
      <c r="A396" s="12" t="s">
        <v>801</v>
      </c>
      <c r="B396" s="12" t="s">
        <v>307</v>
      </c>
      <c r="C396" s="12" t="s">
        <v>308</v>
      </c>
      <c r="D396" s="12" t="s">
        <v>78</v>
      </c>
      <c r="E396" s="12" t="s">
        <v>246</v>
      </c>
      <c r="F396" s="12"/>
      <c r="G396" s="12" t="s">
        <v>657</v>
      </c>
      <c r="H396" s="12" t="s">
        <v>662</v>
      </c>
      <c r="I396" s="14" t="n">
        <v>19000</v>
      </c>
      <c r="J396" s="18" t="n">
        <f aca="false">IF($I396="","",ROUND($I396*Dropdowns!$K$5,2))</f>
        <v>49.4</v>
      </c>
      <c r="K396" s="19" t="n">
        <f aca="false">IF($I396="","",ROUND($I396*Dropdowns!$K$6,2))</f>
        <v>45.6</v>
      </c>
      <c r="L396" s="20" t="n">
        <f aca="false">IF($I396="","",ROUND($I396*Dropdowns!$K$7,2))</f>
        <v>3895</v>
      </c>
      <c r="M396" s="15" t="str">
        <f aca="false">IFERROR(IF($B396="","",VLOOKUP($B396,Designs!$A$3:$AP$165,27,FALSE())),"")</f>
        <v/>
      </c>
      <c r="N396" s="16" t="str">
        <f aca="false">IFERROR(IF(OR($I396="",$M396="",$M396=0),"",($I396-$M396)/$I396),"")</f>
        <v/>
      </c>
      <c r="O396" s="13" t="n">
        <v>0</v>
      </c>
      <c r="P396" s="13" t="n">
        <v>0</v>
      </c>
      <c r="Q396" s="21" t="n">
        <f aca="false">IF($O396="","",$O396-IF($P396="",0,$P396))</f>
        <v>0</v>
      </c>
      <c r="R396" s="13" t="n">
        <v>2</v>
      </c>
      <c r="S396" s="21" t="str">
        <f aca="false">IF($O396="","",IF($Q396&lt;=$R396,"⚠ REORDER","OK"))</f>
        <v>⚠ REORDER</v>
      </c>
      <c r="T396" s="13"/>
      <c r="U396" s="13"/>
      <c r="V396" s="13" t="s">
        <v>378</v>
      </c>
      <c r="W396" s="12" t="s">
        <v>379</v>
      </c>
      <c r="X396" s="13"/>
      <c r="Y396" s="13"/>
      <c r="Z396" s="12" t="s">
        <v>88</v>
      </c>
      <c r="AA396" s="12" t="s">
        <v>88</v>
      </c>
      <c r="AB396" s="12" t="s">
        <v>88</v>
      </c>
      <c r="AC396" s="12" t="s">
        <v>88</v>
      </c>
      <c r="AD396" s="12" t="s">
        <v>87</v>
      </c>
      <c r="AE396" s="21" t="n">
        <f aca="false">IFERROR(SUMIFS(Transactions!$F:$F,Transactions!$C:$C,$A396,Transactions!$D:$D,"Sale"),0)</f>
        <v>0</v>
      </c>
      <c r="AF396" s="15" t="n">
        <f aca="false">IFERROR(SUMIFS(Transactions!$H:$H,Transactions!$C:$C,$A396,Transactions!$D:$D,"Sale"),0)</f>
        <v>0</v>
      </c>
      <c r="AG396" s="22" t="str">
        <f aca="false">IFERROR(IF(maxifs(Transactions!$B:$B,Transactions!$C:$C,$A396,Transactions!$D:$D,"Sale")=0,"",maxifs(Transactions!$B:$B,Transactions!$C:$C,$A396,Transactions!$D:$D,"Sale")),"")</f>
        <v/>
      </c>
      <c r="AH396" s="12"/>
    </row>
    <row r="397" customFormat="false" ht="18" hidden="false" customHeight="true" outlineLevel="0" collapsed="false">
      <c r="A397" s="12" t="s">
        <v>802</v>
      </c>
      <c r="B397" s="12" t="s">
        <v>307</v>
      </c>
      <c r="C397" s="12" t="s">
        <v>308</v>
      </c>
      <c r="D397" s="12" t="s">
        <v>78</v>
      </c>
      <c r="E397" s="12" t="s">
        <v>246</v>
      </c>
      <c r="F397" s="12"/>
      <c r="G397" s="12" t="s">
        <v>657</v>
      </c>
      <c r="H397" s="12" t="s">
        <v>803</v>
      </c>
      <c r="I397" s="14" t="n">
        <v>19000</v>
      </c>
      <c r="J397" s="18" t="n">
        <f aca="false">IF($I397="","",ROUND($I397*Dropdowns!$K$5,2))</f>
        <v>49.4</v>
      </c>
      <c r="K397" s="19" t="n">
        <f aca="false">IF($I397="","",ROUND($I397*Dropdowns!$K$6,2))</f>
        <v>45.6</v>
      </c>
      <c r="L397" s="20" t="n">
        <f aca="false">IF($I397="","",ROUND($I397*Dropdowns!$K$7,2))</f>
        <v>3895</v>
      </c>
      <c r="M397" s="15" t="str">
        <f aca="false">IFERROR(IF($B397="","",VLOOKUP($B397,Designs!$A$3:$AP$165,27,FALSE())),"")</f>
        <v/>
      </c>
      <c r="N397" s="16" t="str">
        <f aca="false">IFERROR(IF(OR($I397="",$M397="",$M397=0),"",($I397-$M397)/$I397),"")</f>
        <v/>
      </c>
      <c r="O397" s="13" t="n">
        <v>0</v>
      </c>
      <c r="P397" s="13" t="n">
        <v>0</v>
      </c>
      <c r="Q397" s="21" t="n">
        <f aca="false">IF($O397="","",$O397-IF($P397="",0,$P397))</f>
        <v>0</v>
      </c>
      <c r="R397" s="13" t="n">
        <v>2</v>
      </c>
      <c r="S397" s="21" t="str">
        <f aca="false">IF($O397="","",IF($Q397&lt;=$R397,"⚠ REORDER","OK"))</f>
        <v>⚠ REORDER</v>
      </c>
      <c r="T397" s="13"/>
      <c r="U397" s="13"/>
      <c r="V397" s="13" t="s">
        <v>378</v>
      </c>
      <c r="W397" s="12" t="s">
        <v>379</v>
      </c>
      <c r="X397" s="13"/>
      <c r="Y397" s="13"/>
      <c r="Z397" s="12" t="s">
        <v>88</v>
      </c>
      <c r="AA397" s="12" t="s">
        <v>88</v>
      </c>
      <c r="AB397" s="12" t="s">
        <v>88</v>
      </c>
      <c r="AC397" s="12" t="s">
        <v>88</v>
      </c>
      <c r="AD397" s="12" t="s">
        <v>87</v>
      </c>
      <c r="AE397" s="21" t="n">
        <f aca="false">IFERROR(SUMIFS(Transactions!$F:$F,Transactions!$C:$C,$A397,Transactions!$D:$D,"Sale"),0)</f>
        <v>0</v>
      </c>
      <c r="AF397" s="15" t="n">
        <f aca="false">IFERROR(SUMIFS(Transactions!$H:$H,Transactions!$C:$C,$A397,Transactions!$D:$D,"Sale"),0)</f>
        <v>0</v>
      </c>
      <c r="AG397" s="22" t="str">
        <f aca="false">IFERROR(IF(maxifs(Transactions!$B:$B,Transactions!$C:$C,$A397,Transactions!$D:$D,"Sale")=0,"",maxifs(Transactions!$B:$B,Transactions!$C:$C,$A397,Transactions!$D:$D,"Sale")),"")</f>
        <v/>
      </c>
      <c r="AH397" s="12"/>
    </row>
    <row r="398" customFormat="false" ht="18" hidden="false" customHeight="true" outlineLevel="0" collapsed="false">
      <c r="A398" s="12" t="s">
        <v>804</v>
      </c>
      <c r="B398" s="12" t="s">
        <v>309</v>
      </c>
      <c r="C398" s="12" t="s">
        <v>310</v>
      </c>
      <c r="D398" s="12" t="s">
        <v>78</v>
      </c>
      <c r="E398" s="12" t="s">
        <v>252</v>
      </c>
      <c r="F398" s="12"/>
      <c r="G398" s="12" t="s">
        <v>657</v>
      </c>
      <c r="H398" s="12" t="s">
        <v>383</v>
      </c>
      <c r="I398" s="14" t="n">
        <v>19000</v>
      </c>
      <c r="J398" s="18" t="n">
        <f aca="false">IF($I398="","",ROUND($I398*Dropdowns!$K$5,2))</f>
        <v>49.4</v>
      </c>
      <c r="K398" s="19" t="n">
        <f aca="false">IF($I398="","",ROUND($I398*Dropdowns!$K$6,2))</f>
        <v>45.6</v>
      </c>
      <c r="L398" s="20" t="n">
        <f aca="false">IF($I398="","",ROUND($I398*Dropdowns!$K$7,2))</f>
        <v>3895</v>
      </c>
      <c r="M398" s="15" t="str">
        <f aca="false">IFERROR(IF($B398="","",VLOOKUP($B398,Designs!$A$3:$AP$165,27,FALSE())),"")</f>
        <v/>
      </c>
      <c r="N398" s="16" t="str">
        <f aca="false">IFERROR(IF(OR($I398="",$M398="",$M398=0),"",($I398-$M398)/$I398),"")</f>
        <v/>
      </c>
      <c r="O398" s="13" t="n">
        <v>0</v>
      </c>
      <c r="P398" s="13" t="n">
        <v>0</v>
      </c>
      <c r="Q398" s="21" t="n">
        <f aca="false">IF($O398="","",$O398-IF($P398="",0,$P398))</f>
        <v>0</v>
      </c>
      <c r="R398" s="13" t="n">
        <v>2</v>
      </c>
      <c r="S398" s="21" t="str">
        <f aca="false">IF($O398="","",IF($Q398&lt;=$R398,"⚠ REORDER","OK"))</f>
        <v>⚠ REORDER</v>
      </c>
      <c r="T398" s="13"/>
      <c r="U398" s="13"/>
      <c r="V398" s="13" t="s">
        <v>378</v>
      </c>
      <c r="W398" s="12" t="s">
        <v>379</v>
      </c>
      <c r="X398" s="13"/>
      <c r="Y398" s="13"/>
      <c r="Z398" s="12" t="s">
        <v>88</v>
      </c>
      <c r="AA398" s="12" t="s">
        <v>88</v>
      </c>
      <c r="AB398" s="12" t="s">
        <v>88</v>
      </c>
      <c r="AC398" s="12" t="s">
        <v>88</v>
      </c>
      <c r="AD398" s="12" t="s">
        <v>87</v>
      </c>
      <c r="AE398" s="21" t="n">
        <f aca="false">IFERROR(SUMIFS(Transactions!$F:$F,Transactions!$C:$C,$A398,Transactions!$D:$D,"Sale"),0)</f>
        <v>0</v>
      </c>
      <c r="AF398" s="15" t="n">
        <f aca="false">IFERROR(SUMIFS(Transactions!$H:$H,Transactions!$C:$C,$A398,Transactions!$D:$D,"Sale"),0)</f>
        <v>0</v>
      </c>
      <c r="AG398" s="22" t="str">
        <f aca="false">IFERROR(IF(maxifs(Transactions!$B:$B,Transactions!$C:$C,$A398,Transactions!$D:$D,"Sale")=0,"",maxifs(Transactions!$B:$B,Transactions!$C:$C,$A398,Transactions!$D:$D,"Sale")),"")</f>
        <v/>
      </c>
      <c r="AH398" s="12"/>
    </row>
    <row r="399" customFormat="false" ht="18" hidden="false" customHeight="true" outlineLevel="0" collapsed="false">
      <c r="A399" s="12" t="s">
        <v>805</v>
      </c>
      <c r="B399" s="12" t="s">
        <v>309</v>
      </c>
      <c r="C399" s="12" t="s">
        <v>310</v>
      </c>
      <c r="D399" s="12" t="s">
        <v>78</v>
      </c>
      <c r="E399" s="12" t="s">
        <v>252</v>
      </c>
      <c r="F399" s="12"/>
      <c r="G399" s="12" t="s">
        <v>657</v>
      </c>
      <c r="H399" s="12" t="s">
        <v>649</v>
      </c>
      <c r="I399" s="14" t="n">
        <v>19000</v>
      </c>
      <c r="J399" s="18" t="n">
        <f aca="false">IF($I399="","",ROUND($I399*Dropdowns!$K$5,2))</f>
        <v>49.4</v>
      </c>
      <c r="K399" s="19" t="n">
        <f aca="false">IF($I399="","",ROUND($I399*Dropdowns!$K$6,2))</f>
        <v>45.6</v>
      </c>
      <c r="L399" s="20" t="n">
        <f aca="false">IF($I399="","",ROUND($I399*Dropdowns!$K$7,2))</f>
        <v>3895</v>
      </c>
      <c r="M399" s="15" t="str">
        <f aca="false">IFERROR(IF($B399="","",VLOOKUP($B399,Designs!$A$3:$AP$165,27,FALSE())),"")</f>
        <v/>
      </c>
      <c r="N399" s="16" t="str">
        <f aca="false">IFERROR(IF(OR($I399="",$M399="",$M399=0),"",($I399-$M399)/$I399),"")</f>
        <v/>
      </c>
      <c r="O399" s="13" t="n">
        <v>0</v>
      </c>
      <c r="P399" s="13" t="n">
        <v>0</v>
      </c>
      <c r="Q399" s="21" t="n">
        <f aca="false">IF($O399="","",$O399-IF($P399="",0,$P399))</f>
        <v>0</v>
      </c>
      <c r="R399" s="13" t="n">
        <v>2</v>
      </c>
      <c r="S399" s="21" t="str">
        <f aca="false">IF($O399="","",IF($Q399&lt;=$R399,"⚠ REORDER","OK"))</f>
        <v>⚠ REORDER</v>
      </c>
      <c r="T399" s="13"/>
      <c r="U399" s="13"/>
      <c r="V399" s="13" t="s">
        <v>378</v>
      </c>
      <c r="W399" s="12" t="s">
        <v>379</v>
      </c>
      <c r="X399" s="13"/>
      <c r="Y399" s="13"/>
      <c r="Z399" s="12" t="s">
        <v>88</v>
      </c>
      <c r="AA399" s="12" t="s">
        <v>88</v>
      </c>
      <c r="AB399" s="12" t="s">
        <v>88</v>
      </c>
      <c r="AC399" s="12" t="s">
        <v>88</v>
      </c>
      <c r="AD399" s="12" t="s">
        <v>87</v>
      </c>
      <c r="AE399" s="21" t="n">
        <f aca="false">IFERROR(SUMIFS(Transactions!$F:$F,Transactions!$C:$C,$A399,Transactions!$D:$D,"Sale"),0)</f>
        <v>0</v>
      </c>
      <c r="AF399" s="15" t="n">
        <f aca="false">IFERROR(SUMIFS(Transactions!$H:$H,Transactions!$C:$C,$A399,Transactions!$D:$D,"Sale"),0)</f>
        <v>0</v>
      </c>
      <c r="AG399" s="22" t="str">
        <f aca="false">IFERROR(IF(maxifs(Transactions!$B:$B,Transactions!$C:$C,$A399,Transactions!$D:$D,"Sale")=0,"",maxifs(Transactions!$B:$B,Transactions!$C:$C,$A399,Transactions!$D:$D,"Sale")),"")</f>
        <v/>
      </c>
      <c r="AH399" s="12"/>
    </row>
    <row r="400" customFormat="false" ht="18" hidden="false" customHeight="true" outlineLevel="0" collapsed="false">
      <c r="A400" s="12" t="s">
        <v>806</v>
      </c>
      <c r="B400" s="12" t="s">
        <v>309</v>
      </c>
      <c r="C400" s="12" t="s">
        <v>310</v>
      </c>
      <c r="D400" s="12" t="s">
        <v>78</v>
      </c>
      <c r="E400" s="12" t="s">
        <v>252</v>
      </c>
      <c r="F400" s="12"/>
      <c r="G400" s="12" t="s">
        <v>657</v>
      </c>
      <c r="H400" s="12" t="s">
        <v>673</v>
      </c>
      <c r="I400" s="14" t="n">
        <v>19000</v>
      </c>
      <c r="J400" s="18" t="n">
        <f aca="false">IF($I400="","",ROUND($I400*Dropdowns!$K$5,2))</f>
        <v>49.4</v>
      </c>
      <c r="K400" s="19" t="n">
        <f aca="false">IF($I400="","",ROUND($I400*Dropdowns!$K$6,2))</f>
        <v>45.6</v>
      </c>
      <c r="L400" s="20" t="n">
        <f aca="false">IF($I400="","",ROUND($I400*Dropdowns!$K$7,2))</f>
        <v>3895</v>
      </c>
      <c r="M400" s="15" t="str">
        <f aca="false">IFERROR(IF($B400="","",VLOOKUP($B400,Designs!$A$3:$AP$165,27,FALSE())),"")</f>
        <v/>
      </c>
      <c r="N400" s="16" t="str">
        <f aca="false">IFERROR(IF(OR($I400="",$M400="",$M400=0),"",($I400-$M400)/$I400),"")</f>
        <v/>
      </c>
      <c r="O400" s="13" t="n">
        <v>0</v>
      </c>
      <c r="P400" s="13" t="n">
        <v>0</v>
      </c>
      <c r="Q400" s="21" t="n">
        <f aca="false">IF($O400="","",$O400-IF($P400="",0,$P400))</f>
        <v>0</v>
      </c>
      <c r="R400" s="13" t="n">
        <v>2</v>
      </c>
      <c r="S400" s="21" t="str">
        <f aca="false">IF($O400="","",IF($Q400&lt;=$R400,"⚠ REORDER","OK"))</f>
        <v>⚠ REORDER</v>
      </c>
      <c r="T400" s="13"/>
      <c r="U400" s="13"/>
      <c r="V400" s="13" t="s">
        <v>378</v>
      </c>
      <c r="W400" s="12" t="s">
        <v>379</v>
      </c>
      <c r="X400" s="13"/>
      <c r="Y400" s="13"/>
      <c r="Z400" s="12" t="s">
        <v>88</v>
      </c>
      <c r="AA400" s="12" t="s">
        <v>88</v>
      </c>
      <c r="AB400" s="12" t="s">
        <v>88</v>
      </c>
      <c r="AC400" s="12" t="s">
        <v>88</v>
      </c>
      <c r="AD400" s="12" t="s">
        <v>87</v>
      </c>
      <c r="AE400" s="21" t="n">
        <f aca="false">IFERROR(SUMIFS(Transactions!$F:$F,Transactions!$C:$C,$A400,Transactions!$D:$D,"Sale"),0)</f>
        <v>0</v>
      </c>
      <c r="AF400" s="15" t="n">
        <f aca="false">IFERROR(SUMIFS(Transactions!$H:$H,Transactions!$C:$C,$A400,Transactions!$D:$D,"Sale"),0)</f>
        <v>0</v>
      </c>
      <c r="AG400" s="22" t="str">
        <f aca="false">IFERROR(IF(maxifs(Transactions!$B:$B,Transactions!$C:$C,$A400,Transactions!$D:$D,"Sale")=0,"",maxifs(Transactions!$B:$B,Transactions!$C:$C,$A400,Transactions!$D:$D,"Sale")),"")</f>
        <v/>
      </c>
      <c r="AH400" s="12"/>
    </row>
    <row r="401" customFormat="false" ht="18" hidden="false" customHeight="true" outlineLevel="0" collapsed="false">
      <c r="A401" s="12" t="s">
        <v>807</v>
      </c>
      <c r="B401" s="12" t="s">
        <v>309</v>
      </c>
      <c r="C401" s="12" t="s">
        <v>310</v>
      </c>
      <c r="D401" s="12" t="s">
        <v>78</v>
      </c>
      <c r="E401" s="12" t="s">
        <v>252</v>
      </c>
      <c r="F401" s="12"/>
      <c r="G401" s="12" t="s">
        <v>657</v>
      </c>
      <c r="H401" s="12" t="s">
        <v>381</v>
      </c>
      <c r="I401" s="14" t="n">
        <v>19000</v>
      </c>
      <c r="J401" s="18" t="n">
        <f aca="false">IF($I401="","",ROUND($I401*Dropdowns!$K$5,2))</f>
        <v>49.4</v>
      </c>
      <c r="K401" s="19" t="n">
        <f aca="false">IF($I401="","",ROUND($I401*Dropdowns!$K$6,2))</f>
        <v>45.6</v>
      </c>
      <c r="L401" s="20" t="n">
        <f aca="false">IF($I401="","",ROUND($I401*Dropdowns!$K$7,2))</f>
        <v>3895</v>
      </c>
      <c r="M401" s="15" t="str">
        <f aca="false">IFERROR(IF($B401="","",VLOOKUP($B401,Designs!$A$3:$AP$165,27,FALSE())),"")</f>
        <v/>
      </c>
      <c r="N401" s="16" t="str">
        <f aca="false">IFERROR(IF(OR($I401="",$M401="",$M401=0),"",($I401-$M401)/$I401),"")</f>
        <v/>
      </c>
      <c r="O401" s="13" t="n">
        <v>0</v>
      </c>
      <c r="P401" s="13" t="n">
        <v>0</v>
      </c>
      <c r="Q401" s="21" t="n">
        <f aca="false">IF($O401="","",$O401-IF($P401="",0,$P401))</f>
        <v>0</v>
      </c>
      <c r="R401" s="13" t="n">
        <v>2</v>
      </c>
      <c r="S401" s="21" t="str">
        <f aca="false">IF($O401="","",IF($Q401&lt;=$R401,"⚠ REORDER","OK"))</f>
        <v>⚠ REORDER</v>
      </c>
      <c r="T401" s="13"/>
      <c r="U401" s="13"/>
      <c r="V401" s="13" t="s">
        <v>378</v>
      </c>
      <c r="W401" s="12" t="s">
        <v>379</v>
      </c>
      <c r="X401" s="13"/>
      <c r="Y401" s="13"/>
      <c r="Z401" s="12" t="s">
        <v>88</v>
      </c>
      <c r="AA401" s="12" t="s">
        <v>88</v>
      </c>
      <c r="AB401" s="12" t="s">
        <v>88</v>
      </c>
      <c r="AC401" s="12" t="s">
        <v>88</v>
      </c>
      <c r="AD401" s="12" t="s">
        <v>87</v>
      </c>
      <c r="AE401" s="21" t="n">
        <f aca="false">IFERROR(SUMIFS(Transactions!$F:$F,Transactions!$C:$C,$A401,Transactions!$D:$D,"Sale"),0)</f>
        <v>0</v>
      </c>
      <c r="AF401" s="15" t="n">
        <f aca="false">IFERROR(SUMIFS(Transactions!$H:$H,Transactions!$C:$C,$A401,Transactions!$D:$D,"Sale"),0)</f>
        <v>0</v>
      </c>
      <c r="AG401" s="22" t="str">
        <f aca="false">IFERROR(IF(maxifs(Transactions!$B:$B,Transactions!$C:$C,$A401,Transactions!$D:$D,"Sale")=0,"",maxifs(Transactions!$B:$B,Transactions!$C:$C,$A401,Transactions!$D:$D,"Sale")),"")</f>
        <v/>
      </c>
      <c r="AH401" s="12"/>
    </row>
    <row r="402" customFormat="false" ht="18" hidden="false" customHeight="true" outlineLevel="0" collapsed="false">
      <c r="A402" s="12" t="s">
        <v>808</v>
      </c>
      <c r="B402" s="12" t="s">
        <v>311</v>
      </c>
      <c r="C402" s="12" t="s">
        <v>312</v>
      </c>
      <c r="D402" s="12" t="s">
        <v>78</v>
      </c>
      <c r="E402" s="12" t="s">
        <v>258</v>
      </c>
      <c r="F402" s="12"/>
      <c r="G402" s="12" t="s">
        <v>657</v>
      </c>
      <c r="H402" s="12" t="s">
        <v>660</v>
      </c>
      <c r="I402" s="14" t="n">
        <v>19000</v>
      </c>
      <c r="J402" s="18" t="n">
        <f aca="false">IF($I402="","",ROUND($I402*Dropdowns!$K$5,2))</f>
        <v>49.4</v>
      </c>
      <c r="K402" s="19" t="n">
        <f aca="false">IF($I402="","",ROUND($I402*Dropdowns!$K$6,2))</f>
        <v>45.6</v>
      </c>
      <c r="L402" s="20" t="n">
        <f aca="false">IF($I402="","",ROUND($I402*Dropdowns!$K$7,2))</f>
        <v>3895</v>
      </c>
      <c r="M402" s="15" t="str">
        <f aca="false">IFERROR(IF($B402="","",VLOOKUP($B402,Designs!$A$3:$AP$165,27,FALSE())),"")</f>
        <v/>
      </c>
      <c r="N402" s="16" t="str">
        <f aca="false">IFERROR(IF(OR($I402="",$M402="",$M402=0),"",($I402-$M402)/$I402),"")</f>
        <v/>
      </c>
      <c r="O402" s="13" t="n">
        <v>0</v>
      </c>
      <c r="P402" s="13" t="n">
        <v>0</v>
      </c>
      <c r="Q402" s="21" t="n">
        <f aca="false">IF($O402="","",$O402-IF($P402="",0,$P402))</f>
        <v>0</v>
      </c>
      <c r="R402" s="13" t="n">
        <v>2</v>
      </c>
      <c r="S402" s="21" t="str">
        <f aca="false">IF($O402="","",IF($Q402&lt;=$R402,"⚠ REORDER","OK"))</f>
        <v>⚠ REORDER</v>
      </c>
      <c r="T402" s="13"/>
      <c r="U402" s="13"/>
      <c r="V402" s="13" t="s">
        <v>378</v>
      </c>
      <c r="W402" s="12" t="s">
        <v>379</v>
      </c>
      <c r="X402" s="13"/>
      <c r="Y402" s="13"/>
      <c r="Z402" s="12" t="s">
        <v>88</v>
      </c>
      <c r="AA402" s="12" t="s">
        <v>88</v>
      </c>
      <c r="AB402" s="12" t="s">
        <v>88</v>
      </c>
      <c r="AC402" s="12" t="s">
        <v>88</v>
      </c>
      <c r="AD402" s="12" t="s">
        <v>87</v>
      </c>
      <c r="AE402" s="21" t="n">
        <f aca="false">IFERROR(SUMIFS(Transactions!$F:$F,Transactions!$C:$C,$A402,Transactions!$D:$D,"Sale"),0)</f>
        <v>0</v>
      </c>
      <c r="AF402" s="15" t="n">
        <f aca="false">IFERROR(SUMIFS(Transactions!$H:$H,Transactions!$C:$C,$A402,Transactions!$D:$D,"Sale"),0)</f>
        <v>0</v>
      </c>
      <c r="AG402" s="22" t="str">
        <f aca="false">IFERROR(IF(maxifs(Transactions!$B:$B,Transactions!$C:$C,$A402,Transactions!$D:$D,"Sale")=0,"",maxifs(Transactions!$B:$B,Transactions!$C:$C,$A402,Transactions!$D:$D,"Sale")),"")</f>
        <v/>
      </c>
      <c r="AH402" s="12"/>
    </row>
    <row r="403" customFormat="false" ht="18" hidden="false" customHeight="true" outlineLevel="0" collapsed="false">
      <c r="A403" s="12" t="s">
        <v>809</v>
      </c>
      <c r="B403" s="12" t="s">
        <v>311</v>
      </c>
      <c r="C403" s="12" t="s">
        <v>312</v>
      </c>
      <c r="D403" s="12" t="s">
        <v>78</v>
      </c>
      <c r="E403" s="12" t="s">
        <v>258</v>
      </c>
      <c r="F403" s="12"/>
      <c r="G403" s="12" t="s">
        <v>657</v>
      </c>
      <c r="H403" s="12" t="s">
        <v>658</v>
      </c>
      <c r="I403" s="14" t="n">
        <v>19000</v>
      </c>
      <c r="J403" s="18" t="n">
        <f aca="false">IF($I403="","",ROUND($I403*Dropdowns!$K$5,2))</f>
        <v>49.4</v>
      </c>
      <c r="K403" s="19" t="n">
        <f aca="false">IF($I403="","",ROUND($I403*Dropdowns!$K$6,2))</f>
        <v>45.6</v>
      </c>
      <c r="L403" s="20" t="n">
        <f aca="false">IF($I403="","",ROUND($I403*Dropdowns!$K$7,2))</f>
        <v>3895</v>
      </c>
      <c r="M403" s="15" t="str">
        <f aca="false">IFERROR(IF($B403="","",VLOOKUP($B403,Designs!$A$3:$AP$165,27,FALSE())),"")</f>
        <v/>
      </c>
      <c r="N403" s="16" t="str">
        <f aca="false">IFERROR(IF(OR($I403="",$M403="",$M403=0),"",($I403-$M403)/$I403),"")</f>
        <v/>
      </c>
      <c r="O403" s="13" t="n">
        <v>0</v>
      </c>
      <c r="P403" s="13" t="n">
        <v>0</v>
      </c>
      <c r="Q403" s="21" t="n">
        <f aca="false">IF($O403="","",$O403-IF($P403="",0,$P403))</f>
        <v>0</v>
      </c>
      <c r="R403" s="13" t="n">
        <v>2</v>
      </c>
      <c r="S403" s="21" t="str">
        <f aca="false">IF($O403="","",IF($Q403&lt;=$R403,"⚠ REORDER","OK"))</f>
        <v>⚠ REORDER</v>
      </c>
      <c r="T403" s="13"/>
      <c r="U403" s="13"/>
      <c r="V403" s="13" t="s">
        <v>378</v>
      </c>
      <c r="W403" s="12" t="s">
        <v>379</v>
      </c>
      <c r="X403" s="13"/>
      <c r="Y403" s="13"/>
      <c r="Z403" s="12" t="s">
        <v>88</v>
      </c>
      <c r="AA403" s="12" t="s">
        <v>88</v>
      </c>
      <c r="AB403" s="12" t="s">
        <v>88</v>
      </c>
      <c r="AC403" s="12" t="s">
        <v>88</v>
      </c>
      <c r="AD403" s="12" t="s">
        <v>87</v>
      </c>
      <c r="AE403" s="21" t="n">
        <f aca="false">IFERROR(SUMIFS(Transactions!$F:$F,Transactions!$C:$C,$A403,Transactions!$D:$D,"Sale"),0)</f>
        <v>0</v>
      </c>
      <c r="AF403" s="15" t="n">
        <f aca="false">IFERROR(SUMIFS(Transactions!$H:$H,Transactions!$C:$C,$A403,Transactions!$D:$D,"Sale"),0)</f>
        <v>0</v>
      </c>
      <c r="AG403" s="22" t="str">
        <f aca="false">IFERROR(IF(maxifs(Transactions!$B:$B,Transactions!$C:$C,$A403,Transactions!$D:$D,"Sale")=0,"",maxifs(Transactions!$B:$B,Transactions!$C:$C,$A403,Transactions!$D:$D,"Sale")),"")</f>
        <v/>
      </c>
      <c r="AH403" s="12"/>
    </row>
    <row r="404" customFormat="false" ht="18" hidden="false" customHeight="true" outlineLevel="0" collapsed="false">
      <c r="A404" s="12" t="s">
        <v>810</v>
      </c>
      <c r="B404" s="12" t="s">
        <v>311</v>
      </c>
      <c r="C404" s="12" t="s">
        <v>312</v>
      </c>
      <c r="D404" s="12" t="s">
        <v>78</v>
      </c>
      <c r="E404" s="12" t="s">
        <v>258</v>
      </c>
      <c r="F404" s="12"/>
      <c r="G404" s="12" t="s">
        <v>657</v>
      </c>
      <c r="H404" s="12" t="s">
        <v>727</v>
      </c>
      <c r="I404" s="14" t="n">
        <v>19000</v>
      </c>
      <c r="J404" s="18" t="n">
        <f aca="false">IF($I404="","",ROUND($I404*Dropdowns!$K$5,2))</f>
        <v>49.4</v>
      </c>
      <c r="K404" s="19" t="n">
        <f aca="false">IF($I404="","",ROUND($I404*Dropdowns!$K$6,2))</f>
        <v>45.6</v>
      </c>
      <c r="L404" s="20" t="n">
        <f aca="false">IF($I404="","",ROUND($I404*Dropdowns!$K$7,2))</f>
        <v>3895</v>
      </c>
      <c r="M404" s="15" t="str">
        <f aca="false">IFERROR(IF($B404="","",VLOOKUP($B404,Designs!$A$3:$AP$165,27,FALSE())),"")</f>
        <v/>
      </c>
      <c r="N404" s="16" t="str">
        <f aca="false">IFERROR(IF(OR($I404="",$M404="",$M404=0),"",($I404-$M404)/$I404),"")</f>
        <v/>
      </c>
      <c r="O404" s="13" t="n">
        <v>0</v>
      </c>
      <c r="P404" s="13" t="n">
        <v>0</v>
      </c>
      <c r="Q404" s="21" t="n">
        <f aca="false">IF($O404="","",$O404-IF($P404="",0,$P404))</f>
        <v>0</v>
      </c>
      <c r="R404" s="13" t="n">
        <v>2</v>
      </c>
      <c r="S404" s="21" t="str">
        <f aca="false">IF($O404="","",IF($Q404&lt;=$R404,"⚠ REORDER","OK"))</f>
        <v>⚠ REORDER</v>
      </c>
      <c r="T404" s="13"/>
      <c r="U404" s="13"/>
      <c r="V404" s="13" t="s">
        <v>378</v>
      </c>
      <c r="W404" s="12" t="s">
        <v>379</v>
      </c>
      <c r="X404" s="13"/>
      <c r="Y404" s="13"/>
      <c r="Z404" s="12" t="s">
        <v>88</v>
      </c>
      <c r="AA404" s="12" t="s">
        <v>88</v>
      </c>
      <c r="AB404" s="12" t="s">
        <v>88</v>
      </c>
      <c r="AC404" s="12" t="s">
        <v>88</v>
      </c>
      <c r="AD404" s="12" t="s">
        <v>87</v>
      </c>
      <c r="AE404" s="21" t="n">
        <f aca="false">IFERROR(SUMIFS(Transactions!$F:$F,Transactions!$C:$C,$A404,Transactions!$D:$D,"Sale"),0)</f>
        <v>0</v>
      </c>
      <c r="AF404" s="15" t="n">
        <f aca="false">IFERROR(SUMIFS(Transactions!$H:$H,Transactions!$C:$C,$A404,Transactions!$D:$D,"Sale"),0)</f>
        <v>0</v>
      </c>
      <c r="AG404" s="22" t="str">
        <f aca="false">IFERROR(IF(maxifs(Transactions!$B:$B,Transactions!$C:$C,$A404,Transactions!$D:$D,"Sale")=0,"",maxifs(Transactions!$B:$B,Transactions!$C:$C,$A404,Transactions!$D:$D,"Sale")),"")</f>
        <v/>
      </c>
      <c r="AH404" s="12"/>
    </row>
    <row r="405" customFormat="false" ht="18" hidden="false" customHeight="true" outlineLevel="0" collapsed="false">
      <c r="A405" s="12" t="s">
        <v>811</v>
      </c>
      <c r="B405" s="12" t="s">
        <v>311</v>
      </c>
      <c r="C405" s="12" t="s">
        <v>312</v>
      </c>
      <c r="D405" s="12" t="s">
        <v>78</v>
      </c>
      <c r="E405" s="12" t="s">
        <v>258</v>
      </c>
      <c r="F405" s="12"/>
      <c r="G405" s="12" t="s">
        <v>657</v>
      </c>
      <c r="H405" s="12" t="s">
        <v>381</v>
      </c>
      <c r="I405" s="14" t="n">
        <v>19000</v>
      </c>
      <c r="J405" s="18" t="n">
        <f aca="false">IF($I405="","",ROUND($I405*Dropdowns!$K$5,2))</f>
        <v>49.4</v>
      </c>
      <c r="K405" s="19" t="n">
        <f aca="false">IF($I405="","",ROUND($I405*Dropdowns!$K$6,2))</f>
        <v>45.6</v>
      </c>
      <c r="L405" s="20" t="n">
        <f aca="false">IF($I405="","",ROUND($I405*Dropdowns!$K$7,2))</f>
        <v>3895</v>
      </c>
      <c r="M405" s="15" t="str">
        <f aca="false">IFERROR(IF($B405="","",VLOOKUP($B405,Designs!$A$3:$AP$165,27,FALSE())),"")</f>
        <v/>
      </c>
      <c r="N405" s="16" t="str">
        <f aca="false">IFERROR(IF(OR($I405="",$M405="",$M405=0),"",($I405-$M405)/$I405),"")</f>
        <v/>
      </c>
      <c r="O405" s="13" t="n">
        <v>0</v>
      </c>
      <c r="P405" s="13" t="n">
        <v>0</v>
      </c>
      <c r="Q405" s="21" t="n">
        <f aca="false">IF($O405="","",$O405-IF($P405="",0,$P405))</f>
        <v>0</v>
      </c>
      <c r="R405" s="13" t="n">
        <v>2</v>
      </c>
      <c r="S405" s="21" t="str">
        <f aca="false">IF($O405="","",IF($Q405&lt;=$R405,"⚠ REORDER","OK"))</f>
        <v>⚠ REORDER</v>
      </c>
      <c r="T405" s="13"/>
      <c r="U405" s="13"/>
      <c r="V405" s="13" t="s">
        <v>378</v>
      </c>
      <c r="W405" s="12" t="s">
        <v>379</v>
      </c>
      <c r="X405" s="13"/>
      <c r="Y405" s="13"/>
      <c r="Z405" s="12" t="s">
        <v>88</v>
      </c>
      <c r="AA405" s="12" t="s">
        <v>88</v>
      </c>
      <c r="AB405" s="12" t="s">
        <v>88</v>
      </c>
      <c r="AC405" s="12" t="s">
        <v>88</v>
      </c>
      <c r="AD405" s="12" t="s">
        <v>87</v>
      </c>
      <c r="AE405" s="21" t="n">
        <f aca="false">IFERROR(SUMIFS(Transactions!$F:$F,Transactions!$C:$C,$A405,Transactions!$D:$D,"Sale"),0)</f>
        <v>0</v>
      </c>
      <c r="AF405" s="15" t="n">
        <f aca="false">IFERROR(SUMIFS(Transactions!$H:$H,Transactions!$C:$C,$A405,Transactions!$D:$D,"Sale"),0)</f>
        <v>0</v>
      </c>
      <c r="AG405" s="22" t="str">
        <f aca="false">IFERROR(IF(maxifs(Transactions!$B:$B,Transactions!$C:$C,$A405,Transactions!$D:$D,"Sale")=0,"",maxifs(Transactions!$B:$B,Transactions!$C:$C,$A405,Transactions!$D:$D,"Sale")),"")</f>
        <v/>
      </c>
      <c r="AH405" s="12"/>
    </row>
    <row r="406" customFormat="false" ht="18" hidden="false" customHeight="true" outlineLevel="0" collapsed="false">
      <c r="A406" s="12" t="s">
        <v>812</v>
      </c>
      <c r="B406" s="12" t="s">
        <v>313</v>
      </c>
      <c r="C406" s="12" t="s">
        <v>314</v>
      </c>
      <c r="D406" s="12" t="s">
        <v>78</v>
      </c>
      <c r="E406" s="12" t="s">
        <v>264</v>
      </c>
      <c r="F406" s="12"/>
      <c r="G406" s="12" t="s">
        <v>657</v>
      </c>
      <c r="H406" s="12" t="s">
        <v>660</v>
      </c>
      <c r="I406" s="14" t="n">
        <v>19000</v>
      </c>
      <c r="J406" s="18" t="n">
        <f aca="false">IF($I406="","",ROUND($I406*Dropdowns!$K$5,2))</f>
        <v>49.4</v>
      </c>
      <c r="K406" s="19" t="n">
        <f aca="false">IF($I406="","",ROUND($I406*Dropdowns!$K$6,2))</f>
        <v>45.6</v>
      </c>
      <c r="L406" s="20" t="n">
        <f aca="false">IF($I406="","",ROUND($I406*Dropdowns!$K$7,2))</f>
        <v>3895</v>
      </c>
      <c r="M406" s="15" t="str">
        <f aca="false">IFERROR(IF($B406="","",VLOOKUP($B406,Designs!$A$3:$AP$165,27,FALSE())),"")</f>
        <v/>
      </c>
      <c r="N406" s="16" t="str">
        <f aca="false">IFERROR(IF(OR($I406="",$M406="",$M406=0),"",($I406-$M406)/$I406),"")</f>
        <v/>
      </c>
      <c r="O406" s="13" t="n">
        <v>0</v>
      </c>
      <c r="P406" s="13" t="n">
        <v>0</v>
      </c>
      <c r="Q406" s="21" t="n">
        <f aca="false">IF($O406="","",$O406-IF($P406="",0,$P406))</f>
        <v>0</v>
      </c>
      <c r="R406" s="13" t="n">
        <v>2</v>
      </c>
      <c r="S406" s="21" t="str">
        <f aca="false">IF($O406="","",IF($Q406&lt;=$R406,"⚠ REORDER","OK"))</f>
        <v>⚠ REORDER</v>
      </c>
      <c r="T406" s="13"/>
      <c r="U406" s="13"/>
      <c r="V406" s="13" t="s">
        <v>378</v>
      </c>
      <c r="W406" s="12" t="s">
        <v>379</v>
      </c>
      <c r="X406" s="13"/>
      <c r="Y406" s="13"/>
      <c r="Z406" s="12" t="s">
        <v>88</v>
      </c>
      <c r="AA406" s="12" t="s">
        <v>88</v>
      </c>
      <c r="AB406" s="12" t="s">
        <v>88</v>
      </c>
      <c r="AC406" s="12" t="s">
        <v>88</v>
      </c>
      <c r="AD406" s="12" t="s">
        <v>87</v>
      </c>
      <c r="AE406" s="21" t="n">
        <f aca="false">IFERROR(SUMIFS(Transactions!$F:$F,Transactions!$C:$C,$A406,Transactions!$D:$D,"Sale"),0)</f>
        <v>0</v>
      </c>
      <c r="AF406" s="15" t="n">
        <f aca="false">IFERROR(SUMIFS(Transactions!$H:$H,Transactions!$C:$C,$A406,Transactions!$D:$D,"Sale"),0)</f>
        <v>0</v>
      </c>
      <c r="AG406" s="22" t="str">
        <f aca="false">IFERROR(IF(maxifs(Transactions!$B:$B,Transactions!$C:$C,$A406,Transactions!$D:$D,"Sale")=0,"",maxifs(Transactions!$B:$B,Transactions!$C:$C,$A406,Transactions!$D:$D,"Sale")),"")</f>
        <v/>
      </c>
      <c r="AH406" s="12"/>
    </row>
    <row r="407" customFormat="false" ht="18" hidden="false" customHeight="true" outlineLevel="0" collapsed="false">
      <c r="A407" s="12" t="s">
        <v>813</v>
      </c>
      <c r="B407" s="12" t="s">
        <v>313</v>
      </c>
      <c r="C407" s="12" t="s">
        <v>314</v>
      </c>
      <c r="D407" s="12" t="s">
        <v>78</v>
      </c>
      <c r="E407" s="12" t="s">
        <v>264</v>
      </c>
      <c r="F407" s="12"/>
      <c r="G407" s="12" t="s">
        <v>657</v>
      </c>
      <c r="H407" s="12" t="s">
        <v>700</v>
      </c>
      <c r="I407" s="14" t="n">
        <v>19000</v>
      </c>
      <c r="J407" s="18" t="n">
        <f aca="false">IF($I407="","",ROUND($I407*Dropdowns!$K$5,2))</f>
        <v>49.4</v>
      </c>
      <c r="K407" s="19" t="n">
        <f aca="false">IF($I407="","",ROUND($I407*Dropdowns!$K$6,2))</f>
        <v>45.6</v>
      </c>
      <c r="L407" s="20" t="n">
        <f aca="false">IF($I407="","",ROUND($I407*Dropdowns!$K$7,2))</f>
        <v>3895</v>
      </c>
      <c r="M407" s="15" t="str">
        <f aca="false">IFERROR(IF($B407="","",VLOOKUP($B407,Designs!$A$3:$AP$165,27,FALSE())),"")</f>
        <v/>
      </c>
      <c r="N407" s="16" t="str">
        <f aca="false">IFERROR(IF(OR($I407="",$M407="",$M407=0),"",($I407-$M407)/$I407),"")</f>
        <v/>
      </c>
      <c r="O407" s="13" t="n">
        <v>0</v>
      </c>
      <c r="P407" s="13" t="n">
        <v>0</v>
      </c>
      <c r="Q407" s="21" t="n">
        <f aca="false">IF($O407="","",$O407-IF($P407="",0,$P407))</f>
        <v>0</v>
      </c>
      <c r="R407" s="13" t="n">
        <v>2</v>
      </c>
      <c r="S407" s="21" t="str">
        <f aca="false">IF($O407="","",IF($Q407&lt;=$R407,"⚠ REORDER","OK"))</f>
        <v>⚠ REORDER</v>
      </c>
      <c r="T407" s="13"/>
      <c r="U407" s="13"/>
      <c r="V407" s="13" t="s">
        <v>378</v>
      </c>
      <c r="W407" s="12" t="s">
        <v>379</v>
      </c>
      <c r="X407" s="13"/>
      <c r="Y407" s="13"/>
      <c r="Z407" s="12" t="s">
        <v>88</v>
      </c>
      <c r="AA407" s="12" t="s">
        <v>88</v>
      </c>
      <c r="AB407" s="12" t="s">
        <v>88</v>
      </c>
      <c r="AC407" s="12" t="s">
        <v>88</v>
      </c>
      <c r="AD407" s="12" t="s">
        <v>87</v>
      </c>
      <c r="AE407" s="21" t="n">
        <f aca="false">IFERROR(SUMIFS(Transactions!$F:$F,Transactions!$C:$C,$A407,Transactions!$D:$D,"Sale"),0)</f>
        <v>0</v>
      </c>
      <c r="AF407" s="15" t="n">
        <f aca="false">IFERROR(SUMIFS(Transactions!$H:$H,Transactions!$C:$C,$A407,Transactions!$D:$D,"Sale"),0)</f>
        <v>0</v>
      </c>
      <c r="AG407" s="22" t="str">
        <f aca="false">IFERROR(IF(maxifs(Transactions!$B:$B,Transactions!$C:$C,$A407,Transactions!$D:$D,"Sale")=0,"",maxifs(Transactions!$B:$B,Transactions!$C:$C,$A407,Transactions!$D:$D,"Sale")),"")</f>
        <v/>
      </c>
      <c r="AH407" s="12"/>
    </row>
    <row r="408" customFormat="false" ht="18" hidden="false" customHeight="true" outlineLevel="0" collapsed="false">
      <c r="A408" s="12" t="s">
        <v>814</v>
      </c>
      <c r="B408" s="12" t="s">
        <v>313</v>
      </c>
      <c r="C408" s="12" t="s">
        <v>314</v>
      </c>
      <c r="D408" s="12" t="s">
        <v>78</v>
      </c>
      <c r="E408" s="12" t="s">
        <v>264</v>
      </c>
      <c r="F408" s="12"/>
      <c r="G408" s="12" t="s">
        <v>657</v>
      </c>
      <c r="H408" s="12" t="s">
        <v>662</v>
      </c>
      <c r="I408" s="14" t="n">
        <v>19000</v>
      </c>
      <c r="J408" s="18" t="n">
        <f aca="false">IF($I408="","",ROUND($I408*Dropdowns!$K$5,2))</f>
        <v>49.4</v>
      </c>
      <c r="K408" s="19" t="n">
        <f aca="false">IF($I408="","",ROUND($I408*Dropdowns!$K$6,2))</f>
        <v>45.6</v>
      </c>
      <c r="L408" s="20" t="n">
        <f aca="false">IF($I408="","",ROUND($I408*Dropdowns!$K$7,2))</f>
        <v>3895</v>
      </c>
      <c r="M408" s="15" t="str">
        <f aca="false">IFERROR(IF($B408="","",VLOOKUP($B408,Designs!$A$3:$AP$165,27,FALSE())),"")</f>
        <v/>
      </c>
      <c r="N408" s="16" t="str">
        <f aca="false">IFERROR(IF(OR($I408="",$M408="",$M408=0),"",($I408-$M408)/$I408),"")</f>
        <v/>
      </c>
      <c r="O408" s="13" t="n">
        <v>0</v>
      </c>
      <c r="P408" s="13" t="n">
        <v>0</v>
      </c>
      <c r="Q408" s="21" t="n">
        <f aca="false">IF($O408="","",$O408-IF($P408="",0,$P408))</f>
        <v>0</v>
      </c>
      <c r="R408" s="13" t="n">
        <v>2</v>
      </c>
      <c r="S408" s="21" t="str">
        <f aca="false">IF($O408="","",IF($Q408&lt;=$R408,"⚠ REORDER","OK"))</f>
        <v>⚠ REORDER</v>
      </c>
      <c r="T408" s="13"/>
      <c r="U408" s="13"/>
      <c r="V408" s="13" t="s">
        <v>378</v>
      </c>
      <c r="W408" s="12" t="s">
        <v>379</v>
      </c>
      <c r="X408" s="13"/>
      <c r="Y408" s="13"/>
      <c r="Z408" s="12" t="s">
        <v>88</v>
      </c>
      <c r="AA408" s="12" t="s">
        <v>88</v>
      </c>
      <c r="AB408" s="12" t="s">
        <v>88</v>
      </c>
      <c r="AC408" s="12" t="s">
        <v>88</v>
      </c>
      <c r="AD408" s="12" t="s">
        <v>87</v>
      </c>
      <c r="AE408" s="21" t="n">
        <f aca="false">IFERROR(SUMIFS(Transactions!$F:$F,Transactions!$C:$C,$A408,Transactions!$D:$D,"Sale"),0)</f>
        <v>0</v>
      </c>
      <c r="AF408" s="15" t="n">
        <f aca="false">IFERROR(SUMIFS(Transactions!$H:$H,Transactions!$C:$C,$A408,Transactions!$D:$D,"Sale"),0)</f>
        <v>0</v>
      </c>
      <c r="AG408" s="22" t="str">
        <f aca="false">IFERROR(IF(maxifs(Transactions!$B:$B,Transactions!$C:$C,$A408,Transactions!$D:$D,"Sale")=0,"",maxifs(Transactions!$B:$B,Transactions!$C:$C,$A408,Transactions!$D:$D,"Sale")),"")</f>
        <v/>
      </c>
      <c r="AH408" s="12"/>
    </row>
    <row r="409" customFormat="false" ht="18" hidden="false" customHeight="true" outlineLevel="0" collapsed="false">
      <c r="A409" s="12" t="s">
        <v>815</v>
      </c>
      <c r="B409" s="12" t="s">
        <v>313</v>
      </c>
      <c r="C409" s="12" t="s">
        <v>314</v>
      </c>
      <c r="D409" s="12" t="s">
        <v>78</v>
      </c>
      <c r="E409" s="12" t="s">
        <v>264</v>
      </c>
      <c r="F409" s="12"/>
      <c r="G409" s="12" t="s">
        <v>657</v>
      </c>
      <c r="H409" s="12" t="s">
        <v>664</v>
      </c>
      <c r="I409" s="14" t="n">
        <v>19000</v>
      </c>
      <c r="J409" s="18" t="n">
        <f aca="false">IF($I409="","",ROUND($I409*Dropdowns!$K$5,2))</f>
        <v>49.4</v>
      </c>
      <c r="K409" s="19" t="n">
        <f aca="false">IF($I409="","",ROUND($I409*Dropdowns!$K$6,2))</f>
        <v>45.6</v>
      </c>
      <c r="L409" s="20" t="n">
        <f aca="false">IF($I409="","",ROUND($I409*Dropdowns!$K$7,2))</f>
        <v>3895</v>
      </c>
      <c r="M409" s="15" t="str">
        <f aca="false">IFERROR(IF($B409="","",VLOOKUP($B409,Designs!$A$3:$AP$165,27,FALSE())),"")</f>
        <v/>
      </c>
      <c r="N409" s="16" t="str">
        <f aca="false">IFERROR(IF(OR($I409="",$M409="",$M409=0),"",($I409-$M409)/$I409),"")</f>
        <v/>
      </c>
      <c r="O409" s="13" t="n">
        <v>0</v>
      </c>
      <c r="P409" s="13" t="n">
        <v>0</v>
      </c>
      <c r="Q409" s="21" t="n">
        <f aca="false">IF($O409="","",$O409-IF($P409="",0,$P409))</f>
        <v>0</v>
      </c>
      <c r="R409" s="13" t="n">
        <v>2</v>
      </c>
      <c r="S409" s="21" t="str">
        <f aca="false">IF($O409="","",IF($Q409&lt;=$R409,"⚠ REORDER","OK"))</f>
        <v>⚠ REORDER</v>
      </c>
      <c r="T409" s="13"/>
      <c r="U409" s="13"/>
      <c r="V409" s="13" t="s">
        <v>378</v>
      </c>
      <c r="W409" s="12" t="s">
        <v>379</v>
      </c>
      <c r="X409" s="13"/>
      <c r="Y409" s="13"/>
      <c r="Z409" s="12" t="s">
        <v>88</v>
      </c>
      <c r="AA409" s="12" t="s">
        <v>88</v>
      </c>
      <c r="AB409" s="12" t="s">
        <v>88</v>
      </c>
      <c r="AC409" s="12" t="s">
        <v>88</v>
      </c>
      <c r="AD409" s="12" t="s">
        <v>87</v>
      </c>
      <c r="AE409" s="21" t="n">
        <f aca="false">IFERROR(SUMIFS(Transactions!$F:$F,Transactions!$C:$C,$A409,Transactions!$D:$D,"Sale"),0)</f>
        <v>0</v>
      </c>
      <c r="AF409" s="15" t="n">
        <f aca="false">IFERROR(SUMIFS(Transactions!$H:$H,Transactions!$C:$C,$A409,Transactions!$D:$D,"Sale"),0)</f>
        <v>0</v>
      </c>
      <c r="AG409" s="22" t="str">
        <f aca="false">IFERROR(IF(maxifs(Transactions!$B:$B,Transactions!$C:$C,$A409,Transactions!$D:$D,"Sale")=0,"",maxifs(Transactions!$B:$B,Transactions!$C:$C,$A409,Transactions!$D:$D,"Sale")),"")</f>
        <v/>
      </c>
      <c r="AH409" s="12"/>
    </row>
    <row r="410" customFormat="false" ht="18" hidden="false" customHeight="true" outlineLevel="0" collapsed="false">
      <c r="A410" s="12" t="s">
        <v>816</v>
      </c>
      <c r="B410" s="12" t="s">
        <v>315</v>
      </c>
      <c r="C410" s="12" t="s">
        <v>269</v>
      </c>
      <c r="D410" s="12" t="s">
        <v>78</v>
      </c>
      <c r="E410" s="12" t="s">
        <v>270</v>
      </c>
      <c r="F410" s="12"/>
      <c r="G410" s="12" t="s">
        <v>657</v>
      </c>
      <c r="H410" s="12" t="s">
        <v>707</v>
      </c>
      <c r="I410" s="14" t="n">
        <v>19000</v>
      </c>
      <c r="J410" s="18" t="n">
        <f aca="false">IF($I410="","",ROUND($I410*Dropdowns!$K$5,2))</f>
        <v>49.4</v>
      </c>
      <c r="K410" s="19" t="n">
        <f aca="false">IF($I410="","",ROUND($I410*Dropdowns!$K$6,2))</f>
        <v>45.6</v>
      </c>
      <c r="L410" s="20" t="n">
        <f aca="false">IF($I410="","",ROUND($I410*Dropdowns!$K$7,2))</f>
        <v>3895</v>
      </c>
      <c r="M410" s="15" t="str">
        <f aca="false">IFERROR(IF($B410="","",VLOOKUP($B410,Designs!$A$3:$AP$165,27,FALSE())),"")</f>
        <v/>
      </c>
      <c r="N410" s="16" t="str">
        <f aca="false">IFERROR(IF(OR($I410="",$M410="",$M410=0),"",($I410-$M410)/$I410),"")</f>
        <v/>
      </c>
      <c r="O410" s="13" t="n">
        <v>0</v>
      </c>
      <c r="P410" s="13" t="n">
        <v>0</v>
      </c>
      <c r="Q410" s="21" t="n">
        <f aca="false">IF($O410="","",$O410-IF($P410="",0,$P410))</f>
        <v>0</v>
      </c>
      <c r="R410" s="13" t="n">
        <v>2</v>
      </c>
      <c r="S410" s="21" t="str">
        <f aca="false">IF($O410="","",IF($Q410&lt;=$R410,"⚠ REORDER","OK"))</f>
        <v>⚠ REORDER</v>
      </c>
      <c r="T410" s="13"/>
      <c r="U410" s="13"/>
      <c r="V410" s="13" t="s">
        <v>378</v>
      </c>
      <c r="W410" s="12" t="s">
        <v>379</v>
      </c>
      <c r="X410" s="13"/>
      <c r="Y410" s="13"/>
      <c r="Z410" s="12" t="s">
        <v>88</v>
      </c>
      <c r="AA410" s="12" t="s">
        <v>88</v>
      </c>
      <c r="AB410" s="12" t="s">
        <v>88</v>
      </c>
      <c r="AC410" s="12" t="s">
        <v>88</v>
      </c>
      <c r="AD410" s="12" t="s">
        <v>87</v>
      </c>
      <c r="AE410" s="21" t="n">
        <f aca="false">IFERROR(SUMIFS(Transactions!$F:$F,Transactions!$C:$C,$A410,Transactions!$D:$D,"Sale"),0)</f>
        <v>0</v>
      </c>
      <c r="AF410" s="15" t="n">
        <f aca="false">IFERROR(SUMIFS(Transactions!$H:$H,Transactions!$C:$C,$A410,Transactions!$D:$D,"Sale"),0)</f>
        <v>0</v>
      </c>
      <c r="AG410" s="22" t="str">
        <f aca="false">IFERROR(IF(maxifs(Transactions!$B:$B,Transactions!$C:$C,$A410,Transactions!$D:$D,"Sale")=0,"",maxifs(Transactions!$B:$B,Transactions!$C:$C,$A410,Transactions!$D:$D,"Sale")),"")</f>
        <v/>
      </c>
      <c r="AH410" s="12"/>
    </row>
    <row r="411" customFormat="false" ht="18" hidden="false" customHeight="true" outlineLevel="0" collapsed="false">
      <c r="A411" s="12" t="s">
        <v>817</v>
      </c>
      <c r="B411" s="12" t="s">
        <v>315</v>
      </c>
      <c r="C411" s="12" t="s">
        <v>269</v>
      </c>
      <c r="D411" s="12" t="s">
        <v>78</v>
      </c>
      <c r="E411" s="12" t="s">
        <v>270</v>
      </c>
      <c r="F411" s="12"/>
      <c r="G411" s="12" t="s">
        <v>657</v>
      </c>
      <c r="H411" s="12" t="s">
        <v>713</v>
      </c>
      <c r="I411" s="14" t="n">
        <v>19000</v>
      </c>
      <c r="J411" s="18" t="n">
        <f aca="false">IF($I411="","",ROUND($I411*Dropdowns!$K$5,2))</f>
        <v>49.4</v>
      </c>
      <c r="K411" s="19" t="n">
        <f aca="false">IF($I411="","",ROUND($I411*Dropdowns!$K$6,2))</f>
        <v>45.6</v>
      </c>
      <c r="L411" s="20" t="n">
        <f aca="false">IF($I411="","",ROUND($I411*Dropdowns!$K$7,2))</f>
        <v>3895</v>
      </c>
      <c r="M411" s="15" t="str">
        <f aca="false">IFERROR(IF($B411="","",VLOOKUP($B411,Designs!$A$3:$AP$165,27,FALSE())),"")</f>
        <v/>
      </c>
      <c r="N411" s="16" t="str">
        <f aca="false">IFERROR(IF(OR($I411="",$M411="",$M411=0),"",($I411-$M411)/$I411),"")</f>
        <v/>
      </c>
      <c r="O411" s="13" t="n">
        <v>0</v>
      </c>
      <c r="P411" s="13" t="n">
        <v>0</v>
      </c>
      <c r="Q411" s="21" t="n">
        <f aca="false">IF($O411="","",$O411-IF($P411="",0,$P411))</f>
        <v>0</v>
      </c>
      <c r="R411" s="13" t="n">
        <v>2</v>
      </c>
      <c r="S411" s="21" t="str">
        <f aca="false">IF($O411="","",IF($Q411&lt;=$R411,"⚠ REORDER","OK"))</f>
        <v>⚠ REORDER</v>
      </c>
      <c r="T411" s="13"/>
      <c r="U411" s="13"/>
      <c r="V411" s="13" t="s">
        <v>378</v>
      </c>
      <c r="W411" s="12" t="s">
        <v>379</v>
      </c>
      <c r="X411" s="13"/>
      <c r="Y411" s="13"/>
      <c r="Z411" s="12" t="s">
        <v>88</v>
      </c>
      <c r="AA411" s="12" t="s">
        <v>88</v>
      </c>
      <c r="AB411" s="12" t="s">
        <v>88</v>
      </c>
      <c r="AC411" s="12" t="s">
        <v>88</v>
      </c>
      <c r="AD411" s="12" t="s">
        <v>87</v>
      </c>
      <c r="AE411" s="21" t="n">
        <f aca="false">IFERROR(SUMIFS(Transactions!$F:$F,Transactions!$C:$C,$A411,Transactions!$D:$D,"Sale"),0)</f>
        <v>0</v>
      </c>
      <c r="AF411" s="15" t="n">
        <f aca="false">IFERROR(SUMIFS(Transactions!$H:$H,Transactions!$C:$C,$A411,Transactions!$D:$D,"Sale"),0)</f>
        <v>0</v>
      </c>
      <c r="AG411" s="22" t="str">
        <f aca="false">IFERROR(IF(maxifs(Transactions!$B:$B,Transactions!$C:$C,$A411,Transactions!$D:$D,"Sale")=0,"",maxifs(Transactions!$B:$B,Transactions!$C:$C,$A411,Transactions!$D:$D,"Sale")),"")</f>
        <v/>
      </c>
      <c r="AH411" s="12"/>
    </row>
    <row r="412" customFormat="false" ht="18" hidden="false" customHeight="true" outlineLevel="0" collapsed="false">
      <c r="A412" s="12" t="s">
        <v>818</v>
      </c>
      <c r="B412" s="12" t="s">
        <v>315</v>
      </c>
      <c r="C412" s="12" t="s">
        <v>269</v>
      </c>
      <c r="D412" s="12" t="s">
        <v>78</v>
      </c>
      <c r="E412" s="12" t="s">
        <v>270</v>
      </c>
      <c r="F412" s="12"/>
      <c r="G412" s="12" t="s">
        <v>657</v>
      </c>
      <c r="H412" s="12" t="s">
        <v>709</v>
      </c>
      <c r="I412" s="14" t="n">
        <v>19000</v>
      </c>
      <c r="J412" s="18" t="n">
        <f aca="false">IF($I412="","",ROUND($I412*Dropdowns!$K$5,2))</f>
        <v>49.4</v>
      </c>
      <c r="K412" s="19" t="n">
        <f aca="false">IF($I412="","",ROUND($I412*Dropdowns!$K$6,2))</f>
        <v>45.6</v>
      </c>
      <c r="L412" s="20" t="n">
        <f aca="false">IF($I412="","",ROUND($I412*Dropdowns!$K$7,2))</f>
        <v>3895</v>
      </c>
      <c r="M412" s="15" t="str">
        <f aca="false">IFERROR(IF($B412="","",VLOOKUP($B412,Designs!$A$3:$AP$165,27,FALSE())),"")</f>
        <v/>
      </c>
      <c r="N412" s="16" t="str">
        <f aca="false">IFERROR(IF(OR($I412="",$M412="",$M412=0),"",($I412-$M412)/$I412),"")</f>
        <v/>
      </c>
      <c r="O412" s="13" t="n">
        <v>0</v>
      </c>
      <c r="P412" s="13" t="n">
        <v>0</v>
      </c>
      <c r="Q412" s="21" t="n">
        <f aca="false">IF($O412="","",$O412-IF($P412="",0,$P412))</f>
        <v>0</v>
      </c>
      <c r="R412" s="13" t="n">
        <v>2</v>
      </c>
      <c r="S412" s="21" t="str">
        <f aca="false">IF($O412="","",IF($Q412&lt;=$R412,"⚠ REORDER","OK"))</f>
        <v>⚠ REORDER</v>
      </c>
      <c r="T412" s="13"/>
      <c r="U412" s="13"/>
      <c r="V412" s="13" t="s">
        <v>378</v>
      </c>
      <c r="W412" s="12" t="s">
        <v>379</v>
      </c>
      <c r="X412" s="13"/>
      <c r="Y412" s="13"/>
      <c r="Z412" s="12" t="s">
        <v>88</v>
      </c>
      <c r="AA412" s="12" t="s">
        <v>88</v>
      </c>
      <c r="AB412" s="12" t="s">
        <v>88</v>
      </c>
      <c r="AC412" s="12" t="s">
        <v>88</v>
      </c>
      <c r="AD412" s="12" t="s">
        <v>87</v>
      </c>
      <c r="AE412" s="21" t="n">
        <f aca="false">IFERROR(SUMIFS(Transactions!$F:$F,Transactions!$C:$C,$A412,Transactions!$D:$D,"Sale"),0)</f>
        <v>0</v>
      </c>
      <c r="AF412" s="15" t="n">
        <f aca="false">IFERROR(SUMIFS(Transactions!$H:$H,Transactions!$C:$C,$A412,Transactions!$D:$D,"Sale"),0)</f>
        <v>0</v>
      </c>
      <c r="AG412" s="22" t="str">
        <f aca="false">IFERROR(IF(maxifs(Transactions!$B:$B,Transactions!$C:$C,$A412,Transactions!$D:$D,"Sale")=0,"",maxifs(Transactions!$B:$B,Transactions!$C:$C,$A412,Transactions!$D:$D,"Sale")),"")</f>
        <v/>
      </c>
      <c r="AH412" s="12"/>
    </row>
    <row r="413" customFormat="false" ht="18" hidden="false" customHeight="true" outlineLevel="0" collapsed="false">
      <c r="A413" s="12" t="s">
        <v>819</v>
      </c>
      <c r="B413" s="12" t="s">
        <v>315</v>
      </c>
      <c r="C413" s="12" t="s">
        <v>269</v>
      </c>
      <c r="D413" s="12" t="s">
        <v>78</v>
      </c>
      <c r="E413" s="12" t="s">
        <v>270</v>
      </c>
      <c r="F413" s="12"/>
      <c r="G413" s="12" t="s">
        <v>657</v>
      </c>
      <c r="H413" s="12" t="s">
        <v>711</v>
      </c>
      <c r="I413" s="14" t="n">
        <v>19000</v>
      </c>
      <c r="J413" s="18" t="n">
        <f aca="false">IF($I413="","",ROUND($I413*Dropdowns!$K$5,2))</f>
        <v>49.4</v>
      </c>
      <c r="K413" s="19" t="n">
        <f aca="false">IF($I413="","",ROUND($I413*Dropdowns!$K$6,2))</f>
        <v>45.6</v>
      </c>
      <c r="L413" s="20" t="n">
        <f aca="false">IF($I413="","",ROUND($I413*Dropdowns!$K$7,2))</f>
        <v>3895</v>
      </c>
      <c r="M413" s="15" t="str">
        <f aca="false">IFERROR(IF($B413="","",VLOOKUP($B413,Designs!$A$3:$AP$165,27,FALSE())),"")</f>
        <v/>
      </c>
      <c r="N413" s="16" t="str">
        <f aca="false">IFERROR(IF(OR($I413="",$M413="",$M413=0),"",($I413-$M413)/$I413),"")</f>
        <v/>
      </c>
      <c r="O413" s="13" t="n">
        <v>0</v>
      </c>
      <c r="P413" s="13" t="n">
        <v>0</v>
      </c>
      <c r="Q413" s="21" t="n">
        <f aca="false">IF($O413="","",$O413-IF($P413="",0,$P413))</f>
        <v>0</v>
      </c>
      <c r="R413" s="13" t="n">
        <v>2</v>
      </c>
      <c r="S413" s="21" t="str">
        <f aca="false">IF($O413="","",IF($Q413&lt;=$R413,"⚠ REORDER","OK"))</f>
        <v>⚠ REORDER</v>
      </c>
      <c r="T413" s="13"/>
      <c r="U413" s="13"/>
      <c r="V413" s="13" t="s">
        <v>378</v>
      </c>
      <c r="W413" s="12" t="s">
        <v>379</v>
      </c>
      <c r="X413" s="13"/>
      <c r="Y413" s="13"/>
      <c r="Z413" s="12" t="s">
        <v>88</v>
      </c>
      <c r="AA413" s="12" t="s">
        <v>88</v>
      </c>
      <c r="AB413" s="12" t="s">
        <v>88</v>
      </c>
      <c r="AC413" s="12" t="s">
        <v>88</v>
      </c>
      <c r="AD413" s="12" t="s">
        <v>87</v>
      </c>
      <c r="AE413" s="21" t="n">
        <f aca="false">IFERROR(SUMIFS(Transactions!$F:$F,Transactions!$C:$C,$A413,Transactions!$D:$D,"Sale"),0)</f>
        <v>0</v>
      </c>
      <c r="AF413" s="15" t="n">
        <f aca="false">IFERROR(SUMIFS(Transactions!$H:$H,Transactions!$C:$C,$A413,Transactions!$D:$D,"Sale"),0)</f>
        <v>0</v>
      </c>
      <c r="AG413" s="22" t="str">
        <f aca="false">IFERROR(IF(maxifs(Transactions!$B:$B,Transactions!$C:$C,$A413,Transactions!$D:$D,"Sale")=0,"",maxifs(Transactions!$B:$B,Transactions!$C:$C,$A413,Transactions!$D:$D,"Sale")),"")</f>
        <v/>
      </c>
      <c r="AH413" s="12"/>
    </row>
    <row r="414" customFormat="false" ht="18" hidden="false" customHeight="true" outlineLevel="0" collapsed="false">
      <c r="A414" s="12" t="s">
        <v>820</v>
      </c>
      <c r="B414" s="12" t="s">
        <v>316</v>
      </c>
      <c r="C414" s="12" t="s">
        <v>308</v>
      </c>
      <c r="D414" s="12" t="s">
        <v>78</v>
      </c>
      <c r="E414" s="12" t="s">
        <v>246</v>
      </c>
      <c r="F414" s="12"/>
      <c r="G414" s="12" t="s">
        <v>733</v>
      </c>
      <c r="H414" s="12" t="s">
        <v>660</v>
      </c>
      <c r="I414" s="14" t="n">
        <v>29500</v>
      </c>
      <c r="J414" s="18" t="n">
        <f aca="false">IF($I414="","",ROUND($I414*Dropdowns!$K$5,2))</f>
        <v>76.7</v>
      </c>
      <c r="K414" s="19" t="n">
        <f aca="false">IF($I414="","",ROUND($I414*Dropdowns!$K$6,2))</f>
        <v>70.8</v>
      </c>
      <c r="L414" s="20" t="n">
        <f aca="false">IF($I414="","",ROUND($I414*Dropdowns!$K$7,2))</f>
        <v>6047.5</v>
      </c>
      <c r="M414" s="15" t="str">
        <f aca="false">IFERROR(IF($B414="","",VLOOKUP($B414,Designs!$A$3:$AP$165,27,FALSE())),"")</f>
        <v/>
      </c>
      <c r="N414" s="16" t="str">
        <f aca="false">IFERROR(IF(OR($I414="",$M414="",$M414=0),"",($I414-$M414)/$I414),"")</f>
        <v/>
      </c>
      <c r="O414" s="13" t="n">
        <v>0</v>
      </c>
      <c r="P414" s="13" t="n">
        <v>0</v>
      </c>
      <c r="Q414" s="21" t="n">
        <f aca="false">IF($O414="","",$O414-IF($P414="",0,$P414))</f>
        <v>0</v>
      </c>
      <c r="R414" s="13" t="n">
        <v>2</v>
      </c>
      <c r="S414" s="21" t="str">
        <f aca="false">IF($O414="","",IF($Q414&lt;=$R414,"⚠ REORDER","OK"))</f>
        <v>⚠ REORDER</v>
      </c>
      <c r="T414" s="13"/>
      <c r="U414" s="13"/>
      <c r="V414" s="13" t="s">
        <v>378</v>
      </c>
      <c r="W414" s="12" t="s">
        <v>379</v>
      </c>
      <c r="X414" s="13"/>
      <c r="Y414" s="13"/>
      <c r="Z414" s="12" t="s">
        <v>88</v>
      </c>
      <c r="AA414" s="12" t="s">
        <v>88</v>
      </c>
      <c r="AB414" s="12" t="s">
        <v>88</v>
      </c>
      <c r="AC414" s="12" t="s">
        <v>88</v>
      </c>
      <c r="AD414" s="12" t="s">
        <v>87</v>
      </c>
      <c r="AE414" s="21" t="n">
        <f aca="false">IFERROR(SUMIFS(Transactions!$F:$F,Transactions!$C:$C,$A414,Transactions!$D:$D,"Sale"),0)</f>
        <v>0</v>
      </c>
      <c r="AF414" s="15" t="n">
        <f aca="false">IFERROR(SUMIFS(Transactions!$H:$H,Transactions!$C:$C,$A414,Transactions!$D:$D,"Sale"),0)</f>
        <v>0</v>
      </c>
      <c r="AG414" s="22" t="str">
        <f aca="false">IFERROR(IF(maxifs(Transactions!$B:$B,Transactions!$C:$C,$A414,Transactions!$D:$D,"Sale")=0,"",maxifs(Transactions!$B:$B,Transactions!$C:$C,$A414,Transactions!$D:$D,"Sale")),"")</f>
        <v/>
      </c>
      <c r="AH414" s="12"/>
    </row>
    <row r="415" customFormat="false" ht="18" hidden="false" customHeight="true" outlineLevel="0" collapsed="false">
      <c r="A415" s="12" t="s">
        <v>821</v>
      </c>
      <c r="B415" s="12" t="s">
        <v>316</v>
      </c>
      <c r="C415" s="12" t="s">
        <v>308</v>
      </c>
      <c r="D415" s="12" t="s">
        <v>78</v>
      </c>
      <c r="E415" s="12" t="s">
        <v>246</v>
      </c>
      <c r="F415" s="12"/>
      <c r="G415" s="12" t="s">
        <v>733</v>
      </c>
      <c r="H415" s="12" t="s">
        <v>383</v>
      </c>
      <c r="I415" s="14" t="n">
        <v>29500</v>
      </c>
      <c r="J415" s="18" t="n">
        <f aca="false">IF($I415="","",ROUND($I415*Dropdowns!$K$5,2))</f>
        <v>76.7</v>
      </c>
      <c r="K415" s="19" t="n">
        <f aca="false">IF($I415="","",ROUND($I415*Dropdowns!$K$6,2))</f>
        <v>70.8</v>
      </c>
      <c r="L415" s="20" t="n">
        <f aca="false">IF($I415="","",ROUND($I415*Dropdowns!$K$7,2))</f>
        <v>6047.5</v>
      </c>
      <c r="M415" s="15" t="str">
        <f aca="false">IFERROR(IF($B415="","",VLOOKUP($B415,Designs!$A$3:$AP$165,27,FALSE())),"")</f>
        <v/>
      </c>
      <c r="N415" s="16" t="str">
        <f aca="false">IFERROR(IF(OR($I415="",$M415="",$M415=0),"",($I415-$M415)/$I415),"")</f>
        <v/>
      </c>
      <c r="O415" s="13" t="n">
        <v>0</v>
      </c>
      <c r="P415" s="13" t="n">
        <v>0</v>
      </c>
      <c r="Q415" s="21" t="n">
        <f aca="false">IF($O415="","",$O415-IF($P415="",0,$P415))</f>
        <v>0</v>
      </c>
      <c r="R415" s="13" t="n">
        <v>2</v>
      </c>
      <c r="S415" s="21" t="str">
        <f aca="false">IF($O415="","",IF($Q415&lt;=$R415,"⚠ REORDER","OK"))</f>
        <v>⚠ REORDER</v>
      </c>
      <c r="T415" s="13"/>
      <c r="U415" s="13"/>
      <c r="V415" s="13" t="s">
        <v>378</v>
      </c>
      <c r="W415" s="12" t="s">
        <v>379</v>
      </c>
      <c r="X415" s="13"/>
      <c r="Y415" s="13"/>
      <c r="Z415" s="12" t="s">
        <v>88</v>
      </c>
      <c r="AA415" s="12" t="s">
        <v>88</v>
      </c>
      <c r="AB415" s="12" t="s">
        <v>88</v>
      </c>
      <c r="AC415" s="12" t="s">
        <v>88</v>
      </c>
      <c r="AD415" s="12" t="s">
        <v>87</v>
      </c>
      <c r="AE415" s="21" t="n">
        <f aca="false">IFERROR(SUMIFS(Transactions!$F:$F,Transactions!$C:$C,$A415,Transactions!$D:$D,"Sale"),0)</f>
        <v>0</v>
      </c>
      <c r="AF415" s="15" t="n">
        <f aca="false">IFERROR(SUMIFS(Transactions!$H:$H,Transactions!$C:$C,$A415,Transactions!$D:$D,"Sale"),0)</f>
        <v>0</v>
      </c>
      <c r="AG415" s="22" t="str">
        <f aca="false">IFERROR(IF(maxifs(Transactions!$B:$B,Transactions!$C:$C,$A415,Transactions!$D:$D,"Sale")=0,"",maxifs(Transactions!$B:$B,Transactions!$C:$C,$A415,Transactions!$D:$D,"Sale")),"")</f>
        <v/>
      </c>
      <c r="AH415" s="12"/>
    </row>
    <row r="416" customFormat="false" ht="18" hidden="false" customHeight="true" outlineLevel="0" collapsed="false">
      <c r="A416" s="12" t="s">
        <v>822</v>
      </c>
      <c r="B416" s="12" t="s">
        <v>316</v>
      </c>
      <c r="C416" s="12" t="s">
        <v>308</v>
      </c>
      <c r="D416" s="12" t="s">
        <v>78</v>
      </c>
      <c r="E416" s="12" t="s">
        <v>246</v>
      </c>
      <c r="F416" s="12"/>
      <c r="G416" s="12" t="s">
        <v>733</v>
      </c>
      <c r="H416" s="12" t="s">
        <v>652</v>
      </c>
      <c r="I416" s="14" t="n">
        <v>29500</v>
      </c>
      <c r="J416" s="18" t="n">
        <f aca="false">IF($I416="","",ROUND($I416*Dropdowns!$K$5,2))</f>
        <v>76.7</v>
      </c>
      <c r="K416" s="19" t="n">
        <f aca="false">IF($I416="","",ROUND($I416*Dropdowns!$K$6,2))</f>
        <v>70.8</v>
      </c>
      <c r="L416" s="20" t="n">
        <f aca="false">IF($I416="","",ROUND($I416*Dropdowns!$K$7,2))</f>
        <v>6047.5</v>
      </c>
      <c r="M416" s="15" t="str">
        <f aca="false">IFERROR(IF($B416="","",VLOOKUP($B416,Designs!$A$3:$AP$165,27,FALSE())),"")</f>
        <v/>
      </c>
      <c r="N416" s="16" t="str">
        <f aca="false">IFERROR(IF(OR($I416="",$M416="",$M416=0),"",($I416-$M416)/$I416),"")</f>
        <v/>
      </c>
      <c r="O416" s="13" t="n">
        <v>0</v>
      </c>
      <c r="P416" s="13" t="n">
        <v>0</v>
      </c>
      <c r="Q416" s="21" t="n">
        <f aca="false">IF($O416="","",$O416-IF($P416="",0,$P416))</f>
        <v>0</v>
      </c>
      <c r="R416" s="13" t="n">
        <v>2</v>
      </c>
      <c r="S416" s="21" t="str">
        <f aca="false">IF($O416="","",IF($Q416&lt;=$R416,"⚠ REORDER","OK"))</f>
        <v>⚠ REORDER</v>
      </c>
      <c r="T416" s="13"/>
      <c r="U416" s="13"/>
      <c r="V416" s="13" t="s">
        <v>378</v>
      </c>
      <c r="W416" s="12" t="s">
        <v>379</v>
      </c>
      <c r="X416" s="13"/>
      <c r="Y416" s="13"/>
      <c r="Z416" s="12" t="s">
        <v>88</v>
      </c>
      <c r="AA416" s="12" t="s">
        <v>88</v>
      </c>
      <c r="AB416" s="12" t="s">
        <v>88</v>
      </c>
      <c r="AC416" s="12" t="s">
        <v>88</v>
      </c>
      <c r="AD416" s="12" t="s">
        <v>87</v>
      </c>
      <c r="AE416" s="21" t="n">
        <f aca="false">IFERROR(SUMIFS(Transactions!$F:$F,Transactions!$C:$C,$A416,Transactions!$D:$D,"Sale"),0)</f>
        <v>0</v>
      </c>
      <c r="AF416" s="15" t="n">
        <f aca="false">IFERROR(SUMIFS(Transactions!$H:$H,Transactions!$C:$C,$A416,Transactions!$D:$D,"Sale"),0)</f>
        <v>0</v>
      </c>
      <c r="AG416" s="22" t="str">
        <f aca="false">IFERROR(IF(maxifs(Transactions!$B:$B,Transactions!$C:$C,$A416,Transactions!$D:$D,"Sale")=0,"",maxifs(Transactions!$B:$B,Transactions!$C:$C,$A416,Transactions!$D:$D,"Sale")),"")</f>
        <v/>
      </c>
      <c r="AH416" s="12"/>
    </row>
    <row r="417" customFormat="false" ht="18" hidden="false" customHeight="true" outlineLevel="0" collapsed="false">
      <c r="A417" s="12" t="s">
        <v>823</v>
      </c>
      <c r="B417" s="12" t="s">
        <v>316</v>
      </c>
      <c r="C417" s="12" t="s">
        <v>308</v>
      </c>
      <c r="D417" s="12" t="s">
        <v>78</v>
      </c>
      <c r="E417" s="12" t="s">
        <v>246</v>
      </c>
      <c r="F417" s="12"/>
      <c r="G417" s="12" t="s">
        <v>733</v>
      </c>
      <c r="H417" s="12" t="s">
        <v>770</v>
      </c>
      <c r="I417" s="14" t="n">
        <v>29500</v>
      </c>
      <c r="J417" s="18" t="n">
        <f aca="false">IF($I417="","",ROUND($I417*Dropdowns!$K$5,2))</f>
        <v>76.7</v>
      </c>
      <c r="K417" s="19" t="n">
        <f aca="false">IF($I417="","",ROUND($I417*Dropdowns!$K$6,2))</f>
        <v>70.8</v>
      </c>
      <c r="L417" s="20" t="n">
        <f aca="false">IF($I417="","",ROUND($I417*Dropdowns!$K$7,2))</f>
        <v>6047.5</v>
      </c>
      <c r="M417" s="15" t="str">
        <f aca="false">IFERROR(IF($B417="","",VLOOKUP($B417,Designs!$A$3:$AP$165,27,FALSE())),"")</f>
        <v/>
      </c>
      <c r="N417" s="16" t="str">
        <f aca="false">IFERROR(IF(OR($I417="",$M417="",$M417=0),"",($I417-$M417)/$I417),"")</f>
        <v/>
      </c>
      <c r="O417" s="13" t="n">
        <v>0</v>
      </c>
      <c r="P417" s="13" t="n">
        <v>0</v>
      </c>
      <c r="Q417" s="21" t="n">
        <f aca="false">IF($O417="","",$O417-IF($P417="",0,$P417))</f>
        <v>0</v>
      </c>
      <c r="R417" s="13" t="n">
        <v>2</v>
      </c>
      <c r="S417" s="21" t="str">
        <f aca="false">IF($O417="","",IF($Q417&lt;=$R417,"⚠ REORDER","OK"))</f>
        <v>⚠ REORDER</v>
      </c>
      <c r="T417" s="13"/>
      <c r="U417" s="13"/>
      <c r="V417" s="13" t="s">
        <v>378</v>
      </c>
      <c r="W417" s="12" t="s">
        <v>379</v>
      </c>
      <c r="X417" s="13"/>
      <c r="Y417" s="13"/>
      <c r="Z417" s="12" t="s">
        <v>88</v>
      </c>
      <c r="AA417" s="12" t="s">
        <v>88</v>
      </c>
      <c r="AB417" s="12" t="s">
        <v>88</v>
      </c>
      <c r="AC417" s="12" t="s">
        <v>88</v>
      </c>
      <c r="AD417" s="12" t="s">
        <v>87</v>
      </c>
      <c r="AE417" s="21" t="n">
        <f aca="false">IFERROR(SUMIFS(Transactions!$F:$F,Transactions!$C:$C,$A417,Transactions!$D:$D,"Sale"),0)</f>
        <v>0</v>
      </c>
      <c r="AF417" s="15" t="n">
        <f aca="false">IFERROR(SUMIFS(Transactions!$H:$H,Transactions!$C:$C,$A417,Transactions!$D:$D,"Sale"),0)</f>
        <v>0</v>
      </c>
      <c r="AG417" s="22" t="str">
        <f aca="false">IFERROR(IF(maxifs(Transactions!$B:$B,Transactions!$C:$C,$A417,Transactions!$D:$D,"Sale")=0,"",maxifs(Transactions!$B:$B,Transactions!$C:$C,$A417,Transactions!$D:$D,"Sale")),"")</f>
        <v/>
      </c>
      <c r="AH417" s="12"/>
    </row>
    <row r="418" customFormat="false" ht="18" hidden="false" customHeight="true" outlineLevel="0" collapsed="false">
      <c r="A418" s="12" t="s">
        <v>824</v>
      </c>
      <c r="B418" s="12" t="s">
        <v>316</v>
      </c>
      <c r="C418" s="12" t="s">
        <v>308</v>
      </c>
      <c r="D418" s="12" t="s">
        <v>78</v>
      </c>
      <c r="E418" s="12" t="s">
        <v>246</v>
      </c>
      <c r="F418" s="12"/>
      <c r="G418" s="12" t="s">
        <v>733</v>
      </c>
      <c r="H418" s="12" t="s">
        <v>736</v>
      </c>
      <c r="I418" s="14" t="n">
        <v>29500</v>
      </c>
      <c r="J418" s="18" t="n">
        <f aca="false">IF($I418="","",ROUND($I418*Dropdowns!$K$5,2))</f>
        <v>76.7</v>
      </c>
      <c r="K418" s="19" t="n">
        <f aca="false">IF($I418="","",ROUND($I418*Dropdowns!$K$6,2))</f>
        <v>70.8</v>
      </c>
      <c r="L418" s="20" t="n">
        <f aca="false">IF($I418="","",ROUND($I418*Dropdowns!$K$7,2))</f>
        <v>6047.5</v>
      </c>
      <c r="M418" s="15" t="str">
        <f aca="false">IFERROR(IF($B418="","",VLOOKUP($B418,Designs!$A$3:$AP$165,27,FALSE())),"")</f>
        <v/>
      </c>
      <c r="N418" s="16" t="str">
        <f aca="false">IFERROR(IF(OR($I418="",$M418="",$M418=0),"",($I418-$M418)/$I418),"")</f>
        <v/>
      </c>
      <c r="O418" s="13" t="n">
        <v>0</v>
      </c>
      <c r="P418" s="13" t="n">
        <v>0</v>
      </c>
      <c r="Q418" s="21" t="n">
        <f aca="false">IF($O418="","",$O418-IF($P418="",0,$P418))</f>
        <v>0</v>
      </c>
      <c r="R418" s="13" t="n">
        <v>2</v>
      </c>
      <c r="S418" s="21" t="str">
        <f aca="false">IF($O418="","",IF($Q418&lt;=$R418,"⚠ REORDER","OK"))</f>
        <v>⚠ REORDER</v>
      </c>
      <c r="T418" s="13"/>
      <c r="U418" s="13"/>
      <c r="V418" s="13" t="s">
        <v>378</v>
      </c>
      <c r="W418" s="12" t="s">
        <v>379</v>
      </c>
      <c r="X418" s="13"/>
      <c r="Y418" s="13"/>
      <c r="Z418" s="12" t="s">
        <v>88</v>
      </c>
      <c r="AA418" s="12" t="s">
        <v>88</v>
      </c>
      <c r="AB418" s="12" t="s">
        <v>88</v>
      </c>
      <c r="AC418" s="12" t="s">
        <v>88</v>
      </c>
      <c r="AD418" s="12" t="s">
        <v>87</v>
      </c>
      <c r="AE418" s="21" t="n">
        <f aca="false">IFERROR(SUMIFS(Transactions!$F:$F,Transactions!$C:$C,$A418,Transactions!$D:$D,"Sale"),0)</f>
        <v>0</v>
      </c>
      <c r="AF418" s="15" t="n">
        <f aca="false">IFERROR(SUMIFS(Transactions!$H:$H,Transactions!$C:$C,$A418,Transactions!$D:$D,"Sale"),0)</f>
        <v>0</v>
      </c>
      <c r="AG418" s="22" t="str">
        <f aca="false">IFERROR(IF(maxifs(Transactions!$B:$B,Transactions!$C:$C,$A418,Transactions!$D:$D,"Sale")=0,"",maxifs(Transactions!$B:$B,Transactions!$C:$C,$A418,Transactions!$D:$D,"Sale")),"")</f>
        <v/>
      </c>
      <c r="AH418" s="12"/>
    </row>
    <row r="419" customFormat="false" ht="18" hidden="false" customHeight="true" outlineLevel="0" collapsed="false">
      <c r="A419" s="12" t="s">
        <v>825</v>
      </c>
      <c r="B419" s="12" t="s">
        <v>316</v>
      </c>
      <c r="C419" s="12" t="s">
        <v>308</v>
      </c>
      <c r="D419" s="12" t="s">
        <v>78</v>
      </c>
      <c r="E419" s="12" t="s">
        <v>246</v>
      </c>
      <c r="F419" s="12"/>
      <c r="G419" s="12" t="s">
        <v>733</v>
      </c>
      <c r="H419" s="12" t="s">
        <v>768</v>
      </c>
      <c r="I419" s="14" t="n">
        <v>29500</v>
      </c>
      <c r="J419" s="18" t="n">
        <f aca="false">IF($I419="","",ROUND($I419*Dropdowns!$K$5,2))</f>
        <v>76.7</v>
      </c>
      <c r="K419" s="19" t="n">
        <f aca="false">IF($I419="","",ROUND($I419*Dropdowns!$K$6,2))</f>
        <v>70.8</v>
      </c>
      <c r="L419" s="20" t="n">
        <f aca="false">IF($I419="","",ROUND($I419*Dropdowns!$K$7,2))</f>
        <v>6047.5</v>
      </c>
      <c r="M419" s="15" t="str">
        <f aca="false">IFERROR(IF($B419="","",VLOOKUP($B419,Designs!$A$3:$AP$165,27,FALSE())),"")</f>
        <v/>
      </c>
      <c r="N419" s="16" t="str">
        <f aca="false">IFERROR(IF(OR($I419="",$M419="",$M419=0),"",($I419-$M419)/$I419),"")</f>
        <v/>
      </c>
      <c r="O419" s="13" t="n">
        <v>0</v>
      </c>
      <c r="P419" s="13" t="n">
        <v>0</v>
      </c>
      <c r="Q419" s="21" t="n">
        <f aca="false">IF($O419="","",$O419-IF($P419="",0,$P419))</f>
        <v>0</v>
      </c>
      <c r="R419" s="13" t="n">
        <v>2</v>
      </c>
      <c r="S419" s="21" t="str">
        <f aca="false">IF($O419="","",IF($Q419&lt;=$R419,"⚠ REORDER","OK"))</f>
        <v>⚠ REORDER</v>
      </c>
      <c r="T419" s="13"/>
      <c r="U419" s="13"/>
      <c r="V419" s="13" t="s">
        <v>378</v>
      </c>
      <c r="W419" s="12" t="s">
        <v>379</v>
      </c>
      <c r="X419" s="13"/>
      <c r="Y419" s="13"/>
      <c r="Z419" s="12" t="s">
        <v>88</v>
      </c>
      <c r="AA419" s="12" t="s">
        <v>88</v>
      </c>
      <c r="AB419" s="12" t="s">
        <v>88</v>
      </c>
      <c r="AC419" s="12" t="s">
        <v>88</v>
      </c>
      <c r="AD419" s="12" t="s">
        <v>87</v>
      </c>
      <c r="AE419" s="21" t="n">
        <f aca="false">IFERROR(SUMIFS(Transactions!$F:$F,Transactions!$C:$C,$A419,Transactions!$D:$D,"Sale"),0)</f>
        <v>0</v>
      </c>
      <c r="AF419" s="15" t="n">
        <f aca="false">IFERROR(SUMIFS(Transactions!$H:$H,Transactions!$C:$C,$A419,Transactions!$D:$D,"Sale"),0)</f>
        <v>0</v>
      </c>
      <c r="AG419" s="22" t="str">
        <f aca="false">IFERROR(IF(maxifs(Transactions!$B:$B,Transactions!$C:$C,$A419,Transactions!$D:$D,"Sale")=0,"",maxifs(Transactions!$B:$B,Transactions!$C:$C,$A419,Transactions!$D:$D,"Sale")),"")</f>
        <v/>
      </c>
      <c r="AH419" s="12"/>
    </row>
    <row r="420" customFormat="false" ht="18" hidden="false" customHeight="true" outlineLevel="0" collapsed="false">
      <c r="A420" s="12" t="s">
        <v>826</v>
      </c>
      <c r="B420" s="12" t="s">
        <v>317</v>
      </c>
      <c r="C420" s="12" t="s">
        <v>310</v>
      </c>
      <c r="D420" s="12" t="s">
        <v>78</v>
      </c>
      <c r="E420" s="12" t="s">
        <v>252</v>
      </c>
      <c r="F420" s="12"/>
      <c r="G420" s="12" t="s">
        <v>733</v>
      </c>
      <c r="H420" s="12" t="s">
        <v>649</v>
      </c>
      <c r="I420" s="14" t="n">
        <v>29500</v>
      </c>
      <c r="J420" s="18" t="n">
        <f aca="false">IF($I420="","",ROUND($I420*Dropdowns!$K$5,2))</f>
        <v>76.7</v>
      </c>
      <c r="K420" s="19" t="n">
        <f aca="false">IF($I420="","",ROUND($I420*Dropdowns!$K$6,2))</f>
        <v>70.8</v>
      </c>
      <c r="L420" s="20" t="n">
        <f aca="false">IF($I420="","",ROUND($I420*Dropdowns!$K$7,2))</f>
        <v>6047.5</v>
      </c>
      <c r="M420" s="15" t="str">
        <f aca="false">IFERROR(IF($B420="","",VLOOKUP($B420,Designs!$A$3:$AP$165,27,FALSE())),"")</f>
        <v/>
      </c>
      <c r="N420" s="16" t="str">
        <f aca="false">IFERROR(IF(OR($I420="",$M420="",$M420=0),"",($I420-$M420)/$I420),"")</f>
        <v/>
      </c>
      <c r="O420" s="13" t="n">
        <v>0</v>
      </c>
      <c r="P420" s="13" t="n">
        <v>0</v>
      </c>
      <c r="Q420" s="21" t="n">
        <f aca="false">IF($O420="","",$O420-IF($P420="",0,$P420))</f>
        <v>0</v>
      </c>
      <c r="R420" s="13" t="n">
        <v>2</v>
      </c>
      <c r="S420" s="21" t="str">
        <f aca="false">IF($O420="","",IF($Q420&lt;=$R420,"⚠ REORDER","OK"))</f>
        <v>⚠ REORDER</v>
      </c>
      <c r="T420" s="13"/>
      <c r="U420" s="13"/>
      <c r="V420" s="13" t="s">
        <v>378</v>
      </c>
      <c r="W420" s="12" t="s">
        <v>379</v>
      </c>
      <c r="X420" s="13"/>
      <c r="Y420" s="13"/>
      <c r="Z420" s="12" t="s">
        <v>88</v>
      </c>
      <c r="AA420" s="12" t="s">
        <v>88</v>
      </c>
      <c r="AB420" s="12" t="s">
        <v>88</v>
      </c>
      <c r="AC420" s="12" t="s">
        <v>88</v>
      </c>
      <c r="AD420" s="12" t="s">
        <v>87</v>
      </c>
      <c r="AE420" s="21" t="n">
        <f aca="false">IFERROR(SUMIFS(Transactions!$F:$F,Transactions!$C:$C,$A420,Transactions!$D:$D,"Sale"),0)</f>
        <v>0</v>
      </c>
      <c r="AF420" s="15" t="n">
        <f aca="false">IFERROR(SUMIFS(Transactions!$H:$H,Transactions!$C:$C,$A420,Transactions!$D:$D,"Sale"),0)</f>
        <v>0</v>
      </c>
      <c r="AG420" s="22" t="str">
        <f aca="false">IFERROR(IF(maxifs(Transactions!$B:$B,Transactions!$C:$C,$A420,Transactions!$D:$D,"Sale")=0,"",maxifs(Transactions!$B:$B,Transactions!$C:$C,$A420,Transactions!$D:$D,"Sale")),"")</f>
        <v/>
      </c>
      <c r="AH420" s="12"/>
    </row>
    <row r="421" customFormat="false" ht="18" hidden="false" customHeight="true" outlineLevel="0" collapsed="false">
      <c r="A421" s="12" t="s">
        <v>827</v>
      </c>
      <c r="B421" s="12" t="s">
        <v>318</v>
      </c>
      <c r="C421" s="12" t="s">
        <v>312</v>
      </c>
      <c r="D421" s="12" t="s">
        <v>78</v>
      </c>
      <c r="E421" s="12" t="s">
        <v>258</v>
      </c>
      <c r="F421" s="12"/>
      <c r="G421" s="12" t="s">
        <v>733</v>
      </c>
      <c r="H421" s="12" t="s">
        <v>660</v>
      </c>
      <c r="I421" s="14" t="n">
        <v>29500</v>
      </c>
      <c r="J421" s="18" t="n">
        <f aca="false">IF($I421="","",ROUND($I421*Dropdowns!$K$5,2))</f>
        <v>76.7</v>
      </c>
      <c r="K421" s="19" t="n">
        <f aca="false">IF($I421="","",ROUND($I421*Dropdowns!$K$6,2))</f>
        <v>70.8</v>
      </c>
      <c r="L421" s="20" t="n">
        <f aca="false">IF($I421="","",ROUND($I421*Dropdowns!$K$7,2))</f>
        <v>6047.5</v>
      </c>
      <c r="M421" s="15" t="str">
        <f aca="false">IFERROR(IF($B421="","",VLOOKUP($B421,Designs!$A$3:$AP$165,27,FALSE())),"")</f>
        <v/>
      </c>
      <c r="N421" s="16" t="str">
        <f aca="false">IFERROR(IF(OR($I421="",$M421="",$M421=0),"",($I421-$M421)/$I421),"")</f>
        <v/>
      </c>
      <c r="O421" s="13" t="n">
        <v>0</v>
      </c>
      <c r="P421" s="13" t="n">
        <v>0</v>
      </c>
      <c r="Q421" s="21" t="n">
        <f aca="false">IF($O421="","",$O421-IF($P421="",0,$P421))</f>
        <v>0</v>
      </c>
      <c r="R421" s="13" t="n">
        <v>2</v>
      </c>
      <c r="S421" s="21" t="str">
        <f aca="false">IF($O421="","",IF($Q421&lt;=$R421,"⚠ REORDER","OK"))</f>
        <v>⚠ REORDER</v>
      </c>
      <c r="T421" s="13"/>
      <c r="U421" s="13"/>
      <c r="V421" s="13" t="s">
        <v>378</v>
      </c>
      <c r="W421" s="12" t="s">
        <v>379</v>
      </c>
      <c r="X421" s="13"/>
      <c r="Y421" s="13"/>
      <c r="Z421" s="12" t="s">
        <v>88</v>
      </c>
      <c r="AA421" s="12" t="s">
        <v>88</v>
      </c>
      <c r="AB421" s="12" t="s">
        <v>88</v>
      </c>
      <c r="AC421" s="12" t="s">
        <v>88</v>
      </c>
      <c r="AD421" s="12" t="s">
        <v>87</v>
      </c>
      <c r="AE421" s="21" t="n">
        <f aca="false">IFERROR(SUMIFS(Transactions!$F:$F,Transactions!$C:$C,$A421,Transactions!$D:$D,"Sale"),0)</f>
        <v>0</v>
      </c>
      <c r="AF421" s="15" t="n">
        <f aca="false">IFERROR(SUMIFS(Transactions!$H:$H,Transactions!$C:$C,$A421,Transactions!$D:$D,"Sale"),0)</f>
        <v>0</v>
      </c>
      <c r="AG421" s="22" t="str">
        <f aca="false">IFERROR(IF(maxifs(Transactions!$B:$B,Transactions!$C:$C,$A421,Transactions!$D:$D,"Sale")=0,"",maxifs(Transactions!$B:$B,Transactions!$C:$C,$A421,Transactions!$D:$D,"Sale")),"")</f>
        <v/>
      </c>
      <c r="AH421" s="12"/>
    </row>
    <row r="422" customFormat="false" ht="18" hidden="false" customHeight="true" outlineLevel="0" collapsed="false">
      <c r="A422" s="12" t="s">
        <v>828</v>
      </c>
      <c r="B422" s="12" t="s">
        <v>318</v>
      </c>
      <c r="C422" s="12" t="s">
        <v>312</v>
      </c>
      <c r="D422" s="12" t="s">
        <v>78</v>
      </c>
      <c r="E422" s="12" t="s">
        <v>258</v>
      </c>
      <c r="F422" s="12"/>
      <c r="G422" s="12" t="s">
        <v>733</v>
      </c>
      <c r="H422" s="12" t="s">
        <v>662</v>
      </c>
      <c r="I422" s="14" t="n">
        <v>29500</v>
      </c>
      <c r="J422" s="18" t="n">
        <f aca="false">IF($I422="","",ROUND($I422*Dropdowns!$K$5,2))</f>
        <v>76.7</v>
      </c>
      <c r="K422" s="19" t="n">
        <f aca="false">IF($I422="","",ROUND($I422*Dropdowns!$K$6,2))</f>
        <v>70.8</v>
      </c>
      <c r="L422" s="20" t="n">
        <f aca="false">IF($I422="","",ROUND($I422*Dropdowns!$K$7,2))</f>
        <v>6047.5</v>
      </c>
      <c r="M422" s="15" t="str">
        <f aca="false">IFERROR(IF($B422="","",VLOOKUP($B422,Designs!$A$3:$AP$165,27,FALSE())),"")</f>
        <v/>
      </c>
      <c r="N422" s="16" t="str">
        <f aca="false">IFERROR(IF(OR($I422="",$M422="",$M422=0),"",($I422-$M422)/$I422),"")</f>
        <v/>
      </c>
      <c r="O422" s="13" t="n">
        <v>0</v>
      </c>
      <c r="P422" s="13" t="n">
        <v>0</v>
      </c>
      <c r="Q422" s="21" t="n">
        <f aca="false">IF($O422="","",$O422-IF($P422="",0,$P422))</f>
        <v>0</v>
      </c>
      <c r="R422" s="13" t="n">
        <v>2</v>
      </c>
      <c r="S422" s="21" t="str">
        <f aca="false">IF($O422="","",IF($Q422&lt;=$R422,"⚠ REORDER","OK"))</f>
        <v>⚠ REORDER</v>
      </c>
      <c r="T422" s="13"/>
      <c r="U422" s="13"/>
      <c r="V422" s="13" t="s">
        <v>378</v>
      </c>
      <c r="W422" s="12" t="s">
        <v>379</v>
      </c>
      <c r="X422" s="13"/>
      <c r="Y422" s="13"/>
      <c r="Z422" s="12" t="s">
        <v>88</v>
      </c>
      <c r="AA422" s="12" t="s">
        <v>88</v>
      </c>
      <c r="AB422" s="12" t="s">
        <v>88</v>
      </c>
      <c r="AC422" s="12" t="s">
        <v>88</v>
      </c>
      <c r="AD422" s="12" t="s">
        <v>87</v>
      </c>
      <c r="AE422" s="21" t="n">
        <f aca="false">IFERROR(SUMIFS(Transactions!$F:$F,Transactions!$C:$C,$A422,Transactions!$D:$D,"Sale"),0)</f>
        <v>0</v>
      </c>
      <c r="AF422" s="15" t="n">
        <f aca="false">IFERROR(SUMIFS(Transactions!$H:$H,Transactions!$C:$C,$A422,Transactions!$D:$D,"Sale"),0)</f>
        <v>0</v>
      </c>
      <c r="AG422" s="22" t="str">
        <f aca="false">IFERROR(IF(maxifs(Transactions!$B:$B,Transactions!$C:$C,$A422,Transactions!$D:$D,"Sale")=0,"",maxifs(Transactions!$B:$B,Transactions!$C:$C,$A422,Transactions!$D:$D,"Sale")),"")</f>
        <v/>
      </c>
      <c r="AH422" s="12"/>
    </row>
    <row r="423" customFormat="false" ht="18" hidden="false" customHeight="true" outlineLevel="0" collapsed="false">
      <c r="A423" s="12" t="s">
        <v>829</v>
      </c>
      <c r="B423" s="12" t="s">
        <v>319</v>
      </c>
      <c r="C423" s="12" t="s">
        <v>314</v>
      </c>
      <c r="D423" s="12" t="s">
        <v>78</v>
      </c>
      <c r="E423" s="12" t="s">
        <v>264</v>
      </c>
      <c r="F423" s="12"/>
      <c r="G423" s="12" t="s">
        <v>733</v>
      </c>
      <c r="H423" s="12" t="s">
        <v>660</v>
      </c>
      <c r="I423" s="14" t="n">
        <v>29500</v>
      </c>
      <c r="J423" s="18" t="n">
        <f aca="false">IF($I423="","",ROUND($I423*Dropdowns!$K$5,2))</f>
        <v>76.7</v>
      </c>
      <c r="K423" s="19" t="n">
        <f aca="false">IF($I423="","",ROUND($I423*Dropdowns!$K$6,2))</f>
        <v>70.8</v>
      </c>
      <c r="L423" s="20" t="n">
        <f aca="false">IF($I423="","",ROUND($I423*Dropdowns!$K$7,2))</f>
        <v>6047.5</v>
      </c>
      <c r="M423" s="15" t="str">
        <f aca="false">IFERROR(IF($B423="","",VLOOKUP($B423,Designs!$A$3:$AP$165,27,FALSE())),"")</f>
        <v/>
      </c>
      <c r="N423" s="16" t="str">
        <f aca="false">IFERROR(IF(OR($I423="",$M423="",$M423=0),"",($I423-$M423)/$I423),"")</f>
        <v/>
      </c>
      <c r="O423" s="13" t="n">
        <v>0</v>
      </c>
      <c r="P423" s="13" t="n">
        <v>0</v>
      </c>
      <c r="Q423" s="21" t="n">
        <f aca="false">IF($O423="","",$O423-IF($P423="",0,$P423))</f>
        <v>0</v>
      </c>
      <c r="R423" s="13" t="n">
        <v>2</v>
      </c>
      <c r="S423" s="21" t="str">
        <f aca="false">IF($O423="","",IF($Q423&lt;=$R423,"⚠ REORDER","OK"))</f>
        <v>⚠ REORDER</v>
      </c>
      <c r="T423" s="13"/>
      <c r="U423" s="13"/>
      <c r="V423" s="13" t="s">
        <v>378</v>
      </c>
      <c r="W423" s="12" t="s">
        <v>379</v>
      </c>
      <c r="X423" s="13"/>
      <c r="Y423" s="13"/>
      <c r="Z423" s="12" t="s">
        <v>88</v>
      </c>
      <c r="AA423" s="12" t="s">
        <v>88</v>
      </c>
      <c r="AB423" s="12" t="s">
        <v>88</v>
      </c>
      <c r="AC423" s="12" t="s">
        <v>88</v>
      </c>
      <c r="AD423" s="12" t="s">
        <v>87</v>
      </c>
      <c r="AE423" s="21" t="n">
        <f aca="false">IFERROR(SUMIFS(Transactions!$F:$F,Transactions!$C:$C,$A423,Transactions!$D:$D,"Sale"),0)</f>
        <v>0</v>
      </c>
      <c r="AF423" s="15" t="n">
        <f aca="false">IFERROR(SUMIFS(Transactions!$H:$H,Transactions!$C:$C,$A423,Transactions!$D:$D,"Sale"),0)</f>
        <v>0</v>
      </c>
      <c r="AG423" s="22" t="str">
        <f aca="false">IFERROR(IF(maxifs(Transactions!$B:$B,Transactions!$C:$C,$A423,Transactions!$D:$D,"Sale")=0,"",maxifs(Transactions!$B:$B,Transactions!$C:$C,$A423,Transactions!$D:$D,"Sale")),"")</f>
        <v/>
      </c>
      <c r="AH423" s="12"/>
    </row>
    <row r="424" customFormat="false" ht="18" hidden="false" customHeight="true" outlineLevel="0" collapsed="false">
      <c r="A424" s="12" t="s">
        <v>830</v>
      </c>
      <c r="B424" s="12" t="s">
        <v>319</v>
      </c>
      <c r="C424" s="12" t="s">
        <v>314</v>
      </c>
      <c r="D424" s="12" t="s">
        <v>78</v>
      </c>
      <c r="E424" s="12" t="s">
        <v>264</v>
      </c>
      <c r="F424" s="12"/>
      <c r="G424" s="12" t="s">
        <v>733</v>
      </c>
      <c r="H424" s="12" t="s">
        <v>662</v>
      </c>
      <c r="I424" s="14" t="n">
        <v>29500</v>
      </c>
      <c r="J424" s="18" t="n">
        <f aca="false">IF($I424="","",ROUND($I424*Dropdowns!$K$5,2))</f>
        <v>76.7</v>
      </c>
      <c r="K424" s="19" t="n">
        <f aca="false">IF($I424="","",ROUND($I424*Dropdowns!$K$6,2))</f>
        <v>70.8</v>
      </c>
      <c r="L424" s="20" t="n">
        <f aca="false">IF($I424="","",ROUND($I424*Dropdowns!$K$7,2))</f>
        <v>6047.5</v>
      </c>
      <c r="M424" s="15" t="str">
        <f aca="false">IFERROR(IF($B424="","",VLOOKUP($B424,Designs!$A$3:$AP$165,27,FALSE())),"")</f>
        <v/>
      </c>
      <c r="N424" s="16" t="str">
        <f aca="false">IFERROR(IF(OR($I424="",$M424="",$M424=0),"",($I424-$M424)/$I424),"")</f>
        <v/>
      </c>
      <c r="O424" s="13" t="n">
        <v>0</v>
      </c>
      <c r="P424" s="13" t="n">
        <v>0</v>
      </c>
      <c r="Q424" s="21" t="n">
        <f aca="false">IF($O424="","",$O424-IF($P424="",0,$P424))</f>
        <v>0</v>
      </c>
      <c r="R424" s="13" t="n">
        <v>2</v>
      </c>
      <c r="S424" s="21" t="str">
        <f aca="false">IF($O424="","",IF($Q424&lt;=$R424,"⚠ REORDER","OK"))</f>
        <v>⚠ REORDER</v>
      </c>
      <c r="T424" s="13"/>
      <c r="U424" s="13"/>
      <c r="V424" s="13" t="s">
        <v>378</v>
      </c>
      <c r="W424" s="12" t="s">
        <v>379</v>
      </c>
      <c r="X424" s="13"/>
      <c r="Y424" s="13"/>
      <c r="Z424" s="12" t="s">
        <v>88</v>
      </c>
      <c r="AA424" s="12" t="s">
        <v>88</v>
      </c>
      <c r="AB424" s="12" t="s">
        <v>88</v>
      </c>
      <c r="AC424" s="12" t="s">
        <v>88</v>
      </c>
      <c r="AD424" s="12" t="s">
        <v>87</v>
      </c>
      <c r="AE424" s="21" t="n">
        <f aca="false">IFERROR(SUMIFS(Transactions!$F:$F,Transactions!$C:$C,$A424,Transactions!$D:$D,"Sale"),0)</f>
        <v>0</v>
      </c>
      <c r="AF424" s="15" t="n">
        <f aca="false">IFERROR(SUMIFS(Transactions!$H:$H,Transactions!$C:$C,$A424,Transactions!$D:$D,"Sale"),0)</f>
        <v>0</v>
      </c>
      <c r="AG424" s="22" t="str">
        <f aca="false">IFERROR(IF(maxifs(Transactions!$B:$B,Transactions!$C:$C,$A424,Transactions!$D:$D,"Sale")=0,"",maxifs(Transactions!$B:$B,Transactions!$C:$C,$A424,Transactions!$D:$D,"Sale")),"")</f>
        <v/>
      </c>
      <c r="AH424" s="12"/>
    </row>
    <row r="425" customFormat="false" ht="18" hidden="false" customHeight="true" outlineLevel="0" collapsed="false">
      <c r="A425" s="12" t="s">
        <v>831</v>
      </c>
      <c r="B425" s="12" t="s">
        <v>320</v>
      </c>
      <c r="C425" s="12" t="s">
        <v>269</v>
      </c>
      <c r="D425" s="12" t="s">
        <v>78</v>
      </c>
      <c r="E425" s="12" t="s">
        <v>270</v>
      </c>
      <c r="F425" s="12"/>
      <c r="G425" s="12" t="s">
        <v>733</v>
      </c>
      <c r="H425" s="12" t="s">
        <v>383</v>
      </c>
      <c r="I425" s="14" t="n">
        <v>29500</v>
      </c>
      <c r="J425" s="18" t="n">
        <f aca="false">IF($I425="","",ROUND($I425*Dropdowns!$K$5,2))</f>
        <v>76.7</v>
      </c>
      <c r="K425" s="19" t="n">
        <f aca="false">IF($I425="","",ROUND($I425*Dropdowns!$K$6,2))</f>
        <v>70.8</v>
      </c>
      <c r="L425" s="20" t="n">
        <f aca="false">IF($I425="","",ROUND($I425*Dropdowns!$K$7,2))</f>
        <v>6047.5</v>
      </c>
      <c r="M425" s="15" t="str">
        <f aca="false">IFERROR(IF($B425="","",VLOOKUP($B425,Designs!$A$3:$AP$165,27,FALSE())),"")</f>
        <v/>
      </c>
      <c r="N425" s="16" t="str">
        <f aca="false">IFERROR(IF(OR($I425="",$M425="",$M425=0),"",($I425-$M425)/$I425),"")</f>
        <v/>
      </c>
      <c r="O425" s="13" t="n">
        <v>0</v>
      </c>
      <c r="P425" s="13" t="n">
        <v>0</v>
      </c>
      <c r="Q425" s="21" t="n">
        <f aca="false">IF($O425="","",$O425-IF($P425="",0,$P425))</f>
        <v>0</v>
      </c>
      <c r="R425" s="13" t="n">
        <v>2</v>
      </c>
      <c r="S425" s="21" t="str">
        <f aca="false">IF($O425="","",IF($Q425&lt;=$R425,"⚠ REORDER","OK"))</f>
        <v>⚠ REORDER</v>
      </c>
      <c r="T425" s="13"/>
      <c r="U425" s="13"/>
      <c r="V425" s="13" t="s">
        <v>378</v>
      </c>
      <c r="W425" s="12" t="s">
        <v>379</v>
      </c>
      <c r="X425" s="13"/>
      <c r="Y425" s="13"/>
      <c r="Z425" s="12" t="s">
        <v>88</v>
      </c>
      <c r="AA425" s="12" t="s">
        <v>88</v>
      </c>
      <c r="AB425" s="12" t="s">
        <v>88</v>
      </c>
      <c r="AC425" s="12" t="s">
        <v>88</v>
      </c>
      <c r="AD425" s="12" t="s">
        <v>87</v>
      </c>
      <c r="AE425" s="21" t="n">
        <f aca="false">IFERROR(SUMIFS(Transactions!$F:$F,Transactions!$C:$C,$A425,Transactions!$D:$D,"Sale"),0)</f>
        <v>0</v>
      </c>
      <c r="AF425" s="15" t="n">
        <f aca="false">IFERROR(SUMIFS(Transactions!$H:$H,Transactions!$C:$C,$A425,Transactions!$D:$D,"Sale"),0)</f>
        <v>0</v>
      </c>
      <c r="AG425" s="22" t="str">
        <f aca="false">IFERROR(IF(maxifs(Transactions!$B:$B,Transactions!$C:$C,$A425,Transactions!$D:$D,"Sale")=0,"",maxifs(Transactions!$B:$B,Transactions!$C:$C,$A425,Transactions!$D:$D,"Sale")),"")</f>
        <v/>
      </c>
      <c r="AH425" s="12"/>
    </row>
    <row r="426" customFormat="false" ht="18" hidden="false" customHeight="true" outlineLevel="0" collapsed="false">
      <c r="A426" s="12" t="s">
        <v>832</v>
      </c>
      <c r="B426" s="12" t="s">
        <v>320</v>
      </c>
      <c r="C426" s="12" t="s">
        <v>269</v>
      </c>
      <c r="D426" s="12" t="s">
        <v>78</v>
      </c>
      <c r="E426" s="12" t="s">
        <v>270</v>
      </c>
      <c r="F426" s="12"/>
      <c r="G426" s="12" t="s">
        <v>733</v>
      </c>
      <c r="H426" s="12" t="s">
        <v>381</v>
      </c>
      <c r="I426" s="14" t="n">
        <v>29500</v>
      </c>
      <c r="J426" s="18" t="n">
        <f aca="false">IF($I426="","",ROUND($I426*Dropdowns!$K$5,2))</f>
        <v>76.7</v>
      </c>
      <c r="K426" s="19" t="n">
        <f aca="false">IF($I426="","",ROUND($I426*Dropdowns!$K$6,2))</f>
        <v>70.8</v>
      </c>
      <c r="L426" s="20" t="n">
        <f aca="false">IF($I426="","",ROUND($I426*Dropdowns!$K$7,2))</f>
        <v>6047.5</v>
      </c>
      <c r="M426" s="15" t="str">
        <f aca="false">IFERROR(IF($B426="","",VLOOKUP($B426,Designs!$A$3:$AP$165,27,FALSE())),"")</f>
        <v/>
      </c>
      <c r="N426" s="16" t="str">
        <f aca="false">IFERROR(IF(OR($I426="",$M426="",$M426=0),"",($I426-$M426)/$I426),"")</f>
        <v/>
      </c>
      <c r="O426" s="13" t="n">
        <v>0</v>
      </c>
      <c r="P426" s="13" t="n">
        <v>0</v>
      </c>
      <c r="Q426" s="21" t="n">
        <f aca="false">IF($O426="","",$O426-IF($P426="",0,$P426))</f>
        <v>0</v>
      </c>
      <c r="R426" s="13" t="n">
        <v>2</v>
      </c>
      <c r="S426" s="21" t="str">
        <f aca="false">IF($O426="","",IF($Q426&lt;=$R426,"⚠ REORDER","OK"))</f>
        <v>⚠ REORDER</v>
      </c>
      <c r="T426" s="13"/>
      <c r="U426" s="13"/>
      <c r="V426" s="13" t="s">
        <v>378</v>
      </c>
      <c r="W426" s="12" t="s">
        <v>379</v>
      </c>
      <c r="X426" s="13"/>
      <c r="Y426" s="13"/>
      <c r="Z426" s="12" t="s">
        <v>88</v>
      </c>
      <c r="AA426" s="12" t="s">
        <v>88</v>
      </c>
      <c r="AB426" s="12" t="s">
        <v>88</v>
      </c>
      <c r="AC426" s="12" t="s">
        <v>88</v>
      </c>
      <c r="AD426" s="12" t="s">
        <v>87</v>
      </c>
      <c r="AE426" s="21" t="n">
        <f aca="false">IFERROR(SUMIFS(Transactions!$F:$F,Transactions!$C:$C,$A426,Transactions!$D:$D,"Sale"),0)</f>
        <v>0</v>
      </c>
      <c r="AF426" s="15" t="n">
        <f aca="false">IFERROR(SUMIFS(Transactions!$H:$H,Transactions!$C:$C,$A426,Transactions!$D:$D,"Sale"),0)</f>
        <v>0</v>
      </c>
      <c r="AG426" s="22" t="str">
        <f aca="false">IFERROR(IF(maxifs(Transactions!$B:$B,Transactions!$C:$C,$A426,Transactions!$D:$D,"Sale")=0,"",maxifs(Transactions!$B:$B,Transactions!$C:$C,$A426,Transactions!$D:$D,"Sale")),"")</f>
        <v/>
      </c>
      <c r="AH426" s="12"/>
    </row>
    <row r="427" customFormat="false" ht="18" hidden="false" customHeight="true" outlineLevel="0" collapsed="false">
      <c r="A427" s="12" t="s">
        <v>833</v>
      </c>
      <c r="B427" s="12" t="s">
        <v>321</v>
      </c>
      <c r="C427" s="12" t="s">
        <v>322</v>
      </c>
      <c r="D427" s="12" t="s">
        <v>323</v>
      </c>
      <c r="E427" s="12" t="s">
        <v>246</v>
      </c>
      <c r="F427" s="12"/>
      <c r="G427" s="12"/>
      <c r="H427" s="12" t="s">
        <v>649</v>
      </c>
      <c r="I427" s="14" t="n">
        <v>20000</v>
      </c>
      <c r="J427" s="18" t="n">
        <f aca="false">IF($I427="","",ROUND($I427*Dropdowns!$K$5,2))</f>
        <v>52</v>
      </c>
      <c r="K427" s="19" t="n">
        <f aca="false">IF($I427="","",ROUND($I427*Dropdowns!$K$6,2))</f>
        <v>48</v>
      </c>
      <c r="L427" s="20" t="n">
        <f aca="false">IF($I427="","",ROUND($I427*Dropdowns!$K$7,2))</f>
        <v>4100</v>
      </c>
      <c r="M427" s="15" t="str">
        <f aca="false">IFERROR(IF($B427="","",VLOOKUP($B427,Designs!$A$3:$AP$165,27,FALSE())),"")</f>
        <v/>
      </c>
      <c r="N427" s="16" t="str">
        <f aca="false">IFERROR(IF(OR($I427="",$M427="",$M427=0),"",($I427-$M427)/$I427),"")</f>
        <v/>
      </c>
      <c r="O427" s="13" t="n">
        <v>0</v>
      </c>
      <c r="P427" s="13" t="n">
        <v>0</v>
      </c>
      <c r="Q427" s="21" t="n">
        <f aca="false">IF($O427="","",$O427-IF($P427="",0,$P427))</f>
        <v>0</v>
      </c>
      <c r="R427" s="13" t="n">
        <v>2</v>
      </c>
      <c r="S427" s="21" t="str">
        <f aca="false">IF($O427="","",IF($Q427&lt;=$R427,"⚠ REORDER","OK"))</f>
        <v>⚠ REORDER</v>
      </c>
      <c r="T427" s="13"/>
      <c r="U427" s="13"/>
      <c r="V427" s="13" t="s">
        <v>378</v>
      </c>
      <c r="W427" s="12" t="s">
        <v>379</v>
      </c>
      <c r="X427" s="13"/>
      <c r="Y427" s="13"/>
      <c r="Z427" s="12" t="s">
        <v>88</v>
      </c>
      <c r="AA427" s="12" t="s">
        <v>88</v>
      </c>
      <c r="AB427" s="12" t="s">
        <v>88</v>
      </c>
      <c r="AC427" s="12" t="s">
        <v>88</v>
      </c>
      <c r="AD427" s="12" t="s">
        <v>87</v>
      </c>
      <c r="AE427" s="21" t="n">
        <f aca="false">IFERROR(SUMIFS(Transactions!$F:$F,Transactions!$C:$C,$A427,Transactions!$D:$D,"Sale"),0)</f>
        <v>0</v>
      </c>
      <c r="AF427" s="15" t="n">
        <f aca="false">IFERROR(SUMIFS(Transactions!$H:$H,Transactions!$C:$C,$A427,Transactions!$D:$D,"Sale"),0)</f>
        <v>0</v>
      </c>
      <c r="AG427" s="22" t="str">
        <f aca="false">IFERROR(IF(maxifs(Transactions!$B:$B,Transactions!$C:$C,$A427,Transactions!$D:$D,"Sale")=0,"",maxifs(Transactions!$B:$B,Transactions!$C:$C,$A427,Transactions!$D:$D,"Sale")),"")</f>
        <v/>
      </c>
      <c r="AH427" s="12"/>
    </row>
    <row r="428" customFormat="false" ht="18" hidden="false" customHeight="true" outlineLevel="0" collapsed="false">
      <c r="A428" s="12" t="s">
        <v>834</v>
      </c>
      <c r="B428" s="12" t="s">
        <v>321</v>
      </c>
      <c r="C428" s="12" t="s">
        <v>322</v>
      </c>
      <c r="D428" s="12" t="s">
        <v>323</v>
      </c>
      <c r="E428" s="12" t="s">
        <v>246</v>
      </c>
      <c r="F428" s="12"/>
      <c r="G428" s="12"/>
      <c r="H428" s="12" t="s">
        <v>383</v>
      </c>
      <c r="I428" s="14" t="n">
        <v>20000</v>
      </c>
      <c r="J428" s="18" t="n">
        <f aca="false">IF($I428="","",ROUND($I428*Dropdowns!$K$5,2))</f>
        <v>52</v>
      </c>
      <c r="K428" s="19" t="n">
        <f aca="false">IF($I428="","",ROUND($I428*Dropdowns!$K$6,2))</f>
        <v>48</v>
      </c>
      <c r="L428" s="20" t="n">
        <f aca="false">IF($I428="","",ROUND($I428*Dropdowns!$K$7,2))</f>
        <v>4100</v>
      </c>
      <c r="M428" s="15" t="str">
        <f aca="false">IFERROR(IF($B428="","",VLOOKUP($B428,Designs!$A$3:$AP$165,27,FALSE())),"")</f>
        <v/>
      </c>
      <c r="N428" s="16" t="str">
        <f aca="false">IFERROR(IF(OR($I428="",$M428="",$M428=0),"",($I428-$M428)/$I428),"")</f>
        <v/>
      </c>
      <c r="O428" s="13" t="n">
        <v>0</v>
      </c>
      <c r="P428" s="13" t="n">
        <v>0</v>
      </c>
      <c r="Q428" s="21" t="n">
        <f aca="false">IF($O428="","",$O428-IF($P428="",0,$P428))</f>
        <v>0</v>
      </c>
      <c r="R428" s="13" t="n">
        <v>2</v>
      </c>
      <c r="S428" s="21" t="str">
        <f aca="false">IF($O428="","",IF($Q428&lt;=$R428,"⚠ REORDER","OK"))</f>
        <v>⚠ REORDER</v>
      </c>
      <c r="T428" s="13"/>
      <c r="U428" s="13"/>
      <c r="V428" s="13" t="s">
        <v>378</v>
      </c>
      <c r="W428" s="12" t="s">
        <v>379</v>
      </c>
      <c r="X428" s="13"/>
      <c r="Y428" s="13"/>
      <c r="Z428" s="12" t="s">
        <v>88</v>
      </c>
      <c r="AA428" s="12" t="s">
        <v>88</v>
      </c>
      <c r="AB428" s="12" t="s">
        <v>88</v>
      </c>
      <c r="AC428" s="12" t="s">
        <v>88</v>
      </c>
      <c r="AD428" s="12" t="s">
        <v>87</v>
      </c>
      <c r="AE428" s="21" t="n">
        <f aca="false">IFERROR(SUMIFS(Transactions!$F:$F,Transactions!$C:$C,$A428,Transactions!$D:$D,"Sale"),0)</f>
        <v>0</v>
      </c>
      <c r="AF428" s="15" t="n">
        <f aca="false">IFERROR(SUMIFS(Transactions!$H:$H,Transactions!$C:$C,$A428,Transactions!$D:$D,"Sale"),0)</f>
        <v>0</v>
      </c>
      <c r="AG428" s="22" t="str">
        <f aca="false">IFERROR(IF(maxifs(Transactions!$B:$B,Transactions!$C:$C,$A428,Transactions!$D:$D,"Sale")=0,"",maxifs(Transactions!$B:$B,Transactions!$C:$C,$A428,Transactions!$D:$D,"Sale")),"")</f>
        <v/>
      </c>
      <c r="AH428" s="12"/>
    </row>
    <row r="429" customFormat="false" ht="18" hidden="false" customHeight="true" outlineLevel="0" collapsed="false">
      <c r="A429" s="12" t="s">
        <v>835</v>
      </c>
      <c r="B429" s="12" t="s">
        <v>321</v>
      </c>
      <c r="C429" s="12" t="s">
        <v>322</v>
      </c>
      <c r="D429" s="12" t="s">
        <v>323</v>
      </c>
      <c r="E429" s="12" t="s">
        <v>246</v>
      </c>
      <c r="F429" s="12"/>
      <c r="G429" s="12"/>
      <c r="H429" s="12" t="s">
        <v>652</v>
      </c>
      <c r="I429" s="14" t="n">
        <v>20000</v>
      </c>
      <c r="J429" s="18" t="n">
        <f aca="false">IF($I429="","",ROUND($I429*Dropdowns!$K$5,2))</f>
        <v>52</v>
      </c>
      <c r="K429" s="19" t="n">
        <f aca="false">IF($I429="","",ROUND($I429*Dropdowns!$K$6,2))</f>
        <v>48</v>
      </c>
      <c r="L429" s="20" t="n">
        <f aca="false">IF($I429="","",ROUND($I429*Dropdowns!$K$7,2))</f>
        <v>4100</v>
      </c>
      <c r="M429" s="15" t="str">
        <f aca="false">IFERROR(IF($B429="","",VLOOKUP($B429,Designs!$A$3:$AP$165,27,FALSE())),"")</f>
        <v/>
      </c>
      <c r="N429" s="16" t="str">
        <f aca="false">IFERROR(IF(OR($I429="",$M429="",$M429=0),"",($I429-$M429)/$I429),"")</f>
        <v/>
      </c>
      <c r="O429" s="13" t="n">
        <v>0</v>
      </c>
      <c r="P429" s="13" t="n">
        <v>0</v>
      </c>
      <c r="Q429" s="21" t="n">
        <f aca="false">IF($O429="","",$O429-IF($P429="",0,$P429))</f>
        <v>0</v>
      </c>
      <c r="R429" s="13" t="n">
        <v>2</v>
      </c>
      <c r="S429" s="21" t="str">
        <f aca="false">IF($O429="","",IF($Q429&lt;=$R429,"⚠ REORDER","OK"))</f>
        <v>⚠ REORDER</v>
      </c>
      <c r="T429" s="13"/>
      <c r="U429" s="13"/>
      <c r="V429" s="13" t="s">
        <v>378</v>
      </c>
      <c r="W429" s="12" t="s">
        <v>379</v>
      </c>
      <c r="X429" s="13"/>
      <c r="Y429" s="13"/>
      <c r="Z429" s="12" t="s">
        <v>88</v>
      </c>
      <c r="AA429" s="12" t="s">
        <v>88</v>
      </c>
      <c r="AB429" s="12" t="s">
        <v>88</v>
      </c>
      <c r="AC429" s="12" t="s">
        <v>88</v>
      </c>
      <c r="AD429" s="12" t="s">
        <v>87</v>
      </c>
      <c r="AE429" s="21" t="n">
        <f aca="false">IFERROR(SUMIFS(Transactions!$F:$F,Transactions!$C:$C,$A429,Transactions!$D:$D,"Sale"),0)</f>
        <v>0</v>
      </c>
      <c r="AF429" s="15" t="n">
        <f aca="false">IFERROR(SUMIFS(Transactions!$H:$H,Transactions!$C:$C,$A429,Transactions!$D:$D,"Sale"),0)</f>
        <v>0</v>
      </c>
      <c r="AG429" s="22" t="str">
        <f aca="false">IFERROR(IF(maxifs(Transactions!$B:$B,Transactions!$C:$C,$A429,Transactions!$D:$D,"Sale")=0,"",maxifs(Transactions!$B:$B,Transactions!$C:$C,$A429,Transactions!$D:$D,"Sale")),"")</f>
        <v/>
      </c>
      <c r="AH429" s="12"/>
    </row>
    <row r="430" customFormat="false" ht="18" hidden="false" customHeight="true" outlineLevel="0" collapsed="false">
      <c r="A430" s="12" t="s">
        <v>836</v>
      </c>
      <c r="B430" s="12" t="s">
        <v>321</v>
      </c>
      <c r="C430" s="12" t="s">
        <v>322</v>
      </c>
      <c r="D430" s="12" t="s">
        <v>323</v>
      </c>
      <c r="E430" s="12" t="s">
        <v>246</v>
      </c>
      <c r="F430" s="12"/>
      <c r="G430" s="12"/>
      <c r="H430" s="12" t="s">
        <v>381</v>
      </c>
      <c r="I430" s="14" t="n">
        <v>20000</v>
      </c>
      <c r="J430" s="18" t="n">
        <f aca="false">IF($I430="","",ROUND($I430*Dropdowns!$K$5,2))</f>
        <v>52</v>
      </c>
      <c r="K430" s="19" t="n">
        <f aca="false">IF($I430="","",ROUND($I430*Dropdowns!$K$6,2))</f>
        <v>48</v>
      </c>
      <c r="L430" s="20" t="n">
        <f aca="false">IF($I430="","",ROUND($I430*Dropdowns!$K$7,2))</f>
        <v>4100</v>
      </c>
      <c r="M430" s="15" t="str">
        <f aca="false">IFERROR(IF($B430="","",VLOOKUP($B430,Designs!$A$3:$AP$165,27,FALSE())),"")</f>
        <v/>
      </c>
      <c r="N430" s="16" t="str">
        <f aca="false">IFERROR(IF(OR($I430="",$M430="",$M430=0),"",($I430-$M430)/$I430),"")</f>
        <v/>
      </c>
      <c r="O430" s="13" t="n">
        <v>0</v>
      </c>
      <c r="P430" s="13" t="n">
        <v>0</v>
      </c>
      <c r="Q430" s="21" t="n">
        <f aca="false">IF($O430="","",$O430-IF($P430="",0,$P430))</f>
        <v>0</v>
      </c>
      <c r="R430" s="13" t="n">
        <v>2</v>
      </c>
      <c r="S430" s="21" t="str">
        <f aca="false">IF($O430="","",IF($Q430&lt;=$R430,"⚠ REORDER","OK"))</f>
        <v>⚠ REORDER</v>
      </c>
      <c r="T430" s="13"/>
      <c r="U430" s="13"/>
      <c r="V430" s="13" t="s">
        <v>378</v>
      </c>
      <c r="W430" s="12" t="s">
        <v>379</v>
      </c>
      <c r="X430" s="13"/>
      <c r="Y430" s="13"/>
      <c r="Z430" s="12" t="s">
        <v>88</v>
      </c>
      <c r="AA430" s="12" t="s">
        <v>88</v>
      </c>
      <c r="AB430" s="12" t="s">
        <v>88</v>
      </c>
      <c r="AC430" s="12" t="s">
        <v>88</v>
      </c>
      <c r="AD430" s="12" t="s">
        <v>87</v>
      </c>
      <c r="AE430" s="21" t="n">
        <f aca="false">IFERROR(SUMIFS(Transactions!$F:$F,Transactions!$C:$C,$A430,Transactions!$D:$D,"Sale"),0)</f>
        <v>0</v>
      </c>
      <c r="AF430" s="15" t="n">
        <f aca="false">IFERROR(SUMIFS(Transactions!$H:$H,Transactions!$C:$C,$A430,Transactions!$D:$D,"Sale"),0)</f>
        <v>0</v>
      </c>
      <c r="AG430" s="22" t="str">
        <f aca="false">IFERROR(IF(maxifs(Transactions!$B:$B,Transactions!$C:$C,$A430,Transactions!$D:$D,"Sale")=0,"",maxifs(Transactions!$B:$B,Transactions!$C:$C,$A430,Transactions!$D:$D,"Sale")),"")</f>
        <v/>
      </c>
      <c r="AH430" s="12"/>
    </row>
    <row r="431" customFormat="false" ht="18" hidden="false" customHeight="true" outlineLevel="0" collapsed="false">
      <c r="A431" s="12" t="s">
        <v>837</v>
      </c>
      <c r="B431" s="12" t="s">
        <v>321</v>
      </c>
      <c r="C431" s="12" t="s">
        <v>322</v>
      </c>
      <c r="D431" s="12" t="s">
        <v>323</v>
      </c>
      <c r="E431" s="12" t="s">
        <v>246</v>
      </c>
      <c r="F431" s="12"/>
      <c r="G431" s="12"/>
      <c r="H431" s="12" t="s">
        <v>655</v>
      </c>
      <c r="I431" s="14" t="n">
        <v>20000</v>
      </c>
      <c r="J431" s="18" t="n">
        <f aca="false">IF($I431="","",ROUND($I431*Dropdowns!$K$5,2))</f>
        <v>52</v>
      </c>
      <c r="K431" s="19" t="n">
        <f aca="false">IF($I431="","",ROUND($I431*Dropdowns!$K$6,2))</f>
        <v>48</v>
      </c>
      <c r="L431" s="20" t="n">
        <f aca="false">IF($I431="","",ROUND($I431*Dropdowns!$K$7,2))</f>
        <v>4100</v>
      </c>
      <c r="M431" s="15" t="str">
        <f aca="false">IFERROR(IF($B431="","",VLOOKUP($B431,Designs!$A$3:$AP$165,27,FALSE())),"")</f>
        <v/>
      </c>
      <c r="N431" s="16" t="str">
        <f aca="false">IFERROR(IF(OR($I431="",$M431="",$M431=0),"",($I431-$M431)/$I431),"")</f>
        <v/>
      </c>
      <c r="O431" s="13" t="n">
        <v>0</v>
      </c>
      <c r="P431" s="13" t="n">
        <v>0</v>
      </c>
      <c r="Q431" s="21" t="n">
        <f aca="false">IF($O431="","",$O431-IF($P431="",0,$P431))</f>
        <v>0</v>
      </c>
      <c r="R431" s="13" t="n">
        <v>2</v>
      </c>
      <c r="S431" s="21" t="str">
        <f aca="false">IF($O431="","",IF($Q431&lt;=$R431,"⚠ REORDER","OK"))</f>
        <v>⚠ REORDER</v>
      </c>
      <c r="T431" s="13"/>
      <c r="U431" s="13"/>
      <c r="V431" s="13" t="s">
        <v>378</v>
      </c>
      <c r="W431" s="12" t="s">
        <v>379</v>
      </c>
      <c r="X431" s="13"/>
      <c r="Y431" s="13"/>
      <c r="Z431" s="12" t="s">
        <v>88</v>
      </c>
      <c r="AA431" s="12" t="s">
        <v>88</v>
      </c>
      <c r="AB431" s="12" t="s">
        <v>88</v>
      </c>
      <c r="AC431" s="12" t="s">
        <v>88</v>
      </c>
      <c r="AD431" s="12" t="s">
        <v>87</v>
      </c>
      <c r="AE431" s="21" t="n">
        <f aca="false">IFERROR(SUMIFS(Transactions!$F:$F,Transactions!$C:$C,$A431,Transactions!$D:$D,"Sale"),0)</f>
        <v>0</v>
      </c>
      <c r="AF431" s="15" t="n">
        <f aca="false">IFERROR(SUMIFS(Transactions!$H:$H,Transactions!$C:$C,$A431,Transactions!$D:$D,"Sale"),0)</f>
        <v>0</v>
      </c>
      <c r="AG431" s="22" t="str">
        <f aca="false">IFERROR(IF(maxifs(Transactions!$B:$B,Transactions!$C:$C,$A431,Transactions!$D:$D,"Sale")=0,"",maxifs(Transactions!$B:$B,Transactions!$C:$C,$A431,Transactions!$D:$D,"Sale")),"")</f>
        <v/>
      </c>
      <c r="AH431" s="12"/>
    </row>
    <row r="432" customFormat="false" ht="18" hidden="false" customHeight="true" outlineLevel="0" collapsed="false">
      <c r="A432" s="12" t="s">
        <v>838</v>
      </c>
      <c r="B432" s="12" t="s">
        <v>324</v>
      </c>
      <c r="C432" s="12" t="s">
        <v>325</v>
      </c>
      <c r="D432" s="12" t="s">
        <v>323</v>
      </c>
      <c r="E432" s="12" t="s">
        <v>252</v>
      </c>
      <c r="F432" s="12"/>
      <c r="G432" s="12"/>
      <c r="H432" s="12" t="s">
        <v>649</v>
      </c>
      <c r="I432" s="14" t="n">
        <v>20000</v>
      </c>
      <c r="J432" s="18" t="n">
        <f aca="false">IF($I432="","",ROUND($I432*Dropdowns!$K$5,2))</f>
        <v>52</v>
      </c>
      <c r="K432" s="19" t="n">
        <f aca="false">IF($I432="","",ROUND($I432*Dropdowns!$K$6,2))</f>
        <v>48</v>
      </c>
      <c r="L432" s="20" t="n">
        <f aca="false">IF($I432="","",ROUND($I432*Dropdowns!$K$7,2))</f>
        <v>4100</v>
      </c>
      <c r="M432" s="15" t="str">
        <f aca="false">IFERROR(IF($B432="","",VLOOKUP($B432,Designs!$A$3:$AP$165,27,FALSE())),"")</f>
        <v/>
      </c>
      <c r="N432" s="16" t="str">
        <f aca="false">IFERROR(IF(OR($I432="",$M432="",$M432=0),"",($I432-$M432)/$I432),"")</f>
        <v/>
      </c>
      <c r="O432" s="13" t="n">
        <v>0</v>
      </c>
      <c r="P432" s="13" t="n">
        <v>0</v>
      </c>
      <c r="Q432" s="21" t="n">
        <f aca="false">IF($O432="","",$O432-IF($P432="",0,$P432))</f>
        <v>0</v>
      </c>
      <c r="R432" s="13" t="n">
        <v>2</v>
      </c>
      <c r="S432" s="21" t="str">
        <f aca="false">IF($O432="","",IF($Q432&lt;=$R432,"⚠ REORDER","OK"))</f>
        <v>⚠ REORDER</v>
      </c>
      <c r="T432" s="13"/>
      <c r="U432" s="13"/>
      <c r="V432" s="13" t="s">
        <v>378</v>
      </c>
      <c r="W432" s="12" t="s">
        <v>379</v>
      </c>
      <c r="X432" s="13"/>
      <c r="Y432" s="13"/>
      <c r="Z432" s="12" t="s">
        <v>88</v>
      </c>
      <c r="AA432" s="12" t="s">
        <v>88</v>
      </c>
      <c r="AB432" s="12" t="s">
        <v>88</v>
      </c>
      <c r="AC432" s="12" t="s">
        <v>88</v>
      </c>
      <c r="AD432" s="12" t="s">
        <v>87</v>
      </c>
      <c r="AE432" s="21" t="n">
        <f aca="false">IFERROR(SUMIFS(Transactions!$F:$F,Transactions!$C:$C,$A432,Transactions!$D:$D,"Sale"),0)</f>
        <v>0</v>
      </c>
      <c r="AF432" s="15" t="n">
        <f aca="false">IFERROR(SUMIFS(Transactions!$H:$H,Transactions!$C:$C,$A432,Transactions!$D:$D,"Sale"),0)</f>
        <v>0</v>
      </c>
      <c r="AG432" s="22" t="str">
        <f aca="false">IFERROR(IF(maxifs(Transactions!$B:$B,Transactions!$C:$C,$A432,Transactions!$D:$D,"Sale")=0,"",maxifs(Transactions!$B:$B,Transactions!$C:$C,$A432,Transactions!$D:$D,"Sale")),"")</f>
        <v/>
      </c>
      <c r="AH432" s="12"/>
    </row>
    <row r="433" customFormat="false" ht="18" hidden="false" customHeight="true" outlineLevel="0" collapsed="false">
      <c r="A433" s="12" t="s">
        <v>839</v>
      </c>
      <c r="B433" s="12" t="s">
        <v>324</v>
      </c>
      <c r="C433" s="12" t="s">
        <v>325</v>
      </c>
      <c r="D433" s="12" t="s">
        <v>323</v>
      </c>
      <c r="E433" s="12" t="s">
        <v>252</v>
      </c>
      <c r="F433" s="12"/>
      <c r="G433" s="12"/>
      <c r="H433" s="12" t="s">
        <v>383</v>
      </c>
      <c r="I433" s="14" t="n">
        <v>20000</v>
      </c>
      <c r="J433" s="18" t="n">
        <f aca="false">IF($I433="","",ROUND($I433*Dropdowns!$K$5,2))</f>
        <v>52</v>
      </c>
      <c r="K433" s="19" t="n">
        <f aca="false">IF($I433="","",ROUND($I433*Dropdowns!$K$6,2))</f>
        <v>48</v>
      </c>
      <c r="L433" s="20" t="n">
        <f aca="false">IF($I433="","",ROUND($I433*Dropdowns!$K$7,2))</f>
        <v>4100</v>
      </c>
      <c r="M433" s="15" t="str">
        <f aca="false">IFERROR(IF($B433="","",VLOOKUP($B433,Designs!$A$3:$AP$165,27,FALSE())),"")</f>
        <v/>
      </c>
      <c r="N433" s="16" t="str">
        <f aca="false">IFERROR(IF(OR($I433="",$M433="",$M433=0),"",($I433-$M433)/$I433),"")</f>
        <v/>
      </c>
      <c r="O433" s="13" t="n">
        <v>0</v>
      </c>
      <c r="P433" s="13" t="n">
        <v>0</v>
      </c>
      <c r="Q433" s="21" t="n">
        <f aca="false">IF($O433="","",$O433-IF($P433="",0,$P433))</f>
        <v>0</v>
      </c>
      <c r="R433" s="13" t="n">
        <v>2</v>
      </c>
      <c r="S433" s="21" t="str">
        <f aca="false">IF($O433="","",IF($Q433&lt;=$R433,"⚠ REORDER","OK"))</f>
        <v>⚠ REORDER</v>
      </c>
      <c r="T433" s="13"/>
      <c r="U433" s="13"/>
      <c r="V433" s="13" t="s">
        <v>378</v>
      </c>
      <c r="W433" s="12" t="s">
        <v>379</v>
      </c>
      <c r="X433" s="13"/>
      <c r="Y433" s="13"/>
      <c r="Z433" s="12" t="s">
        <v>88</v>
      </c>
      <c r="AA433" s="12" t="s">
        <v>88</v>
      </c>
      <c r="AB433" s="12" t="s">
        <v>88</v>
      </c>
      <c r="AC433" s="12" t="s">
        <v>88</v>
      </c>
      <c r="AD433" s="12" t="s">
        <v>87</v>
      </c>
      <c r="AE433" s="21" t="n">
        <f aca="false">IFERROR(SUMIFS(Transactions!$F:$F,Transactions!$C:$C,$A433,Transactions!$D:$D,"Sale"),0)</f>
        <v>0</v>
      </c>
      <c r="AF433" s="15" t="n">
        <f aca="false">IFERROR(SUMIFS(Transactions!$H:$H,Transactions!$C:$C,$A433,Transactions!$D:$D,"Sale"),0)</f>
        <v>0</v>
      </c>
      <c r="AG433" s="22" t="str">
        <f aca="false">IFERROR(IF(maxifs(Transactions!$B:$B,Transactions!$C:$C,$A433,Transactions!$D:$D,"Sale")=0,"",maxifs(Transactions!$B:$B,Transactions!$C:$C,$A433,Transactions!$D:$D,"Sale")),"")</f>
        <v/>
      </c>
      <c r="AH433" s="12"/>
    </row>
    <row r="434" customFormat="false" ht="18" hidden="false" customHeight="true" outlineLevel="0" collapsed="false">
      <c r="A434" s="12" t="s">
        <v>840</v>
      </c>
      <c r="B434" s="12" t="s">
        <v>324</v>
      </c>
      <c r="C434" s="12" t="s">
        <v>325</v>
      </c>
      <c r="D434" s="12" t="s">
        <v>323</v>
      </c>
      <c r="E434" s="12" t="s">
        <v>252</v>
      </c>
      <c r="F434" s="12"/>
      <c r="G434" s="12"/>
      <c r="H434" s="12" t="s">
        <v>652</v>
      </c>
      <c r="I434" s="14" t="n">
        <v>20000</v>
      </c>
      <c r="J434" s="18" t="n">
        <f aca="false">IF($I434="","",ROUND($I434*Dropdowns!$K$5,2))</f>
        <v>52</v>
      </c>
      <c r="K434" s="19" t="n">
        <f aca="false">IF($I434="","",ROUND($I434*Dropdowns!$K$6,2))</f>
        <v>48</v>
      </c>
      <c r="L434" s="20" t="n">
        <f aca="false">IF($I434="","",ROUND($I434*Dropdowns!$K$7,2))</f>
        <v>4100</v>
      </c>
      <c r="M434" s="15" t="str">
        <f aca="false">IFERROR(IF($B434="","",VLOOKUP($B434,Designs!$A$3:$AP$165,27,FALSE())),"")</f>
        <v/>
      </c>
      <c r="N434" s="16" t="str">
        <f aca="false">IFERROR(IF(OR($I434="",$M434="",$M434=0),"",($I434-$M434)/$I434),"")</f>
        <v/>
      </c>
      <c r="O434" s="13" t="n">
        <v>0</v>
      </c>
      <c r="P434" s="13" t="n">
        <v>0</v>
      </c>
      <c r="Q434" s="21" t="n">
        <f aca="false">IF($O434="","",$O434-IF($P434="",0,$P434))</f>
        <v>0</v>
      </c>
      <c r="R434" s="13" t="n">
        <v>2</v>
      </c>
      <c r="S434" s="21" t="str">
        <f aca="false">IF($O434="","",IF($Q434&lt;=$R434,"⚠ REORDER","OK"))</f>
        <v>⚠ REORDER</v>
      </c>
      <c r="T434" s="13"/>
      <c r="U434" s="13"/>
      <c r="V434" s="13" t="s">
        <v>378</v>
      </c>
      <c r="W434" s="12" t="s">
        <v>379</v>
      </c>
      <c r="X434" s="13"/>
      <c r="Y434" s="13"/>
      <c r="Z434" s="12" t="s">
        <v>88</v>
      </c>
      <c r="AA434" s="12" t="s">
        <v>88</v>
      </c>
      <c r="AB434" s="12" t="s">
        <v>88</v>
      </c>
      <c r="AC434" s="12" t="s">
        <v>88</v>
      </c>
      <c r="AD434" s="12" t="s">
        <v>87</v>
      </c>
      <c r="AE434" s="21" t="n">
        <f aca="false">IFERROR(SUMIFS(Transactions!$F:$F,Transactions!$C:$C,$A434,Transactions!$D:$D,"Sale"),0)</f>
        <v>0</v>
      </c>
      <c r="AF434" s="15" t="n">
        <f aca="false">IFERROR(SUMIFS(Transactions!$H:$H,Transactions!$C:$C,$A434,Transactions!$D:$D,"Sale"),0)</f>
        <v>0</v>
      </c>
      <c r="AG434" s="22" t="str">
        <f aca="false">IFERROR(IF(maxifs(Transactions!$B:$B,Transactions!$C:$C,$A434,Transactions!$D:$D,"Sale")=0,"",maxifs(Transactions!$B:$B,Transactions!$C:$C,$A434,Transactions!$D:$D,"Sale")),"")</f>
        <v/>
      </c>
      <c r="AH434" s="12"/>
    </row>
    <row r="435" customFormat="false" ht="18" hidden="false" customHeight="true" outlineLevel="0" collapsed="false">
      <c r="A435" s="12" t="s">
        <v>841</v>
      </c>
      <c r="B435" s="12" t="s">
        <v>324</v>
      </c>
      <c r="C435" s="12" t="s">
        <v>325</v>
      </c>
      <c r="D435" s="12" t="s">
        <v>323</v>
      </c>
      <c r="E435" s="12" t="s">
        <v>252</v>
      </c>
      <c r="F435" s="12"/>
      <c r="G435" s="12"/>
      <c r="H435" s="12" t="s">
        <v>381</v>
      </c>
      <c r="I435" s="14" t="n">
        <v>20000</v>
      </c>
      <c r="J435" s="18" t="n">
        <f aca="false">IF($I435="","",ROUND($I435*Dropdowns!$K$5,2))</f>
        <v>52</v>
      </c>
      <c r="K435" s="19" t="n">
        <f aca="false">IF($I435="","",ROUND($I435*Dropdowns!$K$6,2))</f>
        <v>48</v>
      </c>
      <c r="L435" s="20" t="n">
        <f aca="false">IF($I435="","",ROUND($I435*Dropdowns!$K$7,2))</f>
        <v>4100</v>
      </c>
      <c r="M435" s="15" t="str">
        <f aca="false">IFERROR(IF($B435="","",VLOOKUP($B435,Designs!$A$3:$AP$165,27,FALSE())),"")</f>
        <v/>
      </c>
      <c r="N435" s="16" t="str">
        <f aca="false">IFERROR(IF(OR($I435="",$M435="",$M435=0),"",($I435-$M435)/$I435),"")</f>
        <v/>
      </c>
      <c r="O435" s="13" t="n">
        <v>0</v>
      </c>
      <c r="P435" s="13" t="n">
        <v>0</v>
      </c>
      <c r="Q435" s="21" t="n">
        <f aca="false">IF($O435="","",$O435-IF($P435="",0,$P435))</f>
        <v>0</v>
      </c>
      <c r="R435" s="13" t="n">
        <v>2</v>
      </c>
      <c r="S435" s="21" t="str">
        <f aca="false">IF($O435="","",IF($Q435&lt;=$R435,"⚠ REORDER","OK"))</f>
        <v>⚠ REORDER</v>
      </c>
      <c r="T435" s="13"/>
      <c r="U435" s="13"/>
      <c r="V435" s="13" t="s">
        <v>378</v>
      </c>
      <c r="W435" s="12" t="s">
        <v>379</v>
      </c>
      <c r="X435" s="13"/>
      <c r="Y435" s="13"/>
      <c r="Z435" s="12" t="s">
        <v>88</v>
      </c>
      <c r="AA435" s="12" t="s">
        <v>88</v>
      </c>
      <c r="AB435" s="12" t="s">
        <v>88</v>
      </c>
      <c r="AC435" s="12" t="s">
        <v>88</v>
      </c>
      <c r="AD435" s="12" t="s">
        <v>87</v>
      </c>
      <c r="AE435" s="21" t="n">
        <f aca="false">IFERROR(SUMIFS(Transactions!$F:$F,Transactions!$C:$C,$A435,Transactions!$D:$D,"Sale"),0)</f>
        <v>0</v>
      </c>
      <c r="AF435" s="15" t="n">
        <f aca="false">IFERROR(SUMIFS(Transactions!$H:$H,Transactions!$C:$C,$A435,Transactions!$D:$D,"Sale"),0)</f>
        <v>0</v>
      </c>
      <c r="AG435" s="22" t="str">
        <f aca="false">IFERROR(IF(maxifs(Transactions!$B:$B,Transactions!$C:$C,$A435,Transactions!$D:$D,"Sale")=0,"",maxifs(Transactions!$B:$B,Transactions!$C:$C,$A435,Transactions!$D:$D,"Sale")),"")</f>
        <v/>
      </c>
      <c r="AH435" s="12"/>
    </row>
    <row r="436" customFormat="false" ht="18" hidden="false" customHeight="true" outlineLevel="0" collapsed="false">
      <c r="A436" s="12" t="s">
        <v>842</v>
      </c>
      <c r="B436" s="12" t="s">
        <v>324</v>
      </c>
      <c r="C436" s="12" t="s">
        <v>325</v>
      </c>
      <c r="D436" s="12" t="s">
        <v>323</v>
      </c>
      <c r="E436" s="12" t="s">
        <v>252</v>
      </c>
      <c r="F436" s="12"/>
      <c r="G436" s="12"/>
      <c r="H436" s="12" t="s">
        <v>655</v>
      </c>
      <c r="I436" s="14" t="n">
        <v>20000</v>
      </c>
      <c r="J436" s="18" t="n">
        <f aca="false">IF($I436="","",ROUND($I436*Dropdowns!$K$5,2))</f>
        <v>52</v>
      </c>
      <c r="K436" s="19" t="n">
        <f aca="false">IF($I436="","",ROUND($I436*Dropdowns!$K$6,2))</f>
        <v>48</v>
      </c>
      <c r="L436" s="20" t="n">
        <f aca="false">IF($I436="","",ROUND($I436*Dropdowns!$K$7,2))</f>
        <v>4100</v>
      </c>
      <c r="M436" s="15" t="str">
        <f aca="false">IFERROR(IF($B436="","",VLOOKUP($B436,Designs!$A$3:$AP$165,27,FALSE())),"")</f>
        <v/>
      </c>
      <c r="N436" s="16" t="str">
        <f aca="false">IFERROR(IF(OR($I436="",$M436="",$M436=0),"",($I436-$M436)/$I436),"")</f>
        <v/>
      </c>
      <c r="O436" s="13" t="n">
        <v>0</v>
      </c>
      <c r="P436" s="13" t="n">
        <v>0</v>
      </c>
      <c r="Q436" s="21" t="n">
        <f aca="false">IF($O436="","",$O436-IF($P436="",0,$P436))</f>
        <v>0</v>
      </c>
      <c r="R436" s="13" t="n">
        <v>2</v>
      </c>
      <c r="S436" s="21" t="str">
        <f aca="false">IF($O436="","",IF($Q436&lt;=$R436,"⚠ REORDER","OK"))</f>
        <v>⚠ REORDER</v>
      </c>
      <c r="T436" s="13"/>
      <c r="U436" s="13"/>
      <c r="V436" s="13" t="s">
        <v>378</v>
      </c>
      <c r="W436" s="12" t="s">
        <v>379</v>
      </c>
      <c r="X436" s="13"/>
      <c r="Y436" s="13"/>
      <c r="Z436" s="12" t="s">
        <v>88</v>
      </c>
      <c r="AA436" s="12" t="s">
        <v>88</v>
      </c>
      <c r="AB436" s="12" t="s">
        <v>88</v>
      </c>
      <c r="AC436" s="12" t="s">
        <v>88</v>
      </c>
      <c r="AD436" s="12" t="s">
        <v>87</v>
      </c>
      <c r="AE436" s="21" t="n">
        <f aca="false">IFERROR(SUMIFS(Transactions!$F:$F,Transactions!$C:$C,$A436,Transactions!$D:$D,"Sale"),0)</f>
        <v>0</v>
      </c>
      <c r="AF436" s="15" t="n">
        <f aca="false">IFERROR(SUMIFS(Transactions!$H:$H,Transactions!$C:$C,$A436,Transactions!$D:$D,"Sale"),0)</f>
        <v>0</v>
      </c>
      <c r="AG436" s="22" t="str">
        <f aca="false">IFERROR(IF(maxifs(Transactions!$B:$B,Transactions!$C:$C,$A436,Transactions!$D:$D,"Sale")=0,"",maxifs(Transactions!$B:$B,Transactions!$C:$C,$A436,Transactions!$D:$D,"Sale")),"")</f>
        <v/>
      </c>
      <c r="AH436" s="12"/>
    </row>
    <row r="437" customFormat="false" ht="18" hidden="false" customHeight="true" outlineLevel="0" collapsed="false">
      <c r="A437" s="12" t="s">
        <v>843</v>
      </c>
      <c r="B437" s="12" t="s">
        <v>326</v>
      </c>
      <c r="C437" s="12" t="s">
        <v>327</v>
      </c>
      <c r="D437" s="12" t="s">
        <v>323</v>
      </c>
      <c r="E437" s="12" t="s">
        <v>264</v>
      </c>
      <c r="F437" s="12"/>
      <c r="G437" s="12"/>
      <c r="H437" s="12" t="s">
        <v>649</v>
      </c>
      <c r="I437" s="14" t="n">
        <v>20000</v>
      </c>
      <c r="J437" s="18" t="n">
        <f aca="false">IF($I437="","",ROUND($I437*Dropdowns!$K$5,2))</f>
        <v>52</v>
      </c>
      <c r="K437" s="19" t="n">
        <f aca="false">IF($I437="","",ROUND($I437*Dropdowns!$K$6,2))</f>
        <v>48</v>
      </c>
      <c r="L437" s="20" t="n">
        <f aca="false">IF($I437="","",ROUND($I437*Dropdowns!$K$7,2))</f>
        <v>4100</v>
      </c>
      <c r="M437" s="15" t="str">
        <f aca="false">IFERROR(IF($B437="","",VLOOKUP($B437,Designs!$A$3:$AP$165,27,FALSE())),"")</f>
        <v/>
      </c>
      <c r="N437" s="16" t="str">
        <f aca="false">IFERROR(IF(OR($I437="",$M437="",$M437=0),"",($I437-$M437)/$I437),"")</f>
        <v/>
      </c>
      <c r="O437" s="13" t="n">
        <v>0</v>
      </c>
      <c r="P437" s="13" t="n">
        <v>0</v>
      </c>
      <c r="Q437" s="21" t="n">
        <f aca="false">IF($O437="","",$O437-IF($P437="",0,$P437))</f>
        <v>0</v>
      </c>
      <c r="R437" s="13" t="n">
        <v>2</v>
      </c>
      <c r="S437" s="21" t="str">
        <f aca="false">IF($O437="","",IF($Q437&lt;=$R437,"⚠ REORDER","OK"))</f>
        <v>⚠ REORDER</v>
      </c>
      <c r="T437" s="13"/>
      <c r="U437" s="13"/>
      <c r="V437" s="13" t="s">
        <v>378</v>
      </c>
      <c r="W437" s="12" t="s">
        <v>379</v>
      </c>
      <c r="X437" s="13"/>
      <c r="Y437" s="13"/>
      <c r="Z437" s="12" t="s">
        <v>88</v>
      </c>
      <c r="AA437" s="12" t="s">
        <v>88</v>
      </c>
      <c r="AB437" s="12" t="s">
        <v>88</v>
      </c>
      <c r="AC437" s="12" t="s">
        <v>88</v>
      </c>
      <c r="AD437" s="12" t="s">
        <v>87</v>
      </c>
      <c r="AE437" s="21" t="n">
        <f aca="false">IFERROR(SUMIFS(Transactions!$F:$F,Transactions!$C:$C,$A437,Transactions!$D:$D,"Sale"),0)</f>
        <v>0</v>
      </c>
      <c r="AF437" s="15" t="n">
        <f aca="false">IFERROR(SUMIFS(Transactions!$H:$H,Transactions!$C:$C,$A437,Transactions!$D:$D,"Sale"),0)</f>
        <v>0</v>
      </c>
      <c r="AG437" s="22" t="str">
        <f aca="false">IFERROR(IF(maxifs(Transactions!$B:$B,Transactions!$C:$C,$A437,Transactions!$D:$D,"Sale")=0,"",maxifs(Transactions!$B:$B,Transactions!$C:$C,$A437,Transactions!$D:$D,"Sale")),"")</f>
        <v/>
      </c>
      <c r="AH437" s="12"/>
    </row>
    <row r="438" customFormat="false" ht="18" hidden="false" customHeight="true" outlineLevel="0" collapsed="false">
      <c r="A438" s="12" t="s">
        <v>844</v>
      </c>
      <c r="B438" s="12" t="s">
        <v>326</v>
      </c>
      <c r="C438" s="12" t="s">
        <v>327</v>
      </c>
      <c r="D438" s="12" t="s">
        <v>323</v>
      </c>
      <c r="E438" s="12" t="s">
        <v>264</v>
      </c>
      <c r="F438" s="12"/>
      <c r="G438" s="12"/>
      <c r="H438" s="12" t="s">
        <v>383</v>
      </c>
      <c r="I438" s="14" t="n">
        <v>20000</v>
      </c>
      <c r="J438" s="18" t="n">
        <f aca="false">IF($I438="","",ROUND($I438*Dropdowns!$K$5,2))</f>
        <v>52</v>
      </c>
      <c r="K438" s="19" t="n">
        <f aca="false">IF($I438="","",ROUND($I438*Dropdowns!$K$6,2))</f>
        <v>48</v>
      </c>
      <c r="L438" s="20" t="n">
        <f aca="false">IF($I438="","",ROUND($I438*Dropdowns!$K$7,2))</f>
        <v>4100</v>
      </c>
      <c r="M438" s="15" t="str">
        <f aca="false">IFERROR(IF($B438="","",VLOOKUP($B438,Designs!$A$3:$AP$165,27,FALSE())),"")</f>
        <v/>
      </c>
      <c r="N438" s="16" t="str">
        <f aca="false">IFERROR(IF(OR($I438="",$M438="",$M438=0),"",($I438-$M438)/$I438),"")</f>
        <v/>
      </c>
      <c r="O438" s="13" t="n">
        <v>0</v>
      </c>
      <c r="P438" s="13" t="n">
        <v>0</v>
      </c>
      <c r="Q438" s="21" t="n">
        <f aca="false">IF($O438="","",$O438-IF($P438="",0,$P438))</f>
        <v>0</v>
      </c>
      <c r="R438" s="13" t="n">
        <v>2</v>
      </c>
      <c r="S438" s="21" t="str">
        <f aca="false">IF($O438="","",IF($Q438&lt;=$R438,"⚠ REORDER","OK"))</f>
        <v>⚠ REORDER</v>
      </c>
      <c r="T438" s="13"/>
      <c r="U438" s="13"/>
      <c r="V438" s="13" t="s">
        <v>378</v>
      </c>
      <c r="W438" s="12" t="s">
        <v>379</v>
      </c>
      <c r="X438" s="13"/>
      <c r="Y438" s="13"/>
      <c r="Z438" s="12" t="s">
        <v>88</v>
      </c>
      <c r="AA438" s="12" t="s">
        <v>88</v>
      </c>
      <c r="AB438" s="12" t="s">
        <v>88</v>
      </c>
      <c r="AC438" s="12" t="s">
        <v>88</v>
      </c>
      <c r="AD438" s="12" t="s">
        <v>87</v>
      </c>
      <c r="AE438" s="21" t="n">
        <f aca="false">IFERROR(SUMIFS(Transactions!$F:$F,Transactions!$C:$C,$A438,Transactions!$D:$D,"Sale"),0)</f>
        <v>0</v>
      </c>
      <c r="AF438" s="15" t="n">
        <f aca="false">IFERROR(SUMIFS(Transactions!$H:$H,Transactions!$C:$C,$A438,Transactions!$D:$D,"Sale"),0)</f>
        <v>0</v>
      </c>
      <c r="AG438" s="22" t="str">
        <f aca="false">IFERROR(IF(maxifs(Transactions!$B:$B,Transactions!$C:$C,$A438,Transactions!$D:$D,"Sale")=0,"",maxifs(Transactions!$B:$B,Transactions!$C:$C,$A438,Transactions!$D:$D,"Sale")),"")</f>
        <v/>
      </c>
      <c r="AH438" s="12"/>
    </row>
    <row r="439" customFormat="false" ht="18" hidden="false" customHeight="true" outlineLevel="0" collapsed="false">
      <c r="A439" s="12" t="s">
        <v>845</v>
      </c>
      <c r="B439" s="12" t="s">
        <v>326</v>
      </c>
      <c r="C439" s="12" t="s">
        <v>327</v>
      </c>
      <c r="D439" s="12" t="s">
        <v>323</v>
      </c>
      <c r="E439" s="12" t="s">
        <v>264</v>
      </c>
      <c r="F439" s="12"/>
      <c r="G439" s="12"/>
      <c r="H439" s="12" t="s">
        <v>652</v>
      </c>
      <c r="I439" s="14" t="n">
        <v>20000</v>
      </c>
      <c r="J439" s="18" t="n">
        <f aca="false">IF($I439="","",ROUND($I439*Dropdowns!$K$5,2))</f>
        <v>52</v>
      </c>
      <c r="K439" s="19" t="n">
        <f aca="false">IF($I439="","",ROUND($I439*Dropdowns!$K$6,2))</f>
        <v>48</v>
      </c>
      <c r="L439" s="20" t="n">
        <f aca="false">IF($I439="","",ROUND($I439*Dropdowns!$K$7,2))</f>
        <v>4100</v>
      </c>
      <c r="M439" s="15" t="str">
        <f aca="false">IFERROR(IF($B439="","",VLOOKUP($B439,Designs!$A$3:$AP$165,27,FALSE())),"")</f>
        <v/>
      </c>
      <c r="N439" s="16" t="str">
        <f aca="false">IFERROR(IF(OR($I439="",$M439="",$M439=0),"",($I439-$M439)/$I439),"")</f>
        <v/>
      </c>
      <c r="O439" s="13" t="n">
        <v>0</v>
      </c>
      <c r="P439" s="13" t="n">
        <v>0</v>
      </c>
      <c r="Q439" s="21" t="n">
        <f aca="false">IF($O439="","",$O439-IF($P439="",0,$P439))</f>
        <v>0</v>
      </c>
      <c r="R439" s="13" t="n">
        <v>2</v>
      </c>
      <c r="S439" s="21" t="str">
        <f aca="false">IF($O439="","",IF($Q439&lt;=$R439,"⚠ REORDER","OK"))</f>
        <v>⚠ REORDER</v>
      </c>
      <c r="T439" s="13"/>
      <c r="U439" s="13"/>
      <c r="V439" s="13" t="s">
        <v>378</v>
      </c>
      <c r="W439" s="12" t="s">
        <v>379</v>
      </c>
      <c r="X439" s="13"/>
      <c r="Y439" s="13"/>
      <c r="Z439" s="12" t="s">
        <v>88</v>
      </c>
      <c r="AA439" s="12" t="s">
        <v>88</v>
      </c>
      <c r="AB439" s="12" t="s">
        <v>88</v>
      </c>
      <c r="AC439" s="12" t="s">
        <v>88</v>
      </c>
      <c r="AD439" s="12" t="s">
        <v>87</v>
      </c>
      <c r="AE439" s="21" t="n">
        <f aca="false">IFERROR(SUMIFS(Transactions!$F:$F,Transactions!$C:$C,$A439,Transactions!$D:$D,"Sale"),0)</f>
        <v>0</v>
      </c>
      <c r="AF439" s="15" t="n">
        <f aca="false">IFERROR(SUMIFS(Transactions!$H:$H,Transactions!$C:$C,$A439,Transactions!$D:$D,"Sale"),0)</f>
        <v>0</v>
      </c>
      <c r="AG439" s="22" t="str">
        <f aca="false">IFERROR(IF(maxifs(Transactions!$B:$B,Transactions!$C:$C,$A439,Transactions!$D:$D,"Sale")=0,"",maxifs(Transactions!$B:$B,Transactions!$C:$C,$A439,Transactions!$D:$D,"Sale")),"")</f>
        <v/>
      </c>
      <c r="AH439" s="12"/>
    </row>
    <row r="440" customFormat="false" ht="18" hidden="false" customHeight="true" outlineLevel="0" collapsed="false">
      <c r="A440" s="12" t="s">
        <v>846</v>
      </c>
      <c r="B440" s="12" t="s">
        <v>326</v>
      </c>
      <c r="C440" s="12" t="s">
        <v>327</v>
      </c>
      <c r="D440" s="12" t="s">
        <v>323</v>
      </c>
      <c r="E440" s="12" t="s">
        <v>264</v>
      </c>
      <c r="F440" s="12"/>
      <c r="G440" s="12"/>
      <c r="H440" s="12" t="s">
        <v>381</v>
      </c>
      <c r="I440" s="14" t="n">
        <v>20000</v>
      </c>
      <c r="J440" s="18" t="n">
        <f aca="false">IF($I440="","",ROUND($I440*Dropdowns!$K$5,2))</f>
        <v>52</v>
      </c>
      <c r="K440" s="19" t="n">
        <f aca="false">IF($I440="","",ROUND($I440*Dropdowns!$K$6,2))</f>
        <v>48</v>
      </c>
      <c r="L440" s="20" t="n">
        <f aca="false">IF($I440="","",ROUND($I440*Dropdowns!$K$7,2))</f>
        <v>4100</v>
      </c>
      <c r="M440" s="15" t="str">
        <f aca="false">IFERROR(IF($B440="","",VLOOKUP($B440,Designs!$A$3:$AP$165,27,FALSE())),"")</f>
        <v/>
      </c>
      <c r="N440" s="16" t="str">
        <f aca="false">IFERROR(IF(OR($I440="",$M440="",$M440=0),"",($I440-$M440)/$I440),"")</f>
        <v/>
      </c>
      <c r="O440" s="13" t="n">
        <v>0</v>
      </c>
      <c r="P440" s="13" t="n">
        <v>0</v>
      </c>
      <c r="Q440" s="21" t="n">
        <f aca="false">IF($O440="","",$O440-IF($P440="",0,$P440))</f>
        <v>0</v>
      </c>
      <c r="R440" s="13" t="n">
        <v>2</v>
      </c>
      <c r="S440" s="21" t="str">
        <f aca="false">IF($O440="","",IF($Q440&lt;=$R440,"⚠ REORDER","OK"))</f>
        <v>⚠ REORDER</v>
      </c>
      <c r="T440" s="13"/>
      <c r="U440" s="13"/>
      <c r="V440" s="13" t="s">
        <v>378</v>
      </c>
      <c r="W440" s="12" t="s">
        <v>379</v>
      </c>
      <c r="X440" s="13"/>
      <c r="Y440" s="13"/>
      <c r="Z440" s="12" t="s">
        <v>88</v>
      </c>
      <c r="AA440" s="12" t="s">
        <v>88</v>
      </c>
      <c r="AB440" s="12" t="s">
        <v>88</v>
      </c>
      <c r="AC440" s="12" t="s">
        <v>88</v>
      </c>
      <c r="AD440" s="12" t="s">
        <v>87</v>
      </c>
      <c r="AE440" s="21" t="n">
        <f aca="false">IFERROR(SUMIFS(Transactions!$F:$F,Transactions!$C:$C,$A440,Transactions!$D:$D,"Sale"),0)</f>
        <v>0</v>
      </c>
      <c r="AF440" s="15" t="n">
        <f aca="false">IFERROR(SUMIFS(Transactions!$H:$H,Transactions!$C:$C,$A440,Transactions!$D:$D,"Sale"),0)</f>
        <v>0</v>
      </c>
      <c r="AG440" s="22" t="str">
        <f aca="false">IFERROR(IF(maxifs(Transactions!$B:$B,Transactions!$C:$C,$A440,Transactions!$D:$D,"Sale")=0,"",maxifs(Transactions!$B:$B,Transactions!$C:$C,$A440,Transactions!$D:$D,"Sale")),"")</f>
        <v/>
      </c>
      <c r="AH440" s="12"/>
    </row>
    <row r="441" customFormat="false" ht="18" hidden="false" customHeight="true" outlineLevel="0" collapsed="false">
      <c r="A441" s="12" t="s">
        <v>847</v>
      </c>
      <c r="B441" s="12" t="s">
        <v>326</v>
      </c>
      <c r="C441" s="12" t="s">
        <v>327</v>
      </c>
      <c r="D441" s="12" t="s">
        <v>323</v>
      </c>
      <c r="E441" s="12" t="s">
        <v>264</v>
      </c>
      <c r="F441" s="12"/>
      <c r="G441" s="12"/>
      <c r="H441" s="12" t="s">
        <v>655</v>
      </c>
      <c r="I441" s="14" t="n">
        <v>20000</v>
      </c>
      <c r="J441" s="18" t="n">
        <f aca="false">IF($I441="","",ROUND($I441*Dropdowns!$K$5,2))</f>
        <v>52</v>
      </c>
      <c r="K441" s="19" t="n">
        <f aca="false">IF($I441="","",ROUND($I441*Dropdowns!$K$6,2))</f>
        <v>48</v>
      </c>
      <c r="L441" s="20" t="n">
        <f aca="false">IF($I441="","",ROUND($I441*Dropdowns!$K$7,2))</f>
        <v>4100</v>
      </c>
      <c r="M441" s="15" t="str">
        <f aca="false">IFERROR(IF($B441="","",VLOOKUP($B441,Designs!$A$3:$AP$165,27,FALSE())),"")</f>
        <v/>
      </c>
      <c r="N441" s="16" t="str">
        <f aca="false">IFERROR(IF(OR($I441="",$M441="",$M441=0),"",($I441-$M441)/$I441),"")</f>
        <v/>
      </c>
      <c r="O441" s="13" t="n">
        <v>0</v>
      </c>
      <c r="P441" s="13" t="n">
        <v>0</v>
      </c>
      <c r="Q441" s="21" t="n">
        <f aca="false">IF($O441="","",$O441-IF($P441="",0,$P441))</f>
        <v>0</v>
      </c>
      <c r="R441" s="13" t="n">
        <v>2</v>
      </c>
      <c r="S441" s="21" t="str">
        <f aca="false">IF($O441="","",IF($Q441&lt;=$R441,"⚠ REORDER","OK"))</f>
        <v>⚠ REORDER</v>
      </c>
      <c r="T441" s="13"/>
      <c r="U441" s="13"/>
      <c r="V441" s="13" t="s">
        <v>378</v>
      </c>
      <c r="W441" s="12" t="s">
        <v>379</v>
      </c>
      <c r="X441" s="13"/>
      <c r="Y441" s="13"/>
      <c r="Z441" s="12" t="s">
        <v>88</v>
      </c>
      <c r="AA441" s="12" t="s">
        <v>88</v>
      </c>
      <c r="AB441" s="12" t="s">
        <v>88</v>
      </c>
      <c r="AC441" s="12" t="s">
        <v>88</v>
      </c>
      <c r="AD441" s="12" t="s">
        <v>87</v>
      </c>
      <c r="AE441" s="21" t="n">
        <f aca="false">IFERROR(SUMIFS(Transactions!$F:$F,Transactions!$C:$C,$A441,Transactions!$D:$D,"Sale"),0)</f>
        <v>0</v>
      </c>
      <c r="AF441" s="15" t="n">
        <f aca="false">IFERROR(SUMIFS(Transactions!$H:$H,Transactions!$C:$C,$A441,Transactions!$D:$D,"Sale"),0)</f>
        <v>0</v>
      </c>
      <c r="AG441" s="22" t="str">
        <f aca="false">IFERROR(IF(maxifs(Transactions!$B:$B,Transactions!$C:$C,$A441,Transactions!$D:$D,"Sale")=0,"",maxifs(Transactions!$B:$B,Transactions!$C:$C,$A441,Transactions!$D:$D,"Sale")),"")</f>
        <v/>
      </c>
      <c r="AH441" s="12"/>
    </row>
    <row r="442" customFormat="false" ht="18" hidden="false" customHeight="true" outlineLevel="0" collapsed="false">
      <c r="A442" s="12" t="s">
        <v>848</v>
      </c>
      <c r="B442" s="12" t="s">
        <v>328</v>
      </c>
      <c r="C442" s="12" t="s">
        <v>269</v>
      </c>
      <c r="D442" s="12" t="s">
        <v>323</v>
      </c>
      <c r="E442" s="12" t="s">
        <v>270</v>
      </c>
      <c r="F442" s="12"/>
      <c r="G442" s="12"/>
      <c r="H442" s="12" t="s">
        <v>649</v>
      </c>
      <c r="I442" s="14" t="n">
        <v>20000</v>
      </c>
      <c r="J442" s="18" t="n">
        <f aca="false">IF($I442="","",ROUND($I442*Dropdowns!$K$5,2))</f>
        <v>52</v>
      </c>
      <c r="K442" s="19" t="n">
        <f aca="false">IF($I442="","",ROUND($I442*Dropdowns!$K$6,2))</f>
        <v>48</v>
      </c>
      <c r="L442" s="20" t="n">
        <f aca="false">IF($I442="","",ROUND($I442*Dropdowns!$K$7,2))</f>
        <v>4100</v>
      </c>
      <c r="M442" s="15" t="str">
        <f aca="false">IFERROR(IF($B442="","",VLOOKUP($B442,Designs!$A$3:$AP$165,27,FALSE())),"")</f>
        <v/>
      </c>
      <c r="N442" s="16" t="str">
        <f aca="false">IFERROR(IF(OR($I442="",$M442="",$M442=0),"",($I442-$M442)/$I442),"")</f>
        <v/>
      </c>
      <c r="O442" s="13" t="n">
        <v>0</v>
      </c>
      <c r="P442" s="13" t="n">
        <v>0</v>
      </c>
      <c r="Q442" s="21" t="n">
        <f aca="false">IF($O442="","",$O442-IF($P442="",0,$P442))</f>
        <v>0</v>
      </c>
      <c r="R442" s="13" t="n">
        <v>2</v>
      </c>
      <c r="S442" s="21" t="str">
        <f aca="false">IF($O442="","",IF($Q442&lt;=$R442,"⚠ REORDER","OK"))</f>
        <v>⚠ REORDER</v>
      </c>
      <c r="T442" s="13"/>
      <c r="U442" s="13"/>
      <c r="V442" s="13" t="s">
        <v>378</v>
      </c>
      <c r="W442" s="12" t="s">
        <v>379</v>
      </c>
      <c r="X442" s="13"/>
      <c r="Y442" s="13"/>
      <c r="Z442" s="12" t="s">
        <v>88</v>
      </c>
      <c r="AA442" s="12" t="s">
        <v>88</v>
      </c>
      <c r="AB442" s="12" t="s">
        <v>88</v>
      </c>
      <c r="AC442" s="12" t="s">
        <v>88</v>
      </c>
      <c r="AD442" s="12" t="s">
        <v>87</v>
      </c>
      <c r="AE442" s="21" t="n">
        <f aca="false">IFERROR(SUMIFS(Transactions!$F:$F,Transactions!$C:$C,$A442,Transactions!$D:$D,"Sale"),0)</f>
        <v>0</v>
      </c>
      <c r="AF442" s="15" t="n">
        <f aca="false">IFERROR(SUMIFS(Transactions!$H:$H,Transactions!$C:$C,$A442,Transactions!$D:$D,"Sale"),0)</f>
        <v>0</v>
      </c>
      <c r="AG442" s="22" t="str">
        <f aca="false">IFERROR(IF(maxifs(Transactions!$B:$B,Transactions!$C:$C,$A442,Transactions!$D:$D,"Sale")=0,"",maxifs(Transactions!$B:$B,Transactions!$C:$C,$A442,Transactions!$D:$D,"Sale")),"")</f>
        <v/>
      </c>
      <c r="AH442" s="12"/>
    </row>
    <row r="443" customFormat="false" ht="18" hidden="false" customHeight="true" outlineLevel="0" collapsed="false">
      <c r="A443" s="12" t="s">
        <v>849</v>
      </c>
      <c r="B443" s="12" t="s">
        <v>328</v>
      </c>
      <c r="C443" s="12" t="s">
        <v>269</v>
      </c>
      <c r="D443" s="12" t="s">
        <v>323</v>
      </c>
      <c r="E443" s="12" t="s">
        <v>270</v>
      </c>
      <c r="F443" s="12"/>
      <c r="G443" s="12"/>
      <c r="H443" s="12" t="s">
        <v>383</v>
      </c>
      <c r="I443" s="14" t="n">
        <v>20000</v>
      </c>
      <c r="J443" s="18" t="n">
        <f aca="false">IF($I443="","",ROUND($I443*Dropdowns!$K$5,2))</f>
        <v>52</v>
      </c>
      <c r="K443" s="19" t="n">
        <f aca="false">IF($I443="","",ROUND($I443*Dropdowns!$K$6,2))</f>
        <v>48</v>
      </c>
      <c r="L443" s="20" t="n">
        <f aca="false">IF($I443="","",ROUND($I443*Dropdowns!$K$7,2))</f>
        <v>4100</v>
      </c>
      <c r="M443" s="15" t="str">
        <f aca="false">IFERROR(IF($B443="","",VLOOKUP($B443,Designs!$A$3:$AP$165,27,FALSE())),"")</f>
        <v/>
      </c>
      <c r="N443" s="16" t="str">
        <f aca="false">IFERROR(IF(OR($I443="",$M443="",$M443=0),"",($I443-$M443)/$I443),"")</f>
        <v/>
      </c>
      <c r="O443" s="13" t="n">
        <v>0</v>
      </c>
      <c r="P443" s="13" t="n">
        <v>0</v>
      </c>
      <c r="Q443" s="21" t="n">
        <f aca="false">IF($O443="","",$O443-IF($P443="",0,$P443))</f>
        <v>0</v>
      </c>
      <c r="R443" s="13" t="n">
        <v>2</v>
      </c>
      <c r="S443" s="21" t="str">
        <f aca="false">IF($O443="","",IF($Q443&lt;=$R443,"⚠ REORDER","OK"))</f>
        <v>⚠ REORDER</v>
      </c>
      <c r="T443" s="13"/>
      <c r="U443" s="13"/>
      <c r="V443" s="13" t="s">
        <v>378</v>
      </c>
      <c r="W443" s="12" t="s">
        <v>379</v>
      </c>
      <c r="X443" s="13"/>
      <c r="Y443" s="13"/>
      <c r="Z443" s="12" t="s">
        <v>88</v>
      </c>
      <c r="AA443" s="12" t="s">
        <v>88</v>
      </c>
      <c r="AB443" s="12" t="s">
        <v>88</v>
      </c>
      <c r="AC443" s="12" t="s">
        <v>88</v>
      </c>
      <c r="AD443" s="12" t="s">
        <v>87</v>
      </c>
      <c r="AE443" s="21" t="n">
        <f aca="false">IFERROR(SUMIFS(Transactions!$F:$F,Transactions!$C:$C,$A443,Transactions!$D:$D,"Sale"),0)</f>
        <v>0</v>
      </c>
      <c r="AF443" s="15" t="n">
        <f aca="false">IFERROR(SUMIFS(Transactions!$H:$H,Transactions!$C:$C,$A443,Transactions!$D:$D,"Sale"),0)</f>
        <v>0</v>
      </c>
      <c r="AG443" s="22" t="str">
        <f aca="false">IFERROR(IF(maxifs(Transactions!$B:$B,Transactions!$C:$C,$A443,Transactions!$D:$D,"Sale")=0,"",maxifs(Transactions!$B:$B,Transactions!$C:$C,$A443,Transactions!$D:$D,"Sale")),"")</f>
        <v/>
      </c>
      <c r="AH443" s="12"/>
    </row>
    <row r="444" customFormat="false" ht="18" hidden="false" customHeight="true" outlineLevel="0" collapsed="false">
      <c r="A444" s="12" t="s">
        <v>850</v>
      </c>
      <c r="B444" s="12" t="s">
        <v>328</v>
      </c>
      <c r="C444" s="12" t="s">
        <v>269</v>
      </c>
      <c r="D444" s="12" t="s">
        <v>323</v>
      </c>
      <c r="E444" s="12" t="s">
        <v>270</v>
      </c>
      <c r="F444" s="12"/>
      <c r="G444" s="12"/>
      <c r="H444" s="12" t="s">
        <v>652</v>
      </c>
      <c r="I444" s="14" t="n">
        <v>20000</v>
      </c>
      <c r="J444" s="18" t="n">
        <f aca="false">IF($I444="","",ROUND($I444*Dropdowns!$K$5,2))</f>
        <v>52</v>
      </c>
      <c r="K444" s="19" t="n">
        <f aca="false">IF($I444="","",ROUND($I444*Dropdowns!$K$6,2))</f>
        <v>48</v>
      </c>
      <c r="L444" s="20" t="n">
        <f aca="false">IF($I444="","",ROUND($I444*Dropdowns!$K$7,2))</f>
        <v>4100</v>
      </c>
      <c r="M444" s="15" t="str">
        <f aca="false">IFERROR(IF($B444="","",VLOOKUP($B444,Designs!$A$3:$AP$165,27,FALSE())),"")</f>
        <v/>
      </c>
      <c r="N444" s="16" t="str">
        <f aca="false">IFERROR(IF(OR($I444="",$M444="",$M444=0),"",($I444-$M444)/$I444),"")</f>
        <v/>
      </c>
      <c r="O444" s="13" t="n">
        <v>0</v>
      </c>
      <c r="P444" s="13" t="n">
        <v>0</v>
      </c>
      <c r="Q444" s="21" t="n">
        <f aca="false">IF($O444="","",$O444-IF($P444="",0,$P444))</f>
        <v>0</v>
      </c>
      <c r="R444" s="13" t="n">
        <v>2</v>
      </c>
      <c r="S444" s="21" t="str">
        <f aca="false">IF($O444="","",IF($Q444&lt;=$R444,"⚠ REORDER","OK"))</f>
        <v>⚠ REORDER</v>
      </c>
      <c r="T444" s="13"/>
      <c r="U444" s="13"/>
      <c r="V444" s="13" t="s">
        <v>378</v>
      </c>
      <c r="W444" s="12" t="s">
        <v>379</v>
      </c>
      <c r="X444" s="13"/>
      <c r="Y444" s="13"/>
      <c r="Z444" s="12" t="s">
        <v>88</v>
      </c>
      <c r="AA444" s="12" t="s">
        <v>88</v>
      </c>
      <c r="AB444" s="12" t="s">
        <v>88</v>
      </c>
      <c r="AC444" s="12" t="s">
        <v>88</v>
      </c>
      <c r="AD444" s="12" t="s">
        <v>87</v>
      </c>
      <c r="AE444" s="21" t="n">
        <f aca="false">IFERROR(SUMIFS(Transactions!$F:$F,Transactions!$C:$C,$A444,Transactions!$D:$D,"Sale"),0)</f>
        <v>0</v>
      </c>
      <c r="AF444" s="15" t="n">
        <f aca="false">IFERROR(SUMIFS(Transactions!$H:$H,Transactions!$C:$C,$A444,Transactions!$D:$D,"Sale"),0)</f>
        <v>0</v>
      </c>
      <c r="AG444" s="22" t="str">
        <f aca="false">IFERROR(IF(maxifs(Transactions!$B:$B,Transactions!$C:$C,$A444,Transactions!$D:$D,"Sale")=0,"",maxifs(Transactions!$B:$B,Transactions!$C:$C,$A444,Transactions!$D:$D,"Sale")),"")</f>
        <v/>
      </c>
      <c r="AH444" s="12"/>
    </row>
    <row r="445" customFormat="false" ht="18" hidden="false" customHeight="true" outlineLevel="0" collapsed="false">
      <c r="A445" s="12" t="s">
        <v>851</v>
      </c>
      <c r="B445" s="12" t="s">
        <v>328</v>
      </c>
      <c r="C445" s="12" t="s">
        <v>269</v>
      </c>
      <c r="D445" s="12" t="s">
        <v>323</v>
      </c>
      <c r="E445" s="12" t="s">
        <v>270</v>
      </c>
      <c r="F445" s="12"/>
      <c r="G445" s="12"/>
      <c r="H445" s="12" t="s">
        <v>381</v>
      </c>
      <c r="I445" s="14" t="n">
        <v>20000</v>
      </c>
      <c r="J445" s="18" t="n">
        <f aca="false">IF($I445="","",ROUND($I445*Dropdowns!$K$5,2))</f>
        <v>52</v>
      </c>
      <c r="K445" s="19" t="n">
        <f aca="false">IF($I445="","",ROUND($I445*Dropdowns!$K$6,2))</f>
        <v>48</v>
      </c>
      <c r="L445" s="20" t="n">
        <f aca="false">IF($I445="","",ROUND($I445*Dropdowns!$K$7,2))</f>
        <v>4100</v>
      </c>
      <c r="M445" s="15" t="str">
        <f aca="false">IFERROR(IF($B445="","",VLOOKUP($B445,Designs!$A$3:$AP$165,27,FALSE())),"")</f>
        <v/>
      </c>
      <c r="N445" s="16" t="str">
        <f aca="false">IFERROR(IF(OR($I445="",$M445="",$M445=0),"",($I445-$M445)/$I445),"")</f>
        <v/>
      </c>
      <c r="O445" s="13" t="n">
        <v>0</v>
      </c>
      <c r="P445" s="13" t="n">
        <v>0</v>
      </c>
      <c r="Q445" s="21" t="n">
        <f aca="false">IF($O445="","",$O445-IF($P445="",0,$P445))</f>
        <v>0</v>
      </c>
      <c r="R445" s="13" t="n">
        <v>2</v>
      </c>
      <c r="S445" s="21" t="str">
        <f aca="false">IF($O445="","",IF($Q445&lt;=$R445,"⚠ REORDER","OK"))</f>
        <v>⚠ REORDER</v>
      </c>
      <c r="T445" s="13"/>
      <c r="U445" s="13"/>
      <c r="V445" s="13" t="s">
        <v>378</v>
      </c>
      <c r="W445" s="12" t="s">
        <v>379</v>
      </c>
      <c r="X445" s="13"/>
      <c r="Y445" s="13"/>
      <c r="Z445" s="12" t="s">
        <v>88</v>
      </c>
      <c r="AA445" s="12" t="s">
        <v>88</v>
      </c>
      <c r="AB445" s="12" t="s">
        <v>88</v>
      </c>
      <c r="AC445" s="12" t="s">
        <v>88</v>
      </c>
      <c r="AD445" s="12" t="s">
        <v>87</v>
      </c>
      <c r="AE445" s="21" t="n">
        <f aca="false">IFERROR(SUMIFS(Transactions!$F:$F,Transactions!$C:$C,$A445,Transactions!$D:$D,"Sale"),0)</f>
        <v>0</v>
      </c>
      <c r="AF445" s="15" t="n">
        <f aca="false">IFERROR(SUMIFS(Transactions!$H:$H,Transactions!$C:$C,$A445,Transactions!$D:$D,"Sale"),0)</f>
        <v>0</v>
      </c>
      <c r="AG445" s="22" t="str">
        <f aca="false">IFERROR(IF(maxifs(Transactions!$B:$B,Transactions!$C:$C,$A445,Transactions!$D:$D,"Sale")=0,"",maxifs(Transactions!$B:$B,Transactions!$C:$C,$A445,Transactions!$D:$D,"Sale")),"")</f>
        <v/>
      </c>
      <c r="AH445" s="12"/>
    </row>
    <row r="446" customFormat="false" ht="18" hidden="false" customHeight="true" outlineLevel="0" collapsed="false">
      <c r="A446" s="12" t="s">
        <v>852</v>
      </c>
      <c r="B446" s="12" t="s">
        <v>328</v>
      </c>
      <c r="C446" s="12" t="s">
        <v>269</v>
      </c>
      <c r="D446" s="12" t="s">
        <v>323</v>
      </c>
      <c r="E446" s="12" t="s">
        <v>270</v>
      </c>
      <c r="F446" s="12"/>
      <c r="G446" s="12"/>
      <c r="H446" s="12" t="s">
        <v>655</v>
      </c>
      <c r="I446" s="14" t="n">
        <v>20000</v>
      </c>
      <c r="J446" s="18" t="n">
        <f aca="false">IF($I446="","",ROUND($I446*Dropdowns!$K$5,2))</f>
        <v>52</v>
      </c>
      <c r="K446" s="19" t="n">
        <f aca="false">IF($I446="","",ROUND($I446*Dropdowns!$K$6,2))</f>
        <v>48</v>
      </c>
      <c r="L446" s="20" t="n">
        <f aca="false">IF($I446="","",ROUND($I446*Dropdowns!$K$7,2))</f>
        <v>4100</v>
      </c>
      <c r="M446" s="15" t="str">
        <f aca="false">IFERROR(IF($B446="","",VLOOKUP($B446,Designs!$A$3:$AP$165,27,FALSE())),"")</f>
        <v/>
      </c>
      <c r="N446" s="16" t="str">
        <f aca="false">IFERROR(IF(OR($I446="",$M446="",$M446=0),"",($I446-$M446)/$I446),"")</f>
        <v/>
      </c>
      <c r="O446" s="13" t="n">
        <v>0</v>
      </c>
      <c r="P446" s="13" t="n">
        <v>0</v>
      </c>
      <c r="Q446" s="21" t="n">
        <f aca="false">IF($O446="","",$O446-IF($P446="",0,$P446))</f>
        <v>0</v>
      </c>
      <c r="R446" s="13" t="n">
        <v>2</v>
      </c>
      <c r="S446" s="21" t="str">
        <f aca="false">IF($O446="","",IF($Q446&lt;=$R446,"⚠ REORDER","OK"))</f>
        <v>⚠ REORDER</v>
      </c>
      <c r="T446" s="13"/>
      <c r="U446" s="13"/>
      <c r="V446" s="13" t="s">
        <v>378</v>
      </c>
      <c r="W446" s="12" t="s">
        <v>379</v>
      </c>
      <c r="X446" s="13"/>
      <c r="Y446" s="13"/>
      <c r="Z446" s="12" t="s">
        <v>88</v>
      </c>
      <c r="AA446" s="12" t="s">
        <v>88</v>
      </c>
      <c r="AB446" s="12" t="s">
        <v>88</v>
      </c>
      <c r="AC446" s="12" t="s">
        <v>88</v>
      </c>
      <c r="AD446" s="12" t="s">
        <v>87</v>
      </c>
      <c r="AE446" s="21" t="n">
        <f aca="false">IFERROR(SUMIFS(Transactions!$F:$F,Transactions!$C:$C,$A446,Transactions!$D:$D,"Sale"),0)</f>
        <v>0</v>
      </c>
      <c r="AF446" s="15" t="n">
        <f aca="false">IFERROR(SUMIFS(Transactions!$H:$H,Transactions!$C:$C,$A446,Transactions!$D:$D,"Sale"),0)</f>
        <v>0</v>
      </c>
      <c r="AG446" s="22" t="str">
        <f aca="false">IFERROR(IF(maxifs(Transactions!$B:$B,Transactions!$C:$C,$A446,Transactions!$D:$D,"Sale")=0,"",maxifs(Transactions!$B:$B,Transactions!$C:$C,$A446,Transactions!$D:$D,"Sale")),"")</f>
        <v/>
      </c>
      <c r="AH446" s="12"/>
    </row>
    <row r="447" customFormat="false" ht="18" hidden="false" customHeight="true" outlineLevel="0" collapsed="false">
      <c r="A447" s="12" t="s">
        <v>853</v>
      </c>
      <c r="B447" s="12" t="s">
        <v>329</v>
      </c>
      <c r="C447" s="12" t="s">
        <v>330</v>
      </c>
      <c r="D447" s="12" t="s">
        <v>323</v>
      </c>
      <c r="E447" s="12" t="s">
        <v>258</v>
      </c>
      <c r="F447" s="12"/>
      <c r="G447" s="12"/>
      <c r="H447" s="12" t="s">
        <v>383</v>
      </c>
      <c r="I447" s="14" t="n">
        <v>20000</v>
      </c>
      <c r="J447" s="18" t="n">
        <f aca="false">IF($I447="","",ROUND($I447*Dropdowns!$K$5,2))</f>
        <v>52</v>
      </c>
      <c r="K447" s="19" t="n">
        <f aca="false">IF($I447="","",ROUND($I447*Dropdowns!$K$6,2))</f>
        <v>48</v>
      </c>
      <c r="L447" s="20" t="n">
        <f aca="false">IF($I447="","",ROUND($I447*Dropdowns!$K$7,2))</f>
        <v>4100</v>
      </c>
      <c r="M447" s="15" t="str">
        <f aca="false">IFERROR(IF($B447="","",VLOOKUP($B447,Designs!$A$3:$AP$165,27,FALSE())),"")</f>
        <v/>
      </c>
      <c r="N447" s="16" t="str">
        <f aca="false">IFERROR(IF(OR($I447="",$M447="",$M447=0),"",($I447-$M447)/$I447),"")</f>
        <v/>
      </c>
      <c r="O447" s="13" t="n">
        <v>0</v>
      </c>
      <c r="P447" s="13" t="n">
        <v>0</v>
      </c>
      <c r="Q447" s="21" t="n">
        <f aca="false">IF($O447="","",$O447-IF($P447="",0,$P447))</f>
        <v>0</v>
      </c>
      <c r="R447" s="13" t="n">
        <v>2</v>
      </c>
      <c r="S447" s="21" t="str">
        <f aca="false">IF($O447="","",IF($Q447&lt;=$R447,"⚠ REORDER","OK"))</f>
        <v>⚠ REORDER</v>
      </c>
      <c r="T447" s="13"/>
      <c r="U447" s="13"/>
      <c r="V447" s="13" t="s">
        <v>378</v>
      </c>
      <c r="W447" s="12" t="s">
        <v>379</v>
      </c>
      <c r="X447" s="13"/>
      <c r="Y447" s="13"/>
      <c r="Z447" s="12" t="s">
        <v>88</v>
      </c>
      <c r="AA447" s="12" t="s">
        <v>88</v>
      </c>
      <c r="AB447" s="12" t="s">
        <v>88</v>
      </c>
      <c r="AC447" s="12" t="s">
        <v>88</v>
      </c>
      <c r="AD447" s="12" t="s">
        <v>87</v>
      </c>
      <c r="AE447" s="21" t="n">
        <f aca="false">IFERROR(SUMIFS(Transactions!$F:$F,Transactions!$C:$C,$A447,Transactions!$D:$D,"Sale"),0)</f>
        <v>0</v>
      </c>
      <c r="AF447" s="15" t="n">
        <f aca="false">IFERROR(SUMIFS(Transactions!$H:$H,Transactions!$C:$C,$A447,Transactions!$D:$D,"Sale"),0)</f>
        <v>0</v>
      </c>
      <c r="AG447" s="22" t="str">
        <f aca="false">IFERROR(IF(maxifs(Transactions!$B:$B,Transactions!$C:$C,$A447,Transactions!$D:$D,"Sale")=0,"",maxifs(Transactions!$B:$B,Transactions!$C:$C,$A447,Transactions!$D:$D,"Sale")),"")</f>
        <v/>
      </c>
      <c r="AH447" s="12"/>
    </row>
    <row r="448" customFormat="false" ht="18" hidden="false" customHeight="true" outlineLevel="0" collapsed="false">
      <c r="A448" s="12" t="s">
        <v>854</v>
      </c>
      <c r="B448" s="12" t="s">
        <v>329</v>
      </c>
      <c r="C448" s="12" t="s">
        <v>330</v>
      </c>
      <c r="D448" s="12" t="s">
        <v>323</v>
      </c>
      <c r="E448" s="12" t="s">
        <v>258</v>
      </c>
      <c r="F448" s="12"/>
      <c r="G448" s="12"/>
      <c r="H448" s="12" t="s">
        <v>763</v>
      </c>
      <c r="I448" s="14" t="n">
        <v>20000</v>
      </c>
      <c r="J448" s="18" t="n">
        <f aca="false">IF($I448="","",ROUND($I448*Dropdowns!$K$5,2))</f>
        <v>52</v>
      </c>
      <c r="K448" s="19" t="n">
        <f aca="false">IF($I448="","",ROUND($I448*Dropdowns!$K$6,2))</f>
        <v>48</v>
      </c>
      <c r="L448" s="20" t="n">
        <f aca="false">IF($I448="","",ROUND($I448*Dropdowns!$K$7,2))</f>
        <v>4100</v>
      </c>
      <c r="M448" s="15" t="str">
        <f aca="false">IFERROR(IF($B448="","",VLOOKUP($B448,Designs!$A$3:$AP$165,27,FALSE())),"")</f>
        <v/>
      </c>
      <c r="N448" s="16" t="str">
        <f aca="false">IFERROR(IF(OR($I448="",$M448="",$M448=0),"",($I448-$M448)/$I448),"")</f>
        <v/>
      </c>
      <c r="O448" s="13" t="n">
        <v>0</v>
      </c>
      <c r="P448" s="13" t="n">
        <v>0</v>
      </c>
      <c r="Q448" s="21" t="n">
        <f aca="false">IF($O448="","",$O448-IF($P448="",0,$P448))</f>
        <v>0</v>
      </c>
      <c r="R448" s="13" t="n">
        <v>2</v>
      </c>
      <c r="S448" s="21" t="str">
        <f aca="false">IF($O448="","",IF($Q448&lt;=$R448,"⚠ REORDER","OK"))</f>
        <v>⚠ REORDER</v>
      </c>
      <c r="T448" s="13"/>
      <c r="U448" s="13"/>
      <c r="V448" s="13" t="s">
        <v>378</v>
      </c>
      <c r="W448" s="12" t="s">
        <v>379</v>
      </c>
      <c r="X448" s="13"/>
      <c r="Y448" s="13"/>
      <c r="Z448" s="12" t="s">
        <v>88</v>
      </c>
      <c r="AA448" s="12" t="s">
        <v>88</v>
      </c>
      <c r="AB448" s="12" t="s">
        <v>88</v>
      </c>
      <c r="AC448" s="12" t="s">
        <v>88</v>
      </c>
      <c r="AD448" s="12" t="s">
        <v>87</v>
      </c>
      <c r="AE448" s="21" t="n">
        <f aca="false">IFERROR(SUMIFS(Transactions!$F:$F,Transactions!$C:$C,$A448,Transactions!$D:$D,"Sale"),0)</f>
        <v>0</v>
      </c>
      <c r="AF448" s="15" t="n">
        <f aca="false">IFERROR(SUMIFS(Transactions!$H:$H,Transactions!$C:$C,$A448,Transactions!$D:$D,"Sale"),0)</f>
        <v>0</v>
      </c>
      <c r="AG448" s="22" t="str">
        <f aca="false">IFERROR(IF(maxifs(Transactions!$B:$B,Transactions!$C:$C,$A448,Transactions!$D:$D,"Sale")=0,"",maxifs(Transactions!$B:$B,Transactions!$C:$C,$A448,Transactions!$D:$D,"Sale")),"")</f>
        <v/>
      </c>
      <c r="AH448" s="12"/>
    </row>
    <row r="449" customFormat="false" ht="18" hidden="false" customHeight="true" outlineLevel="0" collapsed="false">
      <c r="A449" s="12" t="s">
        <v>855</v>
      </c>
      <c r="B449" s="12" t="s">
        <v>329</v>
      </c>
      <c r="C449" s="12" t="s">
        <v>330</v>
      </c>
      <c r="D449" s="12" t="s">
        <v>323</v>
      </c>
      <c r="E449" s="12" t="s">
        <v>258</v>
      </c>
      <c r="F449" s="12"/>
      <c r="G449" s="12"/>
      <c r="H449" s="12" t="s">
        <v>660</v>
      </c>
      <c r="I449" s="14" t="n">
        <v>20000</v>
      </c>
      <c r="J449" s="18" t="n">
        <f aca="false">IF($I449="","",ROUND($I449*Dropdowns!$K$5,2))</f>
        <v>52</v>
      </c>
      <c r="K449" s="19" t="n">
        <f aca="false">IF($I449="","",ROUND($I449*Dropdowns!$K$6,2))</f>
        <v>48</v>
      </c>
      <c r="L449" s="20" t="n">
        <f aca="false">IF($I449="","",ROUND($I449*Dropdowns!$K$7,2))</f>
        <v>4100</v>
      </c>
      <c r="M449" s="15" t="str">
        <f aca="false">IFERROR(IF($B449="","",VLOOKUP($B449,Designs!$A$3:$AP$165,27,FALSE())),"")</f>
        <v/>
      </c>
      <c r="N449" s="16" t="str">
        <f aca="false">IFERROR(IF(OR($I449="",$M449="",$M449=0),"",($I449-$M449)/$I449),"")</f>
        <v/>
      </c>
      <c r="O449" s="13" t="n">
        <v>0</v>
      </c>
      <c r="P449" s="13" t="n">
        <v>0</v>
      </c>
      <c r="Q449" s="21" t="n">
        <f aca="false">IF($O449="","",$O449-IF($P449="",0,$P449))</f>
        <v>0</v>
      </c>
      <c r="R449" s="13" t="n">
        <v>2</v>
      </c>
      <c r="S449" s="21" t="str">
        <f aca="false">IF($O449="","",IF($Q449&lt;=$R449,"⚠ REORDER","OK"))</f>
        <v>⚠ REORDER</v>
      </c>
      <c r="T449" s="13"/>
      <c r="U449" s="13"/>
      <c r="V449" s="13" t="s">
        <v>378</v>
      </c>
      <c r="W449" s="12" t="s">
        <v>379</v>
      </c>
      <c r="X449" s="13"/>
      <c r="Y449" s="13"/>
      <c r="Z449" s="12" t="s">
        <v>88</v>
      </c>
      <c r="AA449" s="12" t="s">
        <v>88</v>
      </c>
      <c r="AB449" s="12" t="s">
        <v>88</v>
      </c>
      <c r="AC449" s="12" t="s">
        <v>88</v>
      </c>
      <c r="AD449" s="12" t="s">
        <v>87</v>
      </c>
      <c r="AE449" s="21" t="n">
        <f aca="false">IFERROR(SUMIFS(Transactions!$F:$F,Transactions!$C:$C,$A449,Transactions!$D:$D,"Sale"),0)</f>
        <v>0</v>
      </c>
      <c r="AF449" s="15" t="n">
        <f aca="false">IFERROR(SUMIFS(Transactions!$H:$H,Transactions!$C:$C,$A449,Transactions!$D:$D,"Sale"),0)</f>
        <v>0</v>
      </c>
      <c r="AG449" s="22" t="str">
        <f aca="false">IFERROR(IF(maxifs(Transactions!$B:$B,Transactions!$C:$C,$A449,Transactions!$D:$D,"Sale")=0,"",maxifs(Transactions!$B:$B,Transactions!$C:$C,$A449,Transactions!$D:$D,"Sale")),"")</f>
        <v/>
      </c>
      <c r="AH449" s="12"/>
    </row>
    <row r="450" customFormat="false" ht="18" hidden="false" customHeight="true" outlineLevel="0" collapsed="false">
      <c r="A450" s="12" t="s">
        <v>856</v>
      </c>
      <c r="B450" s="12" t="s">
        <v>329</v>
      </c>
      <c r="C450" s="12" t="s">
        <v>330</v>
      </c>
      <c r="D450" s="12" t="s">
        <v>323</v>
      </c>
      <c r="E450" s="12" t="s">
        <v>258</v>
      </c>
      <c r="F450" s="12"/>
      <c r="G450" s="12"/>
      <c r="H450" s="12" t="s">
        <v>649</v>
      </c>
      <c r="I450" s="14" t="n">
        <v>20000</v>
      </c>
      <c r="J450" s="18" t="n">
        <f aca="false">IF($I450="","",ROUND($I450*Dropdowns!$K$5,2))</f>
        <v>52</v>
      </c>
      <c r="K450" s="19" t="n">
        <f aca="false">IF($I450="","",ROUND($I450*Dropdowns!$K$6,2))</f>
        <v>48</v>
      </c>
      <c r="L450" s="20" t="n">
        <f aca="false">IF($I450="","",ROUND($I450*Dropdowns!$K$7,2))</f>
        <v>4100</v>
      </c>
      <c r="M450" s="15" t="str">
        <f aca="false">IFERROR(IF($B450="","",VLOOKUP($B450,Designs!$A$3:$AP$165,27,FALSE())),"")</f>
        <v/>
      </c>
      <c r="N450" s="16" t="str">
        <f aca="false">IFERROR(IF(OR($I450="",$M450="",$M450=0),"",($I450-$M450)/$I450),"")</f>
        <v/>
      </c>
      <c r="O450" s="13" t="n">
        <v>0</v>
      </c>
      <c r="P450" s="13" t="n">
        <v>0</v>
      </c>
      <c r="Q450" s="21" t="n">
        <f aca="false">IF($O450="","",$O450-IF($P450="",0,$P450))</f>
        <v>0</v>
      </c>
      <c r="R450" s="13" t="n">
        <v>2</v>
      </c>
      <c r="S450" s="21" t="str">
        <f aca="false">IF($O450="","",IF($Q450&lt;=$R450,"⚠ REORDER","OK"))</f>
        <v>⚠ REORDER</v>
      </c>
      <c r="T450" s="13"/>
      <c r="U450" s="13"/>
      <c r="V450" s="13" t="s">
        <v>378</v>
      </c>
      <c r="W450" s="12" t="s">
        <v>379</v>
      </c>
      <c r="X450" s="13"/>
      <c r="Y450" s="13"/>
      <c r="Z450" s="12" t="s">
        <v>88</v>
      </c>
      <c r="AA450" s="12" t="s">
        <v>88</v>
      </c>
      <c r="AB450" s="12" t="s">
        <v>88</v>
      </c>
      <c r="AC450" s="12" t="s">
        <v>88</v>
      </c>
      <c r="AD450" s="12" t="s">
        <v>87</v>
      </c>
      <c r="AE450" s="21" t="n">
        <f aca="false">IFERROR(SUMIFS(Transactions!$F:$F,Transactions!$C:$C,$A450,Transactions!$D:$D,"Sale"),0)</f>
        <v>0</v>
      </c>
      <c r="AF450" s="15" t="n">
        <f aca="false">IFERROR(SUMIFS(Transactions!$H:$H,Transactions!$C:$C,$A450,Transactions!$D:$D,"Sale"),0)</f>
        <v>0</v>
      </c>
      <c r="AG450" s="22" t="str">
        <f aca="false">IFERROR(IF(maxifs(Transactions!$B:$B,Transactions!$C:$C,$A450,Transactions!$D:$D,"Sale")=0,"",maxifs(Transactions!$B:$B,Transactions!$C:$C,$A450,Transactions!$D:$D,"Sale")),"")</f>
        <v/>
      </c>
      <c r="AH450" s="12"/>
    </row>
    <row r="451" customFormat="false" ht="18" hidden="false" customHeight="true" outlineLevel="0" collapsed="false">
      <c r="A451" s="12" t="s">
        <v>857</v>
      </c>
      <c r="B451" s="12" t="s">
        <v>329</v>
      </c>
      <c r="C451" s="12" t="s">
        <v>330</v>
      </c>
      <c r="D451" s="12" t="s">
        <v>323</v>
      </c>
      <c r="E451" s="12" t="s">
        <v>258</v>
      </c>
      <c r="F451" s="12"/>
      <c r="G451" s="12"/>
      <c r="H451" s="12" t="s">
        <v>858</v>
      </c>
      <c r="I451" s="14" t="n">
        <v>20000</v>
      </c>
      <c r="J451" s="18" t="n">
        <f aca="false">IF($I451="","",ROUND($I451*Dropdowns!$K$5,2))</f>
        <v>52</v>
      </c>
      <c r="K451" s="19" t="n">
        <f aca="false">IF($I451="","",ROUND($I451*Dropdowns!$K$6,2))</f>
        <v>48</v>
      </c>
      <c r="L451" s="20" t="n">
        <f aca="false">IF($I451="","",ROUND($I451*Dropdowns!$K$7,2))</f>
        <v>4100</v>
      </c>
      <c r="M451" s="15" t="str">
        <f aca="false">IFERROR(IF($B451="","",VLOOKUP($B451,Designs!$A$3:$AP$165,27,FALSE())),"")</f>
        <v/>
      </c>
      <c r="N451" s="16" t="str">
        <f aca="false">IFERROR(IF(OR($I451="",$M451="",$M451=0),"",($I451-$M451)/$I451),"")</f>
        <v/>
      </c>
      <c r="O451" s="13" t="n">
        <v>0</v>
      </c>
      <c r="P451" s="13" t="n">
        <v>0</v>
      </c>
      <c r="Q451" s="21" t="n">
        <f aca="false">IF($O451="","",$O451-IF($P451="",0,$P451))</f>
        <v>0</v>
      </c>
      <c r="R451" s="13" t="n">
        <v>2</v>
      </c>
      <c r="S451" s="21" t="str">
        <f aca="false">IF($O451="","",IF($Q451&lt;=$R451,"⚠ REORDER","OK"))</f>
        <v>⚠ REORDER</v>
      </c>
      <c r="T451" s="13"/>
      <c r="U451" s="13"/>
      <c r="V451" s="13" t="s">
        <v>378</v>
      </c>
      <c r="W451" s="12" t="s">
        <v>379</v>
      </c>
      <c r="X451" s="13"/>
      <c r="Y451" s="13"/>
      <c r="Z451" s="12" t="s">
        <v>88</v>
      </c>
      <c r="AA451" s="12" t="s">
        <v>88</v>
      </c>
      <c r="AB451" s="12" t="s">
        <v>88</v>
      </c>
      <c r="AC451" s="12" t="s">
        <v>88</v>
      </c>
      <c r="AD451" s="12" t="s">
        <v>87</v>
      </c>
      <c r="AE451" s="21" t="n">
        <f aca="false">IFERROR(SUMIFS(Transactions!$F:$F,Transactions!$C:$C,$A451,Transactions!$D:$D,"Sale"),0)</f>
        <v>0</v>
      </c>
      <c r="AF451" s="15" t="n">
        <f aca="false">IFERROR(SUMIFS(Transactions!$H:$H,Transactions!$C:$C,$A451,Transactions!$D:$D,"Sale"),0)</f>
        <v>0</v>
      </c>
      <c r="AG451" s="22" t="str">
        <f aca="false">IFERROR(IF(maxifs(Transactions!$B:$B,Transactions!$C:$C,$A451,Transactions!$D:$D,"Sale")=0,"",maxifs(Transactions!$B:$B,Transactions!$C:$C,$A451,Transactions!$D:$D,"Sale")),"")</f>
        <v/>
      </c>
      <c r="AH451" s="12"/>
    </row>
    <row r="452" customFormat="false" ht="18" hidden="false" customHeight="true" outlineLevel="0" collapsed="false">
      <c r="A452" s="12" t="s">
        <v>859</v>
      </c>
      <c r="B452" s="12" t="s">
        <v>331</v>
      </c>
      <c r="C452" s="12" t="s">
        <v>332</v>
      </c>
      <c r="D452" s="12" t="s">
        <v>333</v>
      </c>
      <c r="E452" s="12" t="s">
        <v>258</v>
      </c>
      <c r="F452" s="12"/>
      <c r="G452" s="12"/>
      <c r="H452" s="12" t="s">
        <v>383</v>
      </c>
      <c r="I452" s="14" t="n">
        <v>17000</v>
      </c>
      <c r="J452" s="18" t="n">
        <f aca="false">IF($I452="","",ROUND($I452*Dropdowns!$K$5,2))</f>
        <v>44.2</v>
      </c>
      <c r="K452" s="19" t="n">
        <f aca="false">IF($I452="","",ROUND($I452*Dropdowns!$K$6,2))</f>
        <v>40.8</v>
      </c>
      <c r="L452" s="20" t="n">
        <f aca="false">IF($I452="","",ROUND($I452*Dropdowns!$K$7,2))</f>
        <v>3485</v>
      </c>
      <c r="M452" s="15" t="str">
        <f aca="false">IFERROR(IF($B452="","",VLOOKUP($B452,Designs!$A$3:$AP$165,27,FALSE())),"")</f>
        <v/>
      </c>
      <c r="N452" s="16" t="str">
        <f aca="false">IFERROR(IF(OR($I452="",$M452="",$M452=0),"",($I452-$M452)/$I452),"")</f>
        <v/>
      </c>
      <c r="O452" s="13" t="n">
        <v>0</v>
      </c>
      <c r="P452" s="13" t="n">
        <v>0</v>
      </c>
      <c r="Q452" s="21" t="n">
        <f aca="false">IF($O452="","",$O452-IF($P452="",0,$P452))</f>
        <v>0</v>
      </c>
      <c r="R452" s="13" t="n">
        <v>2</v>
      </c>
      <c r="S452" s="21" t="str">
        <f aca="false">IF($O452="","",IF($Q452&lt;=$R452,"⚠ REORDER","OK"))</f>
        <v>⚠ REORDER</v>
      </c>
      <c r="T452" s="13"/>
      <c r="U452" s="13"/>
      <c r="V452" s="13" t="s">
        <v>378</v>
      </c>
      <c r="W452" s="12" t="s">
        <v>379</v>
      </c>
      <c r="X452" s="13"/>
      <c r="Y452" s="13"/>
      <c r="Z452" s="12" t="s">
        <v>88</v>
      </c>
      <c r="AA452" s="12" t="s">
        <v>88</v>
      </c>
      <c r="AB452" s="12" t="s">
        <v>88</v>
      </c>
      <c r="AC452" s="12" t="s">
        <v>88</v>
      </c>
      <c r="AD452" s="12" t="s">
        <v>87</v>
      </c>
      <c r="AE452" s="21" t="n">
        <f aca="false">IFERROR(SUMIFS(Transactions!$F:$F,Transactions!$C:$C,$A452,Transactions!$D:$D,"Sale"),0)</f>
        <v>0</v>
      </c>
      <c r="AF452" s="15" t="n">
        <f aca="false">IFERROR(SUMIFS(Transactions!$H:$H,Transactions!$C:$C,$A452,Transactions!$D:$D,"Sale"),0)</f>
        <v>0</v>
      </c>
      <c r="AG452" s="22" t="str">
        <f aca="false">IFERROR(IF(maxifs(Transactions!$B:$B,Transactions!$C:$C,$A452,Transactions!$D:$D,"Sale")=0,"",maxifs(Transactions!$B:$B,Transactions!$C:$C,$A452,Transactions!$D:$D,"Sale")),"")</f>
        <v/>
      </c>
      <c r="AH452" s="12"/>
    </row>
    <row r="453" customFormat="false" ht="18" hidden="false" customHeight="true" outlineLevel="0" collapsed="false">
      <c r="A453" s="12" t="s">
        <v>860</v>
      </c>
      <c r="B453" s="12" t="s">
        <v>331</v>
      </c>
      <c r="C453" s="12" t="s">
        <v>332</v>
      </c>
      <c r="D453" s="12" t="s">
        <v>333</v>
      </c>
      <c r="E453" s="12" t="s">
        <v>258</v>
      </c>
      <c r="F453" s="12"/>
      <c r="G453" s="12"/>
      <c r="H453" s="12" t="s">
        <v>763</v>
      </c>
      <c r="I453" s="14" t="n">
        <v>17000</v>
      </c>
      <c r="J453" s="18" t="n">
        <f aca="false">IF($I453="","",ROUND($I453*Dropdowns!$K$5,2))</f>
        <v>44.2</v>
      </c>
      <c r="K453" s="19" t="n">
        <f aca="false">IF($I453="","",ROUND($I453*Dropdowns!$K$6,2))</f>
        <v>40.8</v>
      </c>
      <c r="L453" s="20" t="n">
        <f aca="false">IF($I453="","",ROUND($I453*Dropdowns!$K$7,2))</f>
        <v>3485</v>
      </c>
      <c r="M453" s="15" t="str">
        <f aca="false">IFERROR(IF($B453="","",VLOOKUP($B453,Designs!$A$3:$AP$165,27,FALSE())),"")</f>
        <v/>
      </c>
      <c r="N453" s="16" t="str">
        <f aca="false">IFERROR(IF(OR($I453="",$M453="",$M453=0),"",($I453-$M453)/$I453),"")</f>
        <v/>
      </c>
      <c r="O453" s="13" t="n">
        <v>0</v>
      </c>
      <c r="P453" s="13" t="n">
        <v>0</v>
      </c>
      <c r="Q453" s="21" t="n">
        <f aca="false">IF($O453="","",$O453-IF($P453="",0,$P453))</f>
        <v>0</v>
      </c>
      <c r="R453" s="13" t="n">
        <v>2</v>
      </c>
      <c r="S453" s="21" t="str">
        <f aca="false">IF($O453="","",IF($Q453&lt;=$R453,"⚠ REORDER","OK"))</f>
        <v>⚠ REORDER</v>
      </c>
      <c r="T453" s="13"/>
      <c r="U453" s="13"/>
      <c r="V453" s="13" t="s">
        <v>378</v>
      </c>
      <c r="W453" s="12" t="s">
        <v>379</v>
      </c>
      <c r="X453" s="13"/>
      <c r="Y453" s="13"/>
      <c r="Z453" s="12" t="s">
        <v>88</v>
      </c>
      <c r="AA453" s="12" t="s">
        <v>88</v>
      </c>
      <c r="AB453" s="12" t="s">
        <v>88</v>
      </c>
      <c r="AC453" s="12" t="s">
        <v>88</v>
      </c>
      <c r="AD453" s="12" t="s">
        <v>87</v>
      </c>
      <c r="AE453" s="21" t="n">
        <f aca="false">IFERROR(SUMIFS(Transactions!$F:$F,Transactions!$C:$C,$A453,Transactions!$D:$D,"Sale"),0)</f>
        <v>0</v>
      </c>
      <c r="AF453" s="15" t="n">
        <f aca="false">IFERROR(SUMIFS(Transactions!$H:$H,Transactions!$C:$C,$A453,Transactions!$D:$D,"Sale"),0)</f>
        <v>0</v>
      </c>
      <c r="AG453" s="22" t="str">
        <f aca="false">IFERROR(IF(maxifs(Transactions!$B:$B,Transactions!$C:$C,$A453,Transactions!$D:$D,"Sale")=0,"",maxifs(Transactions!$B:$B,Transactions!$C:$C,$A453,Transactions!$D:$D,"Sale")),"")</f>
        <v/>
      </c>
      <c r="AH453" s="12"/>
    </row>
    <row r="454" customFormat="false" ht="18" hidden="false" customHeight="true" outlineLevel="0" collapsed="false">
      <c r="A454" s="12" t="s">
        <v>861</v>
      </c>
      <c r="B454" s="12" t="s">
        <v>331</v>
      </c>
      <c r="C454" s="12" t="s">
        <v>332</v>
      </c>
      <c r="D454" s="12" t="s">
        <v>333</v>
      </c>
      <c r="E454" s="12" t="s">
        <v>258</v>
      </c>
      <c r="F454" s="12"/>
      <c r="G454" s="12"/>
      <c r="H454" s="12" t="s">
        <v>660</v>
      </c>
      <c r="I454" s="14" t="n">
        <v>17000</v>
      </c>
      <c r="J454" s="18" t="n">
        <f aca="false">IF($I454="","",ROUND($I454*Dropdowns!$K$5,2))</f>
        <v>44.2</v>
      </c>
      <c r="K454" s="19" t="n">
        <f aca="false">IF($I454="","",ROUND($I454*Dropdowns!$K$6,2))</f>
        <v>40.8</v>
      </c>
      <c r="L454" s="20" t="n">
        <f aca="false">IF($I454="","",ROUND($I454*Dropdowns!$K$7,2))</f>
        <v>3485</v>
      </c>
      <c r="M454" s="15" t="str">
        <f aca="false">IFERROR(IF($B454="","",VLOOKUP($B454,Designs!$A$3:$AP$165,27,FALSE())),"")</f>
        <v/>
      </c>
      <c r="N454" s="16" t="str">
        <f aca="false">IFERROR(IF(OR($I454="",$M454="",$M454=0),"",($I454-$M454)/$I454),"")</f>
        <v/>
      </c>
      <c r="O454" s="13" t="n">
        <v>0</v>
      </c>
      <c r="P454" s="13" t="n">
        <v>0</v>
      </c>
      <c r="Q454" s="21" t="n">
        <f aca="false">IF($O454="","",$O454-IF($P454="",0,$P454))</f>
        <v>0</v>
      </c>
      <c r="R454" s="13" t="n">
        <v>2</v>
      </c>
      <c r="S454" s="21" t="str">
        <f aca="false">IF($O454="","",IF($Q454&lt;=$R454,"⚠ REORDER","OK"))</f>
        <v>⚠ REORDER</v>
      </c>
      <c r="T454" s="13"/>
      <c r="U454" s="13"/>
      <c r="V454" s="13" t="s">
        <v>378</v>
      </c>
      <c r="W454" s="12" t="s">
        <v>379</v>
      </c>
      <c r="X454" s="13"/>
      <c r="Y454" s="13"/>
      <c r="Z454" s="12" t="s">
        <v>88</v>
      </c>
      <c r="AA454" s="12" t="s">
        <v>88</v>
      </c>
      <c r="AB454" s="12" t="s">
        <v>88</v>
      </c>
      <c r="AC454" s="12" t="s">
        <v>88</v>
      </c>
      <c r="AD454" s="12" t="s">
        <v>87</v>
      </c>
      <c r="AE454" s="21" t="n">
        <f aca="false">IFERROR(SUMIFS(Transactions!$F:$F,Transactions!$C:$C,$A454,Transactions!$D:$D,"Sale"),0)</f>
        <v>0</v>
      </c>
      <c r="AF454" s="15" t="n">
        <f aca="false">IFERROR(SUMIFS(Transactions!$H:$H,Transactions!$C:$C,$A454,Transactions!$D:$D,"Sale"),0)</f>
        <v>0</v>
      </c>
      <c r="AG454" s="22" t="str">
        <f aca="false">IFERROR(IF(maxifs(Transactions!$B:$B,Transactions!$C:$C,$A454,Transactions!$D:$D,"Sale")=0,"",maxifs(Transactions!$B:$B,Transactions!$C:$C,$A454,Transactions!$D:$D,"Sale")),"")</f>
        <v/>
      </c>
      <c r="AH454" s="12"/>
    </row>
    <row r="455" customFormat="false" ht="18" hidden="false" customHeight="true" outlineLevel="0" collapsed="false">
      <c r="A455" s="12" t="s">
        <v>862</v>
      </c>
      <c r="B455" s="12" t="s">
        <v>331</v>
      </c>
      <c r="C455" s="12" t="s">
        <v>332</v>
      </c>
      <c r="D455" s="12" t="s">
        <v>333</v>
      </c>
      <c r="E455" s="12" t="s">
        <v>258</v>
      </c>
      <c r="F455" s="12"/>
      <c r="G455" s="12"/>
      <c r="H455" s="12" t="s">
        <v>649</v>
      </c>
      <c r="I455" s="14" t="n">
        <v>17000</v>
      </c>
      <c r="J455" s="18" t="n">
        <f aca="false">IF($I455="","",ROUND($I455*Dropdowns!$K$5,2))</f>
        <v>44.2</v>
      </c>
      <c r="K455" s="19" t="n">
        <f aca="false">IF($I455="","",ROUND($I455*Dropdowns!$K$6,2))</f>
        <v>40.8</v>
      </c>
      <c r="L455" s="20" t="n">
        <f aca="false">IF($I455="","",ROUND($I455*Dropdowns!$K$7,2))</f>
        <v>3485</v>
      </c>
      <c r="M455" s="15" t="str">
        <f aca="false">IFERROR(IF($B455="","",VLOOKUP($B455,Designs!$A$3:$AP$165,27,FALSE())),"")</f>
        <v/>
      </c>
      <c r="N455" s="16" t="str">
        <f aca="false">IFERROR(IF(OR($I455="",$M455="",$M455=0),"",($I455-$M455)/$I455),"")</f>
        <v/>
      </c>
      <c r="O455" s="13" t="n">
        <v>0</v>
      </c>
      <c r="P455" s="13" t="n">
        <v>0</v>
      </c>
      <c r="Q455" s="21" t="n">
        <f aca="false">IF($O455="","",$O455-IF($P455="",0,$P455))</f>
        <v>0</v>
      </c>
      <c r="R455" s="13" t="n">
        <v>2</v>
      </c>
      <c r="S455" s="21" t="str">
        <f aca="false">IF($O455="","",IF($Q455&lt;=$R455,"⚠ REORDER","OK"))</f>
        <v>⚠ REORDER</v>
      </c>
      <c r="T455" s="13"/>
      <c r="U455" s="13"/>
      <c r="V455" s="13" t="s">
        <v>378</v>
      </c>
      <c r="W455" s="12" t="s">
        <v>379</v>
      </c>
      <c r="X455" s="13"/>
      <c r="Y455" s="13"/>
      <c r="Z455" s="12" t="s">
        <v>88</v>
      </c>
      <c r="AA455" s="12" t="s">
        <v>88</v>
      </c>
      <c r="AB455" s="12" t="s">
        <v>88</v>
      </c>
      <c r="AC455" s="12" t="s">
        <v>88</v>
      </c>
      <c r="AD455" s="12" t="s">
        <v>87</v>
      </c>
      <c r="AE455" s="21" t="n">
        <f aca="false">IFERROR(SUMIFS(Transactions!$F:$F,Transactions!$C:$C,$A455,Transactions!$D:$D,"Sale"),0)</f>
        <v>0</v>
      </c>
      <c r="AF455" s="15" t="n">
        <f aca="false">IFERROR(SUMIFS(Transactions!$H:$H,Transactions!$C:$C,$A455,Transactions!$D:$D,"Sale"),0)</f>
        <v>0</v>
      </c>
      <c r="AG455" s="22" t="str">
        <f aca="false">IFERROR(IF(maxifs(Transactions!$B:$B,Transactions!$C:$C,$A455,Transactions!$D:$D,"Sale")=0,"",maxifs(Transactions!$B:$B,Transactions!$C:$C,$A455,Transactions!$D:$D,"Sale")),"")</f>
        <v/>
      </c>
      <c r="AH455" s="12"/>
    </row>
    <row r="456" customFormat="false" ht="18" hidden="false" customHeight="true" outlineLevel="0" collapsed="false">
      <c r="A456" s="12" t="s">
        <v>863</v>
      </c>
      <c r="B456" s="12" t="s">
        <v>331</v>
      </c>
      <c r="C456" s="12" t="s">
        <v>332</v>
      </c>
      <c r="D456" s="12" t="s">
        <v>333</v>
      </c>
      <c r="E456" s="12" t="s">
        <v>258</v>
      </c>
      <c r="F456" s="12"/>
      <c r="G456" s="12"/>
      <c r="H456" s="12" t="s">
        <v>858</v>
      </c>
      <c r="I456" s="14" t="n">
        <v>17000</v>
      </c>
      <c r="J456" s="18" t="n">
        <f aca="false">IF($I456="","",ROUND($I456*Dropdowns!$K$5,2))</f>
        <v>44.2</v>
      </c>
      <c r="K456" s="19" t="n">
        <f aca="false">IF($I456="","",ROUND($I456*Dropdowns!$K$6,2))</f>
        <v>40.8</v>
      </c>
      <c r="L456" s="20" t="n">
        <f aca="false">IF($I456="","",ROUND($I456*Dropdowns!$K$7,2))</f>
        <v>3485</v>
      </c>
      <c r="M456" s="15" t="str">
        <f aca="false">IFERROR(IF($B456="","",VLOOKUP($B456,Designs!$A$3:$AP$165,27,FALSE())),"")</f>
        <v/>
      </c>
      <c r="N456" s="16" t="str">
        <f aca="false">IFERROR(IF(OR($I456="",$M456="",$M456=0),"",($I456-$M456)/$I456),"")</f>
        <v/>
      </c>
      <c r="O456" s="13" t="n">
        <v>0</v>
      </c>
      <c r="P456" s="13" t="n">
        <v>0</v>
      </c>
      <c r="Q456" s="21" t="n">
        <f aca="false">IF($O456="","",$O456-IF($P456="",0,$P456))</f>
        <v>0</v>
      </c>
      <c r="R456" s="13" t="n">
        <v>2</v>
      </c>
      <c r="S456" s="21" t="str">
        <f aca="false">IF($O456="","",IF($Q456&lt;=$R456,"⚠ REORDER","OK"))</f>
        <v>⚠ REORDER</v>
      </c>
      <c r="T456" s="13"/>
      <c r="U456" s="13"/>
      <c r="V456" s="13" t="s">
        <v>378</v>
      </c>
      <c r="W456" s="12" t="s">
        <v>379</v>
      </c>
      <c r="X456" s="13"/>
      <c r="Y456" s="13"/>
      <c r="Z456" s="12" t="s">
        <v>88</v>
      </c>
      <c r="AA456" s="12" t="s">
        <v>88</v>
      </c>
      <c r="AB456" s="12" t="s">
        <v>88</v>
      </c>
      <c r="AC456" s="12" t="s">
        <v>88</v>
      </c>
      <c r="AD456" s="12" t="s">
        <v>87</v>
      </c>
      <c r="AE456" s="21" t="n">
        <f aca="false">IFERROR(SUMIFS(Transactions!$F:$F,Transactions!$C:$C,$A456,Transactions!$D:$D,"Sale"),0)</f>
        <v>0</v>
      </c>
      <c r="AF456" s="15" t="n">
        <f aca="false">IFERROR(SUMIFS(Transactions!$H:$H,Transactions!$C:$C,$A456,Transactions!$D:$D,"Sale"),0)</f>
        <v>0</v>
      </c>
      <c r="AG456" s="22" t="str">
        <f aca="false">IFERROR(IF(maxifs(Transactions!$B:$B,Transactions!$C:$C,$A456,Transactions!$D:$D,"Sale")=0,"",maxifs(Transactions!$B:$B,Transactions!$C:$C,$A456,Transactions!$D:$D,"Sale")),"")</f>
        <v/>
      </c>
      <c r="AH456" s="12"/>
    </row>
    <row r="457" customFormat="false" ht="18" hidden="false" customHeight="true" outlineLevel="0" collapsed="false">
      <c r="A457" s="12" t="s">
        <v>864</v>
      </c>
      <c r="B457" s="12" t="s">
        <v>334</v>
      </c>
      <c r="C457" s="12" t="s">
        <v>335</v>
      </c>
      <c r="D457" s="12" t="s">
        <v>333</v>
      </c>
      <c r="E457" s="12" t="s">
        <v>246</v>
      </c>
      <c r="F457" s="12"/>
      <c r="G457" s="12"/>
      <c r="H457" s="12" t="s">
        <v>649</v>
      </c>
      <c r="I457" s="14" t="n">
        <v>17000</v>
      </c>
      <c r="J457" s="18" t="n">
        <f aca="false">IF($I457="","",ROUND($I457*Dropdowns!$K$5,2))</f>
        <v>44.2</v>
      </c>
      <c r="K457" s="19" t="n">
        <f aca="false">IF($I457="","",ROUND($I457*Dropdowns!$K$6,2))</f>
        <v>40.8</v>
      </c>
      <c r="L457" s="20" t="n">
        <f aca="false">IF($I457="","",ROUND($I457*Dropdowns!$K$7,2))</f>
        <v>3485</v>
      </c>
      <c r="M457" s="15" t="str">
        <f aca="false">IFERROR(IF($B457="","",VLOOKUP($B457,Designs!$A$3:$AP$165,27,FALSE())),"")</f>
        <v/>
      </c>
      <c r="N457" s="16" t="str">
        <f aca="false">IFERROR(IF(OR($I457="",$M457="",$M457=0),"",($I457-$M457)/$I457),"")</f>
        <v/>
      </c>
      <c r="O457" s="13" t="n">
        <v>0</v>
      </c>
      <c r="P457" s="13" t="n">
        <v>0</v>
      </c>
      <c r="Q457" s="21" t="n">
        <f aca="false">IF($O457="","",$O457-IF($P457="",0,$P457))</f>
        <v>0</v>
      </c>
      <c r="R457" s="13" t="n">
        <v>2</v>
      </c>
      <c r="S457" s="21" t="str">
        <f aca="false">IF($O457="","",IF($Q457&lt;=$R457,"⚠ REORDER","OK"))</f>
        <v>⚠ REORDER</v>
      </c>
      <c r="T457" s="13"/>
      <c r="U457" s="13"/>
      <c r="V457" s="13" t="s">
        <v>378</v>
      </c>
      <c r="W457" s="12" t="s">
        <v>379</v>
      </c>
      <c r="X457" s="13"/>
      <c r="Y457" s="13"/>
      <c r="Z457" s="12" t="s">
        <v>88</v>
      </c>
      <c r="AA457" s="12" t="s">
        <v>88</v>
      </c>
      <c r="AB457" s="12" t="s">
        <v>88</v>
      </c>
      <c r="AC457" s="12" t="s">
        <v>88</v>
      </c>
      <c r="AD457" s="12" t="s">
        <v>87</v>
      </c>
      <c r="AE457" s="21" t="n">
        <f aca="false">IFERROR(SUMIFS(Transactions!$F:$F,Transactions!$C:$C,$A457,Transactions!$D:$D,"Sale"),0)</f>
        <v>0</v>
      </c>
      <c r="AF457" s="15" t="n">
        <f aca="false">IFERROR(SUMIFS(Transactions!$H:$H,Transactions!$C:$C,$A457,Transactions!$D:$D,"Sale"),0)</f>
        <v>0</v>
      </c>
      <c r="AG457" s="22" t="str">
        <f aca="false">IFERROR(IF(maxifs(Transactions!$B:$B,Transactions!$C:$C,$A457,Transactions!$D:$D,"Sale")=0,"",maxifs(Transactions!$B:$B,Transactions!$C:$C,$A457,Transactions!$D:$D,"Sale")),"")</f>
        <v/>
      </c>
      <c r="AH457" s="12"/>
    </row>
    <row r="458" customFormat="false" ht="18" hidden="false" customHeight="true" outlineLevel="0" collapsed="false">
      <c r="A458" s="12" t="s">
        <v>865</v>
      </c>
      <c r="B458" s="12" t="s">
        <v>334</v>
      </c>
      <c r="C458" s="12" t="s">
        <v>335</v>
      </c>
      <c r="D458" s="12" t="s">
        <v>333</v>
      </c>
      <c r="E458" s="12" t="s">
        <v>246</v>
      </c>
      <c r="F458" s="12"/>
      <c r="G458" s="12"/>
      <c r="H458" s="12" t="s">
        <v>383</v>
      </c>
      <c r="I458" s="14" t="n">
        <v>17000</v>
      </c>
      <c r="J458" s="18" t="n">
        <f aca="false">IF($I458="","",ROUND($I458*Dropdowns!$K$5,2))</f>
        <v>44.2</v>
      </c>
      <c r="K458" s="19" t="n">
        <f aca="false">IF($I458="","",ROUND($I458*Dropdowns!$K$6,2))</f>
        <v>40.8</v>
      </c>
      <c r="L458" s="20" t="n">
        <f aca="false">IF($I458="","",ROUND($I458*Dropdowns!$K$7,2))</f>
        <v>3485</v>
      </c>
      <c r="M458" s="15" t="str">
        <f aca="false">IFERROR(IF($B458="","",VLOOKUP($B458,Designs!$A$3:$AP$165,27,FALSE())),"")</f>
        <v/>
      </c>
      <c r="N458" s="16" t="str">
        <f aca="false">IFERROR(IF(OR($I458="",$M458="",$M458=0),"",($I458-$M458)/$I458),"")</f>
        <v/>
      </c>
      <c r="O458" s="13" t="n">
        <v>0</v>
      </c>
      <c r="P458" s="13" t="n">
        <v>0</v>
      </c>
      <c r="Q458" s="21" t="n">
        <f aca="false">IF($O458="","",$O458-IF($P458="",0,$P458))</f>
        <v>0</v>
      </c>
      <c r="R458" s="13" t="n">
        <v>2</v>
      </c>
      <c r="S458" s="21" t="str">
        <f aca="false">IF($O458="","",IF($Q458&lt;=$R458,"⚠ REORDER","OK"))</f>
        <v>⚠ REORDER</v>
      </c>
      <c r="T458" s="13"/>
      <c r="U458" s="13"/>
      <c r="V458" s="13" t="s">
        <v>378</v>
      </c>
      <c r="W458" s="12" t="s">
        <v>379</v>
      </c>
      <c r="X458" s="13"/>
      <c r="Y458" s="13"/>
      <c r="Z458" s="12" t="s">
        <v>88</v>
      </c>
      <c r="AA458" s="12" t="s">
        <v>88</v>
      </c>
      <c r="AB458" s="12" t="s">
        <v>88</v>
      </c>
      <c r="AC458" s="12" t="s">
        <v>88</v>
      </c>
      <c r="AD458" s="12" t="s">
        <v>87</v>
      </c>
      <c r="AE458" s="21" t="n">
        <f aca="false">IFERROR(SUMIFS(Transactions!$F:$F,Transactions!$C:$C,$A458,Transactions!$D:$D,"Sale"),0)</f>
        <v>0</v>
      </c>
      <c r="AF458" s="15" t="n">
        <f aca="false">IFERROR(SUMIFS(Transactions!$H:$H,Transactions!$C:$C,$A458,Transactions!$D:$D,"Sale"),0)</f>
        <v>0</v>
      </c>
      <c r="AG458" s="22" t="str">
        <f aca="false">IFERROR(IF(maxifs(Transactions!$B:$B,Transactions!$C:$C,$A458,Transactions!$D:$D,"Sale")=0,"",maxifs(Transactions!$B:$B,Transactions!$C:$C,$A458,Transactions!$D:$D,"Sale")),"")</f>
        <v/>
      </c>
      <c r="AH458" s="12"/>
    </row>
    <row r="459" customFormat="false" ht="18" hidden="false" customHeight="true" outlineLevel="0" collapsed="false">
      <c r="A459" s="12" t="s">
        <v>866</v>
      </c>
      <c r="B459" s="12" t="s">
        <v>334</v>
      </c>
      <c r="C459" s="12" t="s">
        <v>335</v>
      </c>
      <c r="D459" s="12" t="s">
        <v>333</v>
      </c>
      <c r="E459" s="12" t="s">
        <v>246</v>
      </c>
      <c r="F459" s="12"/>
      <c r="G459" s="12"/>
      <c r="H459" s="12" t="s">
        <v>652</v>
      </c>
      <c r="I459" s="14" t="n">
        <v>17000</v>
      </c>
      <c r="J459" s="18" t="n">
        <f aca="false">IF($I459="","",ROUND($I459*Dropdowns!$K$5,2))</f>
        <v>44.2</v>
      </c>
      <c r="K459" s="19" t="n">
        <f aca="false">IF($I459="","",ROUND($I459*Dropdowns!$K$6,2))</f>
        <v>40.8</v>
      </c>
      <c r="L459" s="20" t="n">
        <f aca="false">IF($I459="","",ROUND($I459*Dropdowns!$K$7,2))</f>
        <v>3485</v>
      </c>
      <c r="M459" s="15" t="str">
        <f aca="false">IFERROR(IF($B459="","",VLOOKUP($B459,Designs!$A$3:$AP$165,27,FALSE())),"")</f>
        <v/>
      </c>
      <c r="N459" s="16" t="str">
        <f aca="false">IFERROR(IF(OR($I459="",$M459="",$M459=0),"",($I459-$M459)/$I459),"")</f>
        <v/>
      </c>
      <c r="O459" s="13" t="n">
        <v>0</v>
      </c>
      <c r="P459" s="13" t="n">
        <v>0</v>
      </c>
      <c r="Q459" s="21" t="n">
        <f aca="false">IF($O459="","",$O459-IF($P459="",0,$P459))</f>
        <v>0</v>
      </c>
      <c r="R459" s="13" t="n">
        <v>2</v>
      </c>
      <c r="S459" s="21" t="str">
        <f aca="false">IF($O459="","",IF($Q459&lt;=$R459,"⚠ REORDER","OK"))</f>
        <v>⚠ REORDER</v>
      </c>
      <c r="T459" s="13"/>
      <c r="U459" s="13"/>
      <c r="V459" s="13" t="s">
        <v>378</v>
      </c>
      <c r="W459" s="12" t="s">
        <v>379</v>
      </c>
      <c r="X459" s="13"/>
      <c r="Y459" s="13"/>
      <c r="Z459" s="12" t="s">
        <v>88</v>
      </c>
      <c r="AA459" s="12" t="s">
        <v>88</v>
      </c>
      <c r="AB459" s="12" t="s">
        <v>88</v>
      </c>
      <c r="AC459" s="12" t="s">
        <v>88</v>
      </c>
      <c r="AD459" s="12" t="s">
        <v>87</v>
      </c>
      <c r="AE459" s="21" t="n">
        <f aca="false">IFERROR(SUMIFS(Transactions!$F:$F,Transactions!$C:$C,$A459,Transactions!$D:$D,"Sale"),0)</f>
        <v>0</v>
      </c>
      <c r="AF459" s="15" t="n">
        <f aca="false">IFERROR(SUMIFS(Transactions!$H:$H,Transactions!$C:$C,$A459,Transactions!$D:$D,"Sale"),0)</f>
        <v>0</v>
      </c>
      <c r="AG459" s="22" t="str">
        <f aca="false">IFERROR(IF(maxifs(Transactions!$B:$B,Transactions!$C:$C,$A459,Transactions!$D:$D,"Sale")=0,"",maxifs(Transactions!$B:$B,Transactions!$C:$C,$A459,Transactions!$D:$D,"Sale")),"")</f>
        <v/>
      </c>
      <c r="AH459" s="12"/>
    </row>
    <row r="460" customFormat="false" ht="18" hidden="false" customHeight="true" outlineLevel="0" collapsed="false">
      <c r="A460" s="12" t="s">
        <v>867</v>
      </c>
      <c r="B460" s="12" t="s">
        <v>334</v>
      </c>
      <c r="C460" s="12" t="s">
        <v>335</v>
      </c>
      <c r="D460" s="12" t="s">
        <v>333</v>
      </c>
      <c r="E460" s="12" t="s">
        <v>246</v>
      </c>
      <c r="F460" s="12"/>
      <c r="G460" s="12"/>
      <c r="H460" s="12" t="s">
        <v>381</v>
      </c>
      <c r="I460" s="14" t="n">
        <v>17000</v>
      </c>
      <c r="J460" s="18" t="n">
        <f aca="false">IF($I460="","",ROUND($I460*Dropdowns!$K$5,2))</f>
        <v>44.2</v>
      </c>
      <c r="K460" s="19" t="n">
        <f aca="false">IF($I460="","",ROUND($I460*Dropdowns!$K$6,2))</f>
        <v>40.8</v>
      </c>
      <c r="L460" s="20" t="n">
        <f aca="false">IF($I460="","",ROUND($I460*Dropdowns!$K$7,2))</f>
        <v>3485</v>
      </c>
      <c r="M460" s="15" t="str">
        <f aca="false">IFERROR(IF($B460="","",VLOOKUP($B460,Designs!$A$3:$AP$165,27,FALSE())),"")</f>
        <v/>
      </c>
      <c r="N460" s="16" t="str">
        <f aca="false">IFERROR(IF(OR($I460="",$M460="",$M460=0),"",($I460-$M460)/$I460),"")</f>
        <v/>
      </c>
      <c r="O460" s="13" t="n">
        <v>0</v>
      </c>
      <c r="P460" s="13" t="n">
        <v>0</v>
      </c>
      <c r="Q460" s="21" t="n">
        <f aca="false">IF($O460="","",$O460-IF($P460="",0,$P460))</f>
        <v>0</v>
      </c>
      <c r="R460" s="13" t="n">
        <v>2</v>
      </c>
      <c r="S460" s="21" t="str">
        <f aca="false">IF($O460="","",IF($Q460&lt;=$R460,"⚠ REORDER","OK"))</f>
        <v>⚠ REORDER</v>
      </c>
      <c r="T460" s="13"/>
      <c r="U460" s="13"/>
      <c r="V460" s="13" t="s">
        <v>378</v>
      </c>
      <c r="W460" s="12" t="s">
        <v>379</v>
      </c>
      <c r="X460" s="13"/>
      <c r="Y460" s="13"/>
      <c r="Z460" s="12" t="s">
        <v>88</v>
      </c>
      <c r="AA460" s="12" t="s">
        <v>88</v>
      </c>
      <c r="AB460" s="12" t="s">
        <v>88</v>
      </c>
      <c r="AC460" s="12" t="s">
        <v>88</v>
      </c>
      <c r="AD460" s="12" t="s">
        <v>87</v>
      </c>
      <c r="AE460" s="21" t="n">
        <f aca="false">IFERROR(SUMIFS(Transactions!$F:$F,Transactions!$C:$C,$A460,Transactions!$D:$D,"Sale"),0)</f>
        <v>0</v>
      </c>
      <c r="AF460" s="15" t="n">
        <f aca="false">IFERROR(SUMIFS(Transactions!$H:$H,Transactions!$C:$C,$A460,Transactions!$D:$D,"Sale"),0)</f>
        <v>0</v>
      </c>
      <c r="AG460" s="22" t="str">
        <f aca="false">IFERROR(IF(maxifs(Transactions!$B:$B,Transactions!$C:$C,$A460,Transactions!$D:$D,"Sale")=0,"",maxifs(Transactions!$B:$B,Transactions!$C:$C,$A460,Transactions!$D:$D,"Sale")),"")</f>
        <v/>
      </c>
      <c r="AH460" s="12"/>
    </row>
    <row r="461" customFormat="false" ht="18" hidden="false" customHeight="true" outlineLevel="0" collapsed="false">
      <c r="A461" s="12" t="s">
        <v>868</v>
      </c>
      <c r="B461" s="12" t="s">
        <v>334</v>
      </c>
      <c r="C461" s="12" t="s">
        <v>335</v>
      </c>
      <c r="D461" s="12" t="s">
        <v>333</v>
      </c>
      <c r="E461" s="12" t="s">
        <v>246</v>
      </c>
      <c r="F461" s="12"/>
      <c r="G461" s="12"/>
      <c r="H461" s="12" t="s">
        <v>655</v>
      </c>
      <c r="I461" s="14" t="n">
        <v>17000</v>
      </c>
      <c r="J461" s="18" t="n">
        <f aca="false">IF($I461="","",ROUND($I461*Dropdowns!$K$5,2))</f>
        <v>44.2</v>
      </c>
      <c r="K461" s="19" t="n">
        <f aca="false">IF($I461="","",ROUND($I461*Dropdowns!$K$6,2))</f>
        <v>40.8</v>
      </c>
      <c r="L461" s="20" t="n">
        <f aca="false">IF($I461="","",ROUND($I461*Dropdowns!$K$7,2))</f>
        <v>3485</v>
      </c>
      <c r="M461" s="15" t="str">
        <f aca="false">IFERROR(IF($B461="","",VLOOKUP($B461,Designs!$A$3:$AP$165,27,FALSE())),"")</f>
        <v/>
      </c>
      <c r="N461" s="16" t="str">
        <f aca="false">IFERROR(IF(OR($I461="",$M461="",$M461=0),"",($I461-$M461)/$I461),"")</f>
        <v/>
      </c>
      <c r="O461" s="13" t="n">
        <v>0</v>
      </c>
      <c r="P461" s="13" t="n">
        <v>0</v>
      </c>
      <c r="Q461" s="21" t="n">
        <f aca="false">IF($O461="","",$O461-IF($P461="",0,$P461))</f>
        <v>0</v>
      </c>
      <c r="R461" s="13" t="n">
        <v>2</v>
      </c>
      <c r="S461" s="21" t="str">
        <f aca="false">IF($O461="","",IF($Q461&lt;=$R461,"⚠ REORDER","OK"))</f>
        <v>⚠ REORDER</v>
      </c>
      <c r="T461" s="13"/>
      <c r="U461" s="13"/>
      <c r="V461" s="13" t="s">
        <v>378</v>
      </c>
      <c r="W461" s="12" t="s">
        <v>379</v>
      </c>
      <c r="X461" s="13"/>
      <c r="Y461" s="13"/>
      <c r="Z461" s="12" t="s">
        <v>88</v>
      </c>
      <c r="AA461" s="12" t="s">
        <v>88</v>
      </c>
      <c r="AB461" s="12" t="s">
        <v>88</v>
      </c>
      <c r="AC461" s="12" t="s">
        <v>88</v>
      </c>
      <c r="AD461" s="12" t="s">
        <v>87</v>
      </c>
      <c r="AE461" s="21" t="n">
        <f aca="false">IFERROR(SUMIFS(Transactions!$F:$F,Transactions!$C:$C,$A461,Transactions!$D:$D,"Sale"),0)</f>
        <v>0</v>
      </c>
      <c r="AF461" s="15" t="n">
        <f aca="false">IFERROR(SUMIFS(Transactions!$H:$H,Transactions!$C:$C,$A461,Transactions!$D:$D,"Sale"),0)</f>
        <v>0</v>
      </c>
      <c r="AG461" s="22" t="str">
        <f aca="false">IFERROR(IF(maxifs(Transactions!$B:$B,Transactions!$C:$C,$A461,Transactions!$D:$D,"Sale")=0,"",maxifs(Transactions!$B:$B,Transactions!$C:$C,$A461,Transactions!$D:$D,"Sale")),"")</f>
        <v/>
      </c>
      <c r="AH461" s="12"/>
    </row>
    <row r="462" customFormat="false" ht="18" hidden="false" customHeight="true" outlineLevel="0" collapsed="false">
      <c r="A462" s="12" t="s">
        <v>869</v>
      </c>
      <c r="B462" s="12" t="s">
        <v>336</v>
      </c>
      <c r="C462" s="12" t="s">
        <v>337</v>
      </c>
      <c r="D462" s="12" t="s">
        <v>333</v>
      </c>
      <c r="E462" s="12" t="s">
        <v>252</v>
      </c>
      <c r="F462" s="12"/>
      <c r="G462" s="12"/>
      <c r="H462" s="12" t="s">
        <v>649</v>
      </c>
      <c r="I462" s="14" t="n">
        <v>17000</v>
      </c>
      <c r="J462" s="18" t="n">
        <f aca="false">IF($I462="","",ROUND($I462*Dropdowns!$K$5,2))</f>
        <v>44.2</v>
      </c>
      <c r="K462" s="19" t="n">
        <f aca="false">IF($I462="","",ROUND($I462*Dropdowns!$K$6,2))</f>
        <v>40.8</v>
      </c>
      <c r="L462" s="20" t="n">
        <f aca="false">IF($I462="","",ROUND($I462*Dropdowns!$K$7,2))</f>
        <v>3485</v>
      </c>
      <c r="M462" s="15" t="str">
        <f aca="false">IFERROR(IF($B462="","",VLOOKUP($B462,Designs!$A$3:$AP$165,27,FALSE())),"")</f>
        <v/>
      </c>
      <c r="N462" s="16" t="str">
        <f aca="false">IFERROR(IF(OR($I462="",$M462="",$M462=0),"",($I462-$M462)/$I462),"")</f>
        <v/>
      </c>
      <c r="O462" s="13" t="n">
        <v>0</v>
      </c>
      <c r="P462" s="13" t="n">
        <v>0</v>
      </c>
      <c r="Q462" s="21" t="n">
        <f aca="false">IF($O462="","",$O462-IF($P462="",0,$P462))</f>
        <v>0</v>
      </c>
      <c r="R462" s="13" t="n">
        <v>2</v>
      </c>
      <c r="S462" s="21" t="str">
        <f aca="false">IF($O462="","",IF($Q462&lt;=$R462,"⚠ REORDER","OK"))</f>
        <v>⚠ REORDER</v>
      </c>
      <c r="T462" s="13"/>
      <c r="U462" s="13"/>
      <c r="V462" s="13" t="s">
        <v>378</v>
      </c>
      <c r="W462" s="12" t="s">
        <v>379</v>
      </c>
      <c r="X462" s="13"/>
      <c r="Y462" s="13"/>
      <c r="Z462" s="12" t="s">
        <v>88</v>
      </c>
      <c r="AA462" s="12" t="s">
        <v>88</v>
      </c>
      <c r="AB462" s="12" t="s">
        <v>88</v>
      </c>
      <c r="AC462" s="12" t="s">
        <v>88</v>
      </c>
      <c r="AD462" s="12" t="s">
        <v>87</v>
      </c>
      <c r="AE462" s="21" t="n">
        <f aca="false">IFERROR(SUMIFS(Transactions!$F:$F,Transactions!$C:$C,$A462,Transactions!$D:$D,"Sale"),0)</f>
        <v>0</v>
      </c>
      <c r="AF462" s="15" t="n">
        <f aca="false">IFERROR(SUMIFS(Transactions!$H:$H,Transactions!$C:$C,$A462,Transactions!$D:$D,"Sale"),0)</f>
        <v>0</v>
      </c>
      <c r="AG462" s="22" t="str">
        <f aca="false">IFERROR(IF(maxifs(Transactions!$B:$B,Transactions!$C:$C,$A462,Transactions!$D:$D,"Sale")=0,"",maxifs(Transactions!$B:$B,Transactions!$C:$C,$A462,Transactions!$D:$D,"Sale")),"")</f>
        <v/>
      </c>
      <c r="AH462" s="12"/>
    </row>
    <row r="463" customFormat="false" ht="18" hidden="false" customHeight="true" outlineLevel="0" collapsed="false">
      <c r="A463" s="12" t="s">
        <v>870</v>
      </c>
      <c r="B463" s="12" t="s">
        <v>336</v>
      </c>
      <c r="C463" s="12" t="s">
        <v>337</v>
      </c>
      <c r="D463" s="12" t="s">
        <v>333</v>
      </c>
      <c r="E463" s="12" t="s">
        <v>252</v>
      </c>
      <c r="F463" s="12"/>
      <c r="G463" s="12"/>
      <c r="H463" s="12" t="s">
        <v>383</v>
      </c>
      <c r="I463" s="14" t="n">
        <v>17000</v>
      </c>
      <c r="J463" s="18" t="n">
        <f aca="false">IF($I463="","",ROUND($I463*Dropdowns!$K$5,2))</f>
        <v>44.2</v>
      </c>
      <c r="K463" s="19" t="n">
        <f aca="false">IF($I463="","",ROUND($I463*Dropdowns!$K$6,2))</f>
        <v>40.8</v>
      </c>
      <c r="L463" s="20" t="n">
        <f aca="false">IF($I463="","",ROUND($I463*Dropdowns!$K$7,2))</f>
        <v>3485</v>
      </c>
      <c r="M463" s="15" t="str">
        <f aca="false">IFERROR(IF($B463="","",VLOOKUP($B463,Designs!$A$3:$AP$165,27,FALSE())),"")</f>
        <v/>
      </c>
      <c r="N463" s="16" t="str">
        <f aca="false">IFERROR(IF(OR($I463="",$M463="",$M463=0),"",($I463-$M463)/$I463),"")</f>
        <v/>
      </c>
      <c r="O463" s="13" t="n">
        <v>0</v>
      </c>
      <c r="P463" s="13" t="n">
        <v>0</v>
      </c>
      <c r="Q463" s="21" t="n">
        <f aca="false">IF($O463="","",$O463-IF($P463="",0,$P463))</f>
        <v>0</v>
      </c>
      <c r="R463" s="13" t="n">
        <v>2</v>
      </c>
      <c r="S463" s="21" t="str">
        <f aca="false">IF($O463="","",IF($Q463&lt;=$R463,"⚠ REORDER","OK"))</f>
        <v>⚠ REORDER</v>
      </c>
      <c r="T463" s="13"/>
      <c r="U463" s="13"/>
      <c r="V463" s="13" t="s">
        <v>378</v>
      </c>
      <c r="W463" s="12" t="s">
        <v>379</v>
      </c>
      <c r="X463" s="13"/>
      <c r="Y463" s="13"/>
      <c r="Z463" s="12" t="s">
        <v>88</v>
      </c>
      <c r="AA463" s="12" t="s">
        <v>88</v>
      </c>
      <c r="AB463" s="12" t="s">
        <v>88</v>
      </c>
      <c r="AC463" s="12" t="s">
        <v>88</v>
      </c>
      <c r="AD463" s="12" t="s">
        <v>87</v>
      </c>
      <c r="AE463" s="21" t="n">
        <f aca="false">IFERROR(SUMIFS(Transactions!$F:$F,Transactions!$C:$C,$A463,Transactions!$D:$D,"Sale"),0)</f>
        <v>0</v>
      </c>
      <c r="AF463" s="15" t="n">
        <f aca="false">IFERROR(SUMIFS(Transactions!$H:$H,Transactions!$C:$C,$A463,Transactions!$D:$D,"Sale"),0)</f>
        <v>0</v>
      </c>
      <c r="AG463" s="22" t="str">
        <f aca="false">IFERROR(IF(maxifs(Transactions!$B:$B,Transactions!$C:$C,$A463,Transactions!$D:$D,"Sale")=0,"",maxifs(Transactions!$B:$B,Transactions!$C:$C,$A463,Transactions!$D:$D,"Sale")),"")</f>
        <v/>
      </c>
      <c r="AH463" s="12"/>
    </row>
    <row r="464" customFormat="false" ht="18" hidden="false" customHeight="true" outlineLevel="0" collapsed="false">
      <c r="A464" s="12" t="s">
        <v>871</v>
      </c>
      <c r="B464" s="12" t="s">
        <v>336</v>
      </c>
      <c r="C464" s="12" t="s">
        <v>337</v>
      </c>
      <c r="D464" s="12" t="s">
        <v>333</v>
      </c>
      <c r="E464" s="12" t="s">
        <v>252</v>
      </c>
      <c r="F464" s="12"/>
      <c r="G464" s="12"/>
      <c r="H464" s="12" t="s">
        <v>652</v>
      </c>
      <c r="I464" s="14" t="n">
        <v>17000</v>
      </c>
      <c r="J464" s="18" t="n">
        <f aca="false">IF($I464="","",ROUND($I464*Dropdowns!$K$5,2))</f>
        <v>44.2</v>
      </c>
      <c r="K464" s="19" t="n">
        <f aca="false">IF($I464="","",ROUND($I464*Dropdowns!$K$6,2))</f>
        <v>40.8</v>
      </c>
      <c r="L464" s="20" t="n">
        <f aca="false">IF($I464="","",ROUND($I464*Dropdowns!$K$7,2))</f>
        <v>3485</v>
      </c>
      <c r="M464" s="15" t="str">
        <f aca="false">IFERROR(IF($B464="","",VLOOKUP($B464,Designs!$A$3:$AP$165,27,FALSE())),"")</f>
        <v/>
      </c>
      <c r="N464" s="16" t="str">
        <f aca="false">IFERROR(IF(OR($I464="",$M464="",$M464=0),"",($I464-$M464)/$I464),"")</f>
        <v/>
      </c>
      <c r="O464" s="13" t="n">
        <v>0</v>
      </c>
      <c r="P464" s="13" t="n">
        <v>0</v>
      </c>
      <c r="Q464" s="21" t="n">
        <f aca="false">IF($O464="","",$O464-IF($P464="",0,$P464))</f>
        <v>0</v>
      </c>
      <c r="R464" s="13" t="n">
        <v>2</v>
      </c>
      <c r="S464" s="21" t="str">
        <f aca="false">IF($O464="","",IF($Q464&lt;=$R464,"⚠ REORDER","OK"))</f>
        <v>⚠ REORDER</v>
      </c>
      <c r="T464" s="13"/>
      <c r="U464" s="13"/>
      <c r="V464" s="13" t="s">
        <v>378</v>
      </c>
      <c r="W464" s="12" t="s">
        <v>379</v>
      </c>
      <c r="X464" s="13"/>
      <c r="Y464" s="13"/>
      <c r="Z464" s="12" t="s">
        <v>88</v>
      </c>
      <c r="AA464" s="12" t="s">
        <v>88</v>
      </c>
      <c r="AB464" s="12" t="s">
        <v>88</v>
      </c>
      <c r="AC464" s="12" t="s">
        <v>88</v>
      </c>
      <c r="AD464" s="12" t="s">
        <v>87</v>
      </c>
      <c r="AE464" s="21" t="n">
        <f aca="false">IFERROR(SUMIFS(Transactions!$F:$F,Transactions!$C:$C,$A464,Transactions!$D:$D,"Sale"),0)</f>
        <v>0</v>
      </c>
      <c r="AF464" s="15" t="n">
        <f aca="false">IFERROR(SUMIFS(Transactions!$H:$H,Transactions!$C:$C,$A464,Transactions!$D:$D,"Sale"),0)</f>
        <v>0</v>
      </c>
      <c r="AG464" s="22" t="str">
        <f aca="false">IFERROR(IF(maxifs(Transactions!$B:$B,Transactions!$C:$C,$A464,Transactions!$D:$D,"Sale")=0,"",maxifs(Transactions!$B:$B,Transactions!$C:$C,$A464,Transactions!$D:$D,"Sale")),"")</f>
        <v/>
      </c>
      <c r="AH464" s="12"/>
    </row>
    <row r="465" customFormat="false" ht="18" hidden="false" customHeight="true" outlineLevel="0" collapsed="false">
      <c r="A465" s="12" t="s">
        <v>872</v>
      </c>
      <c r="B465" s="12" t="s">
        <v>336</v>
      </c>
      <c r="C465" s="12" t="s">
        <v>337</v>
      </c>
      <c r="D465" s="12" t="s">
        <v>333</v>
      </c>
      <c r="E465" s="12" t="s">
        <v>252</v>
      </c>
      <c r="F465" s="12"/>
      <c r="G465" s="12"/>
      <c r="H465" s="12" t="s">
        <v>381</v>
      </c>
      <c r="I465" s="14" t="n">
        <v>17000</v>
      </c>
      <c r="J465" s="18" t="n">
        <f aca="false">IF($I465="","",ROUND($I465*Dropdowns!$K$5,2))</f>
        <v>44.2</v>
      </c>
      <c r="K465" s="19" t="n">
        <f aca="false">IF($I465="","",ROUND($I465*Dropdowns!$K$6,2))</f>
        <v>40.8</v>
      </c>
      <c r="L465" s="20" t="n">
        <f aca="false">IF($I465="","",ROUND($I465*Dropdowns!$K$7,2))</f>
        <v>3485</v>
      </c>
      <c r="M465" s="15" t="str">
        <f aca="false">IFERROR(IF($B465="","",VLOOKUP($B465,Designs!$A$3:$AP$165,27,FALSE())),"")</f>
        <v/>
      </c>
      <c r="N465" s="16" t="str">
        <f aca="false">IFERROR(IF(OR($I465="",$M465="",$M465=0),"",($I465-$M465)/$I465),"")</f>
        <v/>
      </c>
      <c r="O465" s="13" t="n">
        <v>0</v>
      </c>
      <c r="P465" s="13" t="n">
        <v>0</v>
      </c>
      <c r="Q465" s="21" t="n">
        <f aca="false">IF($O465="","",$O465-IF($P465="",0,$P465))</f>
        <v>0</v>
      </c>
      <c r="R465" s="13" t="n">
        <v>2</v>
      </c>
      <c r="S465" s="21" t="str">
        <f aca="false">IF($O465="","",IF($Q465&lt;=$R465,"⚠ REORDER","OK"))</f>
        <v>⚠ REORDER</v>
      </c>
      <c r="T465" s="13"/>
      <c r="U465" s="13"/>
      <c r="V465" s="13" t="s">
        <v>378</v>
      </c>
      <c r="W465" s="12" t="s">
        <v>379</v>
      </c>
      <c r="X465" s="13"/>
      <c r="Y465" s="13"/>
      <c r="Z465" s="12" t="s">
        <v>88</v>
      </c>
      <c r="AA465" s="12" t="s">
        <v>88</v>
      </c>
      <c r="AB465" s="12" t="s">
        <v>88</v>
      </c>
      <c r="AC465" s="12" t="s">
        <v>88</v>
      </c>
      <c r="AD465" s="12" t="s">
        <v>87</v>
      </c>
      <c r="AE465" s="21" t="n">
        <f aca="false">IFERROR(SUMIFS(Transactions!$F:$F,Transactions!$C:$C,$A465,Transactions!$D:$D,"Sale"),0)</f>
        <v>0</v>
      </c>
      <c r="AF465" s="15" t="n">
        <f aca="false">IFERROR(SUMIFS(Transactions!$H:$H,Transactions!$C:$C,$A465,Transactions!$D:$D,"Sale"),0)</f>
        <v>0</v>
      </c>
      <c r="AG465" s="22" t="str">
        <f aca="false">IFERROR(IF(maxifs(Transactions!$B:$B,Transactions!$C:$C,$A465,Transactions!$D:$D,"Sale")=0,"",maxifs(Transactions!$B:$B,Transactions!$C:$C,$A465,Transactions!$D:$D,"Sale")),"")</f>
        <v/>
      </c>
      <c r="AH465" s="12"/>
    </row>
    <row r="466" customFormat="false" ht="18" hidden="false" customHeight="true" outlineLevel="0" collapsed="false">
      <c r="A466" s="12" t="s">
        <v>873</v>
      </c>
      <c r="B466" s="12" t="s">
        <v>336</v>
      </c>
      <c r="C466" s="12" t="s">
        <v>337</v>
      </c>
      <c r="D466" s="12" t="s">
        <v>333</v>
      </c>
      <c r="E466" s="12" t="s">
        <v>252</v>
      </c>
      <c r="F466" s="12"/>
      <c r="G466" s="12"/>
      <c r="H466" s="12" t="s">
        <v>655</v>
      </c>
      <c r="I466" s="14" t="n">
        <v>17000</v>
      </c>
      <c r="J466" s="18" t="n">
        <f aca="false">IF($I466="","",ROUND($I466*Dropdowns!$K$5,2))</f>
        <v>44.2</v>
      </c>
      <c r="K466" s="19" t="n">
        <f aca="false">IF($I466="","",ROUND($I466*Dropdowns!$K$6,2))</f>
        <v>40.8</v>
      </c>
      <c r="L466" s="20" t="n">
        <f aca="false">IF($I466="","",ROUND($I466*Dropdowns!$K$7,2))</f>
        <v>3485</v>
      </c>
      <c r="M466" s="15" t="str">
        <f aca="false">IFERROR(IF($B466="","",VLOOKUP($B466,Designs!$A$3:$AP$165,27,FALSE())),"")</f>
        <v/>
      </c>
      <c r="N466" s="16" t="str">
        <f aca="false">IFERROR(IF(OR($I466="",$M466="",$M466=0),"",($I466-$M466)/$I466),"")</f>
        <v/>
      </c>
      <c r="O466" s="13" t="n">
        <v>0</v>
      </c>
      <c r="P466" s="13" t="n">
        <v>0</v>
      </c>
      <c r="Q466" s="21" t="n">
        <f aca="false">IF($O466="","",$O466-IF($P466="",0,$P466))</f>
        <v>0</v>
      </c>
      <c r="R466" s="13" t="n">
        <v>2</v>
      </c>
      <c r="S466" s="21" t="str">
        <f aca="false">IF($O466="","",IF($Q466&lt;=$R466,"⚠ REORDER","OK"))</f>
        <v>⚠ REORDER</v>
      </c>
      <c r="T466" s="13"/>
      <c r="U466" s="13"/>
      <c r="V466" s="13" t="s">
        <v>378</v>
      </c>
      <c r="W466" s="12" t="s">
        <v>379</v>
      </c>
      <c r="X466" s="13"/>
      <c r="Y466" s="13"/>
      <c r="Z466" s="12" t="s">
        <v>88</v>
      </c>
      <c r="AA466" s="12" t="s">
        <v>88</v>
      </c>
      <c r="AB466" s="12" t="s">
        <v>88</v>
      </c>
      <c r="AC466" s="12" t="s">
        <v>88</v>
      </c>
      <c r="AD466" s="12" t="s">
        <v>87</v>
      </c>
      <c r="AE466" s="21" t="n">
        <f aca="false">IFERROR(SUMIFS(Transactions!$F:$F,Transactions!$C:$C,$A466,Transactions!$D:$D,"Sale"),0)</f>
        <v>0</v>
      </c>
      <c r="AF466" s="15" t="n">
        <f aca="false">IFERROR(SUMIFS(Transactions!$H:$H,Transactions!$C:$C,$A466,Transactions!$D:$D,"Sale"),0)</f>
        <v>0</v>
      </c>
      <c r="AG466" s="22" t="str">
        <f aca="false">IFERROR(IF(maxifs(Transactions!$B:$B,Transactions!$C:$C,$A466,Transactions!$D:$D,"Sale")=0,"",maxifs(Transactions!$B:$B,Transactions!$C:$C,$A466,Transactions!$D:$D,"Sale")),"")</f>
        <v/>
      </c>
      <c r="AH466" s="12"/>
    </row>
    <row r="467" customFormat="false" ht="18" hidden="false" customHeight="true" outlineLevel="0" collapsed="false">
      <c r="A467" s="12" t="s">
        <v>874</v>
      </c>
      <c r="B467" s="12" t="s">
        <v>338</v>
      </c>
      <c r="C467" s="12" t="s">
        <v>339</v>
      </c>
      <c r="D467" s="12" t="s">
        <v>333</v>
      </c>
      <c r="E467" s="12" t="s">
        <v>264</v>
      </c>
      <c r="F467" s="12"/>
      <c r="G467" s="12"/>
      <c r="H467" s="12" t="s">
        <v>649</v>
      </c>
      <c r="I467" s="14" t="n">
        <v>17000</v>
      </c>
      <c r="J467" s="18" t="n">
        <f aca="false">IF($I467="","",ROUND($I467*Dropdowns!$K$5,2))</f>
        <v>44.2</v>
      </c>
      <c r="K467" s="19" t="n">
        <f aca="false">IF($I467="","",ROUND($I467*Dropdowns!$K$6,2))</f>
        <v>40.8</v>
      </c>
      <c r="L467" s="20" t="n">
        <f aca="false">IF($I467="","",ROUND($I467*Dropdowns!$K$7,2))</f>
        <v>3485</v>
      </c>
      <c r="M467" s="15" t="str">
        <f aca="false">IFERROR(IF($B467="","",VLOOKUP($B467,Designs!$A$3:$AP$165,27,FALSE())),"")</f>
        <v/>
      </c>
      <c r="N467" s="16" t="str">
        <f aca="false">IFERROR(IF(OR($I467="",$M467="",$M467=0),"",($I467-$M467)/$I467),"")</f>
        <v/>
      </c>
      <c r="O467" s="13" t="n">
        <v>0</v>
      </c>
      <c r="P467" s="13" t="n">
        <v>0</v>
      </c>
      <c r="Q467" s="21" t="n">
        <f aca="false">IF($O467="","",$O467-IF($P467="",0,$P467))</f>
        <v>0</v>
      </c>
      <c r="R467" s="13" t="n">
        <v>2</v>
      </c>
      <c r="S467" s="21" t="str">
        <f aca="false">IF($O467="","",IF($Q467&lt;=$R467,"⚠ REORDER","OK"))</f>
        <v>⚠ REORDER</v>
      </c>
      <c r="T467" s="13"/>
      <c r="U467" s="13"/>
      <c r="V467" s="13" t="s">
        <v>378</v>
      </c>
      <c r="W467" s="12" t="s">
        <v>379</v>
      </c>
      <c r="X467" s="13"/>
      <c r="Y467" s="13"/>
      <c r="Z467" s="12" t="s">
        <v>88</v>
      </c>
      <c r="AA467" s="12" t="s">
        <v>88</v>
      </c>
      <c r="AB467" s="12" t="s">
        <v>88</v>
      </c>
      <c r="AC467" s="12" t="s">
        <v>88</v>
      </c>
      <c r="AD467" s="12" t="s">
        <v>87</v>
      </c>
      <c r="AE467" s="21" t="n">
        <f aca="false">IFERROR(SUMIFS(Transactions!$F:$F,Transactions!$C:$C,$A467,Transactions!$D:$D,"Sale"),0)</f>
        <v>0</v>
      </c>
      <c r="AF467" s="15" t="n">
        <f aca="false">IFERROR(SUMIFS(Transactions!$H:$H,Transactions!$C:$C,$A467,Transactions!$D:$D,"Sale"),0)</f>
        <v>0</v>
      </c>
      <c r="AG467" s="22" t="str">
        <f aca="false">IFERROR(IF(maxifs(Transactions!$B:$B,Transactions!$C:$C,$A467,Transactions!$D:$D,"Sale")=0,"",maxifs(Transactions!$B:$B,Transactions!$C:$C,$A467,Transactions!$D:$D,"Sale")),"")</f>
        <v/>
      </c>
      <c r="AH467" s="12"/>
    </row>
    <row r="468" customFormat="false" ht="18" hidden="false" customHeight="true" outlineLevel="0" collapsed="false">
      <c r="A468" s="12" t="s">
        <v>875</v>
      </c>
      <c r="B468" s="12" t="s">
        <v>338</v>
      </c>
      <c r="C468" s="12" t="s">
        <v>339</v>
      </c>
      <c r="D468" s="12" t="s">
        <v>333</v>
      </c>
      <c r="E468" s="12" t="s">
        <v>264</v>
      </c>
      <c r="F468" s="12"/>
      <c r="G468" s="12"/>
      <c r="H468" s="12" t="s">
        <v>383</v>
      </c>
      <c r="I468" s="14" t="n">
        <v>17000</v>
      </c>
      <c r="J468" s="18" t="n">
        <f aca="false">IF($I468="","",ROUND($I468*Dropdowns!$K$5,2))</f>
        <v>44.2</v>
      </c>
      <c r="K468" s="19" t="n">
        <f aca="false">IF($I468="","",ROUND($I468*Dropdowns!$K$6,2))</f>
        <v>40.8</v>
      </c>
      <c r="L468" s="20" t="n">
        <f aca="false">IF($I468="","",ROUND($I468*Dropdowns!$K$7,2))</f>
        <v>3485</v>
      </c>
      <c r="M468" s="15" t="str">
        <f aca="false">IFERROR(IF($B468="","",VLOOKUP($B468,Designs!$A$3:$AP$165,27,FALSE())),"")</f>
        <v/>
      </c>
      <c r="N468" s="16" t="str">
        <f aca="false">IFERROR(IF(OR($I468="",$M468="",$M468=0),"",($I468-$M468)/$I468),"")</f>
        <v/>
      </c>
      <c r="O468" s="13" t="n">
        <v>0</v>
      </c>
      <c r="P468" s="13" t="n">
        <v>0</v>
      </c>
      <c r="Q468" s="21" t="n">
        <f aca="false">IF($O468="","",$O468-IF($P468="",0,$P468))</f>
        <v>0</v>
      </c>
      <c r="R468" s="13" t="n">
        <v>2</v>
      </c>
      <c r="S468" s="21" t="str">
        <f aca="false">IF($O468="","",IF($Q468&lt;=$R468,"⚠ REORDER","OK"))</f>
        <v>⚠ REORDER</v>
      </c>
      <c r="T468" s="13"/>
      <c r="U468" s="13"/>
      <c r="V468" s="13" t="s">
        <v>378</v>
      </c>
      <c r="W468" s="12" t="s">
        <v>379</v>
      </c>
      <c r="X468" s="13"/>
      <c r="Y468" s="13"/>
      <c r="Z468" s="12" t="s">
        <v>88</v>
      </c>
      <c r="AA468" s="12" t="s">
        <v>88</v>
      </c>
      <c r="AB468" s="12" t="s">
        <v>88</v>
      </c>
      <c r="AC468" s="12" t="s">
        <v>88</v>
      </c>
      <c r="AD468" s="12" t="s">
        <v>87</v>
      </c>
      <c r="AE468" s="21" t="n">
        <f aca="false">IFERROR(SUMIFS(Transactions!$F:$F,Transactions!$C:$C,$A468,Transactions!$D:$D,"Sale"),0)</f>
        <v>0</v>
      </c>
      <c r="AF468" s="15" t="n">
        <f aca="false">IFERROR(SUMIFS(Transactions!$H:$H,Transactions!$C:$C,$A468,Transactions!$D:$D,"Sale"),0)</f>
        <v>0</v>
      </c>
      <c r="AG468" s="22" t="str">
        <f aca="false">IFERROR(IF(maxifs(Transactions!$B:$B,Transactions!$C:$C,$A468,Transactions!$D:$D,"Sale")=0,"",maxifs(Transactions!$B:$B,Transactions!$C:$C,$A468,Transactions!$D:$D,"Sale")),"")</f>
        <v/>
      </c>
      <c r="AH468" s="12"/>
    </row>
    <row r="469" customFormat="false" ht="18" hidden="false" customHeight="true" outlineLevel="0" collapsed="false">
      <c r="A469" s="12" t="s">
        <v>876</v>
      </c>
      <c r="B469" s="12" t="s">
        <v>338</v>
      </c>
      <c r="C469" s="12" t="s">
        <v>339</v>
      </c>
      <c r="D469" s="12" t="s">
        <v>333</v>
      </c>
      <c r="E469" s="12" t="s">
        <v>264</v>
      </c>
      <c r="F469" s="12"/>
      <c r="G469" s="12"/>
      <c r="H469" s="12" t="s">
        <v>652</v>
      </c>
      <c r="I469" s="14" t="n">
        <v>17000</v>
      </c>
      <c r="J469" s="18" t="n">
        <f aca="false">IF($I469="","",ROUND($I469*Dropdowns!$K$5,2))</f>
        <v>44.2</v>
      </c>
      <c r="K469" s="19" t="n">
        <f aca="false">IF($I469="","",ROUND($I469*Dropdowns!$K$6,2))</f>
        <v>40.8</v>
      </c>
      <c r="L469" s="20" t="n">
        <f aca="false">IF($I469="","",ROUND($I469*Dropdowns!$K$7,2))</f>
        <v>3485</v>
      </c>
      <c r="M469" s="15" t="str">
        <f aca="false">IFERROR(IF($B469="","",VLOOKUP($B469,Designs!$A$3:$AP$165,27,FALSE())),"")</f>
        <v/>
      </c>
      <c r="N469" s="16" t="str">
        <f aca="false">IFERROR(IF(OR($I469="",$M469="",$M469=0),"",($I469-$M469)/$I469),"")</f>
        <v/>
      </c>
      <c r="O469" s="13" t="n">
        <v>0</v>
      </c>
      <c r="P469" s="13" t="n">
        <v>0</v>
      </c>
      <c r="Q469" s="21" t="n">
        <f aca="false">IF($O469="","",$O469-IF($P469="",0,$P469))</f>
        <v>0</v>
      </c>
      <c r="R469" s="13" t="n">
        <v>2</v>
      </c>
      <c r="S469" s="21" t="str">
        <f aca="false">IF($O469="","",IF($Q469&lt;=$R469,"⚠ REORDER","OK"))</f>
        <v>⚠ REORDER</v>
      </c>
      <c r="T469" s="13"/>
      <c r="U469" s="13"/>
      <c r="V469" s="13" t="s">
        <v>378</v>
      </c>
      <c r="W469" s="12" t="s">
        <v>379</v>
      </c>
      <c r="X469" s="13"/>
      <c r="Y469" s="13"/>
      <c r="Z469" s="12" t="s">
        <v>88</v>
      </c>
      <c r="AA469" s="12" t="s">
        <v>88</v>
      </c>
      <c r="AB469" s="12" t="s">
        <v>88</v>
      </c>
      <c r="AC469" s="12" t="s">
        <v>88</v>
      </c>
      <c r="AD469" s="12" t="s">
        <v>87</v>
      </c>
      <c r="AE469" s="21" t="n">
        <f aca="false">IFERROR(SUMIFS(Transactions!$F:$F,Transactions!$C:$C,$A469,Transactions!$D:$D,"Sale"),0)</f>
        <v>0</v>
      </c>
      <c r="AF469" s="15" t="n">
        <f aca="false">IFERROR(SUMIFS(Transactions!$H:$H,Transactions!$C:$C,$A469,Transactions!$D:$D,"Sale"),0)</f>
        <v>0</v>
      </c>
      <c r="AG469" s="22" t="str">
        <f aca="false">IFERROR(IF(maxifs(Transactions!$B:$B,Transactions!$C:$C,$A469,Transactions!$D:$D,"Sale")=0,"",maxifs(Transactions!$B:$B,Transactions!$C:$C,$A469,Transactions!$D:$D,"Sale")),"")</f>
        <v/>
      </c>
      <c r="AH469" s="12"/>
    </row>
    <row r="470" customFormat="false" ht="18" hidden="false" customHeight="true" outlineLevel="0" collapsed="false">
      <c r="A470" s="12" t="s">
        <v>877</v>
      </c>
      <c r="B470" s="12" t="s">
        <v>338</v>
      </c>
      <c r="C470" s="12" t="s">
        <v>339</v>
      </c>
      <c r="D470" s="12" t="s">
        <v>333</v>
      </c>
      <c r="E470" s="12" t="s">
        <v>264</v>
      </c>
      <c r="F470" s="12"/>
      <c r="G470" s="12"/>
      <c r="H470" s="12" t="s">
        <v>381</v>
      </c>
      <c r="I470" s="14" t="n">
        <v>17000</v>
      </c>
      <c r="J470" s="18" t="n">
        <f aca="false">IF($I470="","",ROUND($I470*Dropdowns!$K$5,2))</f>
        <v>44.2</v>
      </c>
      <c r="K470" s="19" t="n">
        <f aca="false">IF($I470="","",ROUND($I470*Dropdowns!$K$6,2))</f>
        <v>40.8</v>
      </c>
      <c r="L470" s="20" t="n">
        <f aca="false">IF($I470="","",ROUND($I470*Dropdowns!$K$7,2))</f>
        <v>3485</v>
      </c>
      <c r="M470" s="15" t="str">
        <f aca="false">IFERROR(IF($B470="","",VLOOKUP($B470,Designs!$A$3:$AP$165,27,FALSE())),"")</f>
        <v/>
      </c>
      <c r="N470" s="16" t="str">
        <f aca="false">IFERROR(IF(OR($I470="",$M470="",$M470=0),"",($I470-$M470)/$I470),"")</f>
        <v/>
      </c>
      <c r="O470" s="13" t="n">
        <v>0</v>
      </c>
      <c r="P470" s="13" t="n">
        <v>0</v>
      </c>
      <c r="Q470" s="21" t="n">
        <f aca="false">IF($O470="","",$O470-IF($P470="",0,$P470))</f>
        <v>0</v>
      </c>
      <c r="R470" s="13" t="n">
        <v>2</v>
      </c>
      <c r="S470" s="21" t="str">
        <f aca="false">IF($O470="","",IF($Q470&lt;=$R470,"⚠ REORDER","OK"))</f>
        <v>⚠ REORDER</v>
      </c>
      <c r="T470" s="13"/>
      <c r="U470" s="13"/>
      <c r="V470" s="13" t="s">
        <v>378</v>
      </c>
      <c r="W470" s="12" t="s">
        <v>379</v>
      </c>
      <c r="X470" s="13"/>
      <c r="Y470" s="13"/>
      <c r="Z470" s="12" t="s">
        <v>88</v>
      </c>
      <c r="AA470" s="12" t="s">
        <v>88</v>
      </c>
      <c r="AB470" s="12" t="s">
        <v>88</v>
      </c>
      <c r="AC470" s="12" t="s">
        <v>88</v>
      </c>
      <c r="AD470" s="12" t="s">
        <v>87</v>
      </c>
      <c r="AE470" s="21" t="n">
        <f aca="false">IFERROR(SUMIFS(Transactions!$F:$F,Transactions!$C:$C,$A470,Transactions!$D:$D,"Sale"),0)</f>
        <v>0</v>
      </c>
      <c r="AF470" s="15" t="n">
        <f aca="false">IFERROR(SUMIFS(Transactions!$H:$H,Transactions!$C:$C,$A470,Transactions!$D:$D,"Sale"),0)</f>
        <v>0</v>
      </c>
      <c r="AG470" s="22" t="str">
        <f aca="false">IFERROR(IF(maxifs(Transactions!$B:$B,Transactions!$C:$C,$A470,Transactions!$D:$D,"Sale")=0,"",maxifs(Transactions!$B:$B,Transactions!$C:$C,$A470,Transactions!$D:$D,"Sale")),"")</f>
        <v/>
      </c>
      <c r="AH470" s="12"/>
    </row>
    <row r="471" customFormat="false" ht="18" hidden="false" customHeight="true" outlineLevel="0" collapsed="false">
      <c r="A471" s="12" t="s">
        <v>878</v>
      </c>
      <c r="B471" s="12" t="s">
        <v>338</v>
      </c>
      <c r="C471" s="12" t="s">
        <v>339</v>
      </c>
      <c r="D471" s="12" t="s">
        <v>333</v>
      </c>
      <c r="E471" s="12" t="s">
        <v>264</v>
      </c>
      <c r="F471" s="12"/>
      <c r="G471" s="12"/>
      <c r="H471" s="12" t="s">
        <v>655</v>
      </c>
      <c r="I471" s="14" t="n">
        <v>17000</v>
      </c>
      <c r="J471" s="18" t="n">
        <f aca="false">IF($I471="","",ROUND($I471*Dropdowns!$K$5,2))</f>
        <v>44.2</v>
      </c>
      <c r="K471" s="19" t="n">
        <f aca="false">IF($I471="","",ROUND($I471*Dropdowns!$K$6,2))</f>
        <v>40.8</v>
      </c>
      <c r="L471" s="20" t="n">
        <f aca="false">IF($I471="","",ROUND($I471*Dropdowns!$K$7,2))</f>
        <v>3485</v>
      </c>
      <c r="M471" s="15" t="str">
        <f aca="false">IFERROR(IF($B471="","",VLOOKUP($B471,Designs!$A$3:$AP$165,27,FALSE())),"")</f>
        <v/>
      </c>
      <c r="N471" s="16" t="str">
        <f aca="false">IFERROR(IF(OR($I471="",$M471="",$M471=0),"",($I471-$M471)/$I471),"")</f>
        <v/>
      </c>
      <c r="O471" s="13" t="n">
        <v>0</v>
      </c>
      <c r="P471" s="13" t="n">
        <v>0</v>
      </c>
      <c r="Q471" s="21" t="n">
        <f aca="false">IF($O471="","",$O471-IF($P471="",0,$P471))</f>
        <v>0</v>
      </c>
      <c r="R471" s="13" t="n">
        <v>2</v>
      </c>
      <c r="S471" s="21" t="str">
        <f aca="false">IF($O471="","",IF($Q471&lt;=$R471,"⚠ REORDER","OK"))</f>
        <v>⚠ REORDER</v>
      </c>
      <c r="T471" s="13"/>
      <c r="U471" s="13"/>
      <c r="V471" s="13" t="s">
        <v>378</v>
      </c>
      <c r="W471" s="12" t="s">
        <v>379</v>
      </c>
      <c r="X471" s="13"/>
      <c r="Y471" s="13"/>
      <c r="Z471" s="12" t="s">
        <v>88</v>
      </c>
      <c r="AA471" s="12" t="s">
        <v>88</v>
      </c>
      <c r="AB471" s="12" t="s">
        <v>88</v>
      </c>
      <c r="AC471" s="12" t="s">
        <v>88</v>
      </c>
      <c r="AD471" s="12" t="s">
        <v>87</v>
      </c>
      <c r="AE471" s="21" t="n">
        <f aca="false">IFERROR(SUMIFS(Transactions!$F:$F,Transactions!$C:$C,$A471,Transactions!$D:$D,"Sale"),0)</f>
        <v>0</v>
      </c>
      <c r="AF471" s="15" t="n">
        <f aca="false">IFERROR(SUMIFS(Transactions!$H:$H,Transactions!$C:$C,$A471,Transactions!$D:$D,"Sale"),0)</f>
        <v>0</v>
      </c>
      <c r="AG471" s="22" t="str">
        <f aca="false">IFERROR(IF(maxifs(Transactions!$B:$B,Transactions!$C:$C,$A471,Transactions!$D:$D,"Sale")=0,"",maxifs(Transactions!$B:$B,Transactions!$C:$C,$A471,Transactions!$D:$D,"Sale")),"")</f>
        <v/>
      </c>
      <c r="AH471" s="12"/>
    </row>
    <row r="472" customFormat="false" ht="18" hidden="false" customHeight="true" outlineLevel="0" collapsed="false">
      <c r="A472" s="12" t="s">
        <v>879</v>
      </c>
      <c r="B472" s="12" t="s">
        <v>340</v>
      </c>
      <c r="C472" s="12" t="s">
        <v>269</v>
      </c>
      <c r="D472" s="12" t="s">
        <v>333</v>
      </c>
      <c r="E472" s="12" t="s">
        <v>270</v>
      </c>
      <c r="F472" s="12"/>
      <c r="G472" s="12"/>
      <c r="H472" s="12" t="s">
        <v>649</v>
      </c>
      <c r="I472" s="14" t="n">
        <v>17000</v>
      </c>
      <c r="J472" s="18" t="n">
        <f aca="false">IF($I472="","",ROUND($I472*Dropdowns!$K$5,2))</f>
        <v>44.2</v>
      </c>
      <c r="K472" s="19" t="n">
        <f aca="false">IF($I472="","",ROUND($I472*Dropdowns!$K$6,2))</f>
        <v>40.8</v>
      </c>
      <c r="L472" s="20" t="n">
        <f aca="false">IF($I472="","",ROUND($I472*Dropdowns!$K$7,2))</f>
        <v>3485</v>
      </c>
      <c r="M472" s="15" t="str">
        <f aca="false">IFERROR(IF($B472="","",VLOOKUP($B472,Designs!$A$3:$AP$165,27,FALSE())),"")</f>
        <v/>
      </c>
      <c r="N472" s="16" t="str">
        <f aca="false">IFERROR(IF(OR($I472="",$M472="",$M472=0),"",($I472-$M472)/$I472),"")</f>
        <v/>
      </c>
      <c r="O472" s="13" t="n">
        <v>0</v>
      </c>
      <c r="P472" s="13" t="n">
        <v>0</v>
      </c>
      <c r="Q472" s="21" t="n">
        <f aca="false">IF($O472="","",$O472-IF($P472="",0,$P472))</f>
        <v>0</v>
      </c>
      <c r="R472" s="13" t="n">
        <v>2</v>
      </c>
      <c r="S472" s="21" t="str">
        <f aca="false">IF($O472="","",IF($Q472&lt;=$R472,"⚠ REORDER","OK"))</f>
        <v>⚠ REORDER</v>
      </c>
      <c r="T472" s="13"/>
      <c r="U472" s="13"/>
      <c r="V472" s="13" t="s">
        <v>378</v>
      </c>
      <c r="W472" s="12" t="s">
        <v>379</v>
      </c>
      <c r="X472" s="13"/>
      <c r="Y472" s="13"/>
      <c r="Z472" s="12" t="s">
        <v>88</v>
      </c>
      <c r="AA472" s="12" t="s">
        <v>88</v>
      </c>
      <c r="AB472" s="12" t="s">
        <v>88</v>
      </c>
      <c r="AC472" s="12" t="s">
        <v>88</v>
      </c>
      <c r="AD472" s="12" t="s">
        <v>87</v>
      </c>
      <c r="AE472" s="21" t="n">
        <f aca="false">IFERROR(SUMIFS(Transactions!$F:$F,Transactions!$C:$C,$A472,Transactions!$D:$D,"Sale"),0)</f>
        <v>0</v>
      </c>
      <c r="AF472" s="15" t="n">
        <f aca="false">IFERROR(SUMIFS(Transactions!$H:$H,Transactions!$C:$C,$A472,Transactions!$D:$D,"Sale"),0)</f>
        <v>0</v>
      </c>
      <c r="AG472" s="22" t="str">
        <f aca="false">IFERROR(IF(maxifs(Transactions!$B:$B,Transactions!$C:$C,$A472,Transactions!$D:$D,"Sale")=0,"",maxifs(Transactions!$B:$B,Transactions!$C:$C,$A472,Transactions!$D:$D,"Sale")),"")</f>
        <v/>
      </c>
      <c r="AH472" s="12"/>
    </row>
    <row r="473" customFormat="false" ht="18" hidden="false" customHeight="true" outlineLevel="0" collapsed="false">
      <c r="A473" s="12" t="s">
        <v>880</v>
      </c>
      <c r="B473" s="12" t="s">
        <v>340</v>
      </c>
      <c r="C473" s="12" t="s">
        <v>269</v>
      </c>
      <c r="D473" s="12" t="s">
        <v>333</v>
      </c>
      <c r="E473" s="12" t="s">
        <v>270</v>
      </c>
      <c r="F473" s="12"/>
      <c r="G473" s="12"/>
      <c r="H473" s="12" t="s">
        <v>383</v>
      </c>
      <c r="I473" s="14" t="n">
        <v>17000</v>
      </c>
      <c r="J473" s="18" t="n">
        <f aca="false">IF($I473="","",ROUND($I473*Dropdowns!$K$5,2))</f>
        <v>44.2</v>
      </c>
      <c r="K473" s="19" t="n">
        <f aca="false">IF($I473="","",ROUND($I473*Dropdowns!$K$6,2))</f>
        <v>40.8</v>
      </c>
      <c r="L473" s="20" t="n">
        <f aca="false">IF($I473="","",ROUND($I473*Dropdowns!$K$7,2))</f>
        <v>3485</v>
      </c>
      <c r="M473" s="15" t="str">
        <f aca="false">IFERROR(IF($B473="","",VLOOKUP($B473,Designs!$A$3:$AP$165,27,FALSE())),"")</f>
        <v/>
      </c>
      <c r="N473" s="16" t="str">
        <f aca="false">IFERROR(IF(OR($I473="",$M473="",$M473=0),"",($I473-$M473)/$I473),"")</f>
        <v/>
      </c>
      <c r="O473" s="13" t="n">
        <v>0</v>
      </c>
      <c r="P473" s="13" t="n">
        <v>0</v>
      </c>
      <c r="Q473" s="21" t="n">
        <f aca="false">IF($O473="","",$O473-IF($P473="",0,$P473))</f>
        <v>0</v>
      </c>
      <c r="R473" s="13" t="n">
        <v>2</v>
      </c>
      <c r="S473" s="21" t="str">
        <f aca="false">IF($O473="","",IF($Q473&lt;=$R473,"⚠ REORDER","OK"))</f>
        <v>⚠ REORDER</v>
      </c>
      <c r="T473" s="13"/>
      <c r="U473" s="13"/>
      <c r="V473" s="13" t="s">
        <v>378</v>
      </c>
      <c r="W473" s="12" t="s">
        <v>379</v>
      </c>
      <c r="X473" s="13"/>
      <c r="Y473" s="13"/>
      <c r="Z473" s="12" t="s">
        <v>88</v>
      </c>
      <c r="AA473" s="12" t="s">
        <v>88</v>
      </c>
      <c r="AB473" s="12" t="s">
        <v>88</v>
      </c>
      <c r="AC473" s="12" t="s">
        <v>88</v>
      </c>
      <c r="AD473" s="12" t="s">
        <v>87</v>
      </c>
      <c r="AE473" s="21" t="n">
        <f aca="false">IFERROR(SUMIFS(Transactions!$F:$F,Transactions!$C:$C,$A473,Transactions!$D:$D,"Sale"),0)</f>
        <v>0</v>
      </c>
      <c r="AF473" s="15" t="n">
        <f aca="false">IFERROR(SUMIFS(Transactions!$H:$H,Transactions!$C:$C,$A473,Transactions!$D:$D,"Sale"),0)</f>
        <v>0</v>
      </c>
      <c r="AG473" s="22" t="str">
        <f aca="false">IFERROR(IF(maxifs(Transactions!$B:$B,Transactions!$C:$C,$A473,Transactions!$D:$D,"Sale")=0,"",maxifs(Transactions!$B:$B,Transactions!$C:$C,$A473,Transactions!$D:$D,"Sale")),"")</f>
        <v/>
      </c>
      <c r="AH473" s="12"/>
    </row>
    <row r="474" customFormat="false" ht="18" hidden="false" customHeight="true" outlineLevel="0" collapsed="false">
      <c r="A474" s="12" t="s">
        <v>881</v>
      </c>
      <c r="B474" s="12" t="s">
        <v>340</v>
      </c>
      <c r="C474" s="12" t="s">
        <v>269</v>
      </c>
      <c r="D474" s="12" t="s">
        <v>333</v>
      </c>
      <c r="E474" s="12" t="s">
        <v>270</v>
      </c>
      <c r="F474" s="12"/>
      <c r="G474" s="12"/>
      <c r="H474" s="12" t="s">
        <v>652</v>
      </c>
      <c r="I474" s="14" t="n">
        <v>17000</v>
      </c>
      <c r="J474" s="18" t="n">
        <f aca="false">IF($I474="","",ROUND($I474*Dropdowns!$K$5,2))</f>
        <v>44.2</v>
      </c>
      <c r="K474" s="19" t="n">
        <f aca="false">IF($I474="","",ROUND($I474*Dropdowns!$K$6,2))</f>
        <v>40.8</v>
      </c>
      <c r="L474" s="20" t="n">
        <f aca="false">IF($I474="","",ROUND($I474*Dropdowns!$K$7,2))</f>
        <v>3485</v>
      </c>
      <c r="M474" s="15" t="str">
        <f aca="false">IFERROR(IF($B474="","",VLOOKUP($B474,Designs!$A$3:$AP$165,27,FALSE())),"")</f>
        <v/>
      </c>
      <c r="N474" s="16" t="str">
        <f aca="false">IFERROR(IF(OR($I474="",$M474="",$M474=0),"",($I474-$M474)/$I474),"")</f>
        <v/>
      </c>
      <c r="O474" s="13" t="n">
        <v>0</v>
      </c>
      <c r="P474" s="13" t="n">
        <v>0</v>
      </c>
      <c r="Q474" s="21" t="n">
        <f aca="false">IF($O474="","",$O474-IF($P474="",0,$P474))</f>
        <v>0</v>
      </c>
      <c r="R474" s="13" t="n">
        <v>2</v>
      </c>
      <c r="S474" s="21" t="str">
        <f aca="false">IF($O474="","",IF($Q474&lt;=$R474,"⚠ REORDER","OK"))</f>
        <v>⚠ REORDER</v>
      </c>
      <c r="T474" s="13"/>
      <c r="U474" s="13"/>
      <c r="V474" s="13" t="s">
        <v>378</v>
      </c>
      <c r="W474" s="12" t="s">
        <v>379</v>
      </c>
      <c r="X474" s="13"/>
      <c r="Y474" s="13"/>
      <c r="Z474" s="12" t="s">
        <v>88</v>
      </c>
      <c r="AA474" s="12" t="s">
        <v>88</v>
      </c>
      <c r="AB474" s="12" t="s">
        <v>88</v>
      </c>
      <c r="AC474" s="12" t="s">
        <v>88</v>
      </c>
      <c r="AD474" s="12" t="s">
        <v>87</v>
      </c>
      <c r="AE474" s="21" t="n">
        <f aca="false">IFERROR(SUMIFS(Transactions!$F:$F,Transactions!$C:$C,$A474,Transactions!$D:$D,"Sale"),0)</f>
        <v>0</v>
      </c>
      <c r="AF474" s="15" t="n">
        <f aca="false">IFERROR(SUMIFS(Transactions!$H:$H,Transactions!$C:$C,$A474,Transactions!$D:$D,"Sale"),0)</f>
        <v>0</v>
      </c>
      <c r="AG474" s="22" t="str">
        <f aca="false">IFERROR(IF(maxifs(Transactions!$B:$B,Transactions!$C:$C,$A474,Transactions!$D:$D,"Sale")=0,"",maxifs(Transactions!$B:$B,Transactions!$C:$C,$A474,Transactions!$D:$D,"Sale")),"")</f>
        <v/>
      </c>
      <c r="AH474" s="12"/>
    </row>
    <row r="475" customFormat="false" ht="18" hidden="false" customHeight="true" outlineLevel="0" collapsed="false">
      <c r="A475" s="12" t="s">
        <v>882</v>
      </c>
      <c r="B475" s="12" t="s">
        <v>340</v>
      </c>
      <c r="C475" s="12" t="s">
        <v>269</v>
      </c>
      <c r="D475" s="12" t="s">
        <v>333</v>
      </c>
      <c r="E475" s="12" t="s">
        <v>270</v>
      </c>
      <c r="F475" s="12"/>
      <c r="G475" s="12"/>
      <c r="H475" s="12" t="s">
        <v>381</v>
      </c>
      <c r="I475" s="14" t="n">
        <v>17000</v>
      </c>
      <c r="J475" s="18" t="n">
        <f aca="false">IF($I475="","",ROUND($I475*Dropdowns!$K$5,2))</f>
        <v>44.2</v>
      </c>
      <c r="K475" s="19" t="n">
        <f aca="false">IF($I475="","",ROUND($I475*Dropdowns!$K$6,2))</f>
        <v>40.8</v>
      </c>
      <c r="L475" s="20" t="n">
        <f aca="false">IF($I475="","",ROUND($I475*Dropdowns!$K$7,2))</f>
        <v>3485</v>
      </c>
      <c r="M475" s="15" t="str">
        <f aca="false">IFERROR(IF($B475="","",VLOOKUP($B475,Designs!$A$3:$AP$165,27,FALSE())),"")</f>
        <v/>
      </c>
      <c r="N475" s="16" t="str">
        <f aca="false">IFERROR(IF(OR($I475="",$M475="",$M475=0),"",($I475-$M475)/$I475),"")</f>
        <v/>
      </c>
      <c r="O475" s="13" t="n">
        <v>0</v>
      </c>
      <c r="P475" s="13" t="n">
        <v>0</v>
      </c>
      <c r="Q475" s="21" t="n">
        <f aca="false">IF($O475="","",$O475-IF($P475="",0,$P475))</f>
        <v>0</v>
      </c>
      <c r="R475" s="13" t="n">
        <v>2</v>
      </c>
      <c r="S475" s="21" t="str">
        <f aca="false">IF($O475="","",IF($Q475&lt;=$R475,"⚠ REORDER","OK"))</f>
        <v>⚠ REORDER</v>
      </c>
      <c r="T475" s="13"/>
      <c r="U475" s="13"/>
      <c r="V475" s="13" t="s">
        <v>378</v>
      </c>
      <c r="W475" s="12" t="s">
        <v>379</v>
      </c>
      <c r="X475" s="13"/>
      <c r="Y475" s="13"/>
      <c r="Z475" s="12" t="s">
        <v>88</v>
      </c>
      <c r="AA475" s="12" t="s">
        <v>88</v>
      </c>
      <c r="AB475" s="12" t="s">
        <v>88</v>
      </c>
      <c r="AC475" s="12" t="s">
        <v>88</v>
      </c>
      <c r="AD475" s="12" t="s">
        <v>87</v>
      </c>
      <c r="AE475" s="21" t="n">
        <f aca="false">IFERROR(SUMIFS(Transactions!$F:$F,Transactions!$C:$C,$A475,Transactions!$D:$D,"Sale"),0)</f>
        <v>0</v>
      </c>
      <c r="AF475" s="15" t="n">
        <f aca="false">IFERROR(SUMIFS(Transactions!$H:$H,Transactions!$C:$C,$A475,Transactions!$D:$D,"Sale"),0)</f>
        <v>0</v>
      </c>
      <c r="AG475" s="22" t="str">
        <f aca="false">IFERROR(IF(maxifs(Transactions!$B:$B,Transactions!$C:$C,$A475,Transactions!$D:$D,"Sale")=0,"",maxifs(Transactions!$B:$B,Transactions!$C:$C,$A475,Transactions!$D:$D,"Sale")),"")</f>
        <v/>
      </c>
      <c r="AH475" s="12"/>
    </row>
    <row r="476" customFormat="false" ht="18" hidden="false" customHeight="true" outlineLevel="0" collapsed="false">
      <c r="A476" s="12" t="s">
        <v>883</v>
      </c>
      <c r="B476" s="12" t="s">
        <v>340</v>
      </c>
      <c r="C476" s="12" t="s">
        <v>269</v>
      </c>
      <c r="D476" s="12" t="s">
        <v>333</v>
      </c>
      <c r="E476" s="12" t="s">
        <v>270</v>
      </c>
      <c r="F476" s="12"/>
      <c r="G476" s="12"/>
      <c r="H476" s="12" t="s">
        <v>655</v>
      </c>
      <c r="I476" s="14" t="n">
        <v>17000</v>
      </c>
      <c r="J476" s="18" t="n">
        <f aca="false">IF($I476="","",ROUND($I476*Dropdowns!$K$5,2))</f>
        <v>44.2</v>
      </c>
      <c r="K476" s="19" t="n">
        <f aca="false">IF($I476="","",ROUND($I476*Dropdowns!$K$6,2))</f>
        <v>40.8</v>
      </c>
      <c r="L476" s="20" t="n">
        <f aca="false">IF($I476="","",ROUND($I476*Dropdowns!$K$7,2))</f>
        <v>3485</v>
      </c>
      <c r="M476" s="15" t="str">
        <f aca="false">IFERROR(IF($B476="","",VLOOKUP($B476,Designs!$A$3:$AP$165,27,FALSE())),"")</f>
        <v/>
      </c>
      <c r="N476" s="16" t="str">
        <f aca="false">IFERROR(IF(OR($I476="",$M476="",$M476=0),"",($I476-$M476)/$I476),"")</f>
        <v/>
      </c>
      <c r="O476" s="13" t="n">
        <v>0</v>
      </c>
      <c r="P476" s="13" t="n">
        <v>0</v>
      </c>
      <c r="Q476" s="21" t="n">
        <f aca="false">IF($O476="","",$O476-IF($P476="",0,$P476))</f>
        <v>0</v>
      </c>
      <c r="R476" s="13" t="n">
        <v>2</v>
      </c>
      <c r="S476" s="21" t="str">
        <f aca="false">IF($O476="","",IF($Q476&lt;=$R476,"⚠ REORDER","OK"))</f>
        <v>⚠ REORDER</v>
      </c>
      <c r="T476" s="13"/>
      <c r="U476" s="13"/>
      <c r="V476" s="13" t="s">
        <v>378</v>
      </c>
      <c r="W476" s="12" t="s">
        <v>379</v>
      </c>
      <c r="X476" s="13"/>
      <c r="Y476" s="13"/>
      <c r="Z476" s="12" t="s">
        <v>88</v>
      </c>
      <c r="AA476" s="12" t="s">
        <v>88</v>
      </c>
      <c r="AB476" s="12" t="s">
        <v>88</v>
      </c>
      <c r="AC476" s="12" t="s">
        <v>88</v>
      </c>
      <c r="AD476" s="12" t="s">
        <v>87</v>
      </c>
      <c r="AE476" s="21" t="n">
        <f aca="false">IFERROR(SUMIFS(Transactions!$F:$F,Transactions!$C:$C,$A476,Transactions!$D:$D,"Sale"),0)</f>
        <v>0</v>
      </c>
      <c r="AF476" s="15" t="n">
        <f aca="false">IFERROR(SUMIFS(Transactions!$H:$H,Transactions!$C:$C,$A476,Transactions!$D:$D,"Sale"),0)</f>
        <v>0</v>
      </c>
      <c r="AG476" s="22" t="str">
        <f aca="false">IFERROR(IF(maxifs(Transactions!$B:$B,Transactions!$C:$C,$A476,Transactions!$D:$D,"Sale")=0,"",maxifs(Transactions!$B:$B,Transactions!$C:$C,$A476,Transactions!$D:$D,"Sale")),"")</f>
        <v/>
      </c>
      <c r="AH476" s="12"/>
    </row>
  </sheetData>
  <mergeCells count="6">
    <mergeCell ref="A1:H1"/>
    <mergeCell ref="I1:N1"/>
    <mergeCell ref="O1:S1"/>
    <mergeCell ref="T1:Y1"/>
    <mergeCell ref="Z1:AC1"/>
    <mergeCell ref="AD1:AH1"/>
  </mergeCells>
  <dataValidations count="2">
    <dataValidation allowBlank="true" errorStyle="stop" operator="between" showDropDown="false" showErrorMessage="true" showInputMessage="false" sqref="AD3:AD476" type="list">
      <formula1>Dropdowns!$A$5:$A$10</formula1>
      <formula2>0</formula2>
    </dataValidation>
    <dataValidation allowBlank="true" errorStyle="stop" operator="between" showDropDown="false" showErrorMessage="false" showInputMessage="false" sqref="Z3:AC47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23" t="s">
        <v>884</v>
      </c>
      <c r="B1" s="23" t="s">
        <v>885</v>
      </c>
      <c r="C1" s="23" t="s">
        <v>886</v>
      </c>
      <c r="D1" s="23" t="s">
        <v>887</v>
      </c>
      <c r="E1" s="23" t="s">
        <v>888</v>
      </c>
      <c r="F1" s="23" t="s">
        <v>889</v>
      </c>
      <c r="G1" s="23" t="s">
        <v>890</v>
      </c>
      <c r="H1" s="23" t="s">
        <v>891</v>
      </c>
      <c r="I1" s="23" t="s">
        <v>892</v>
      </c>
      <c r="J1" s="23" t="s">
        <v>893</v>
      </c>
      <c r="K1" s="23" t="s">
        <v>75</v>
      </c>
    </row>
    <row r="2" customFormat="false" ht="15.75" hidden="false" customHeight="true" outlineLevel="0" collapsed="false">
      <c r="A2" s="24" t="s">
        <v>894</v>
      </c>
      <c r="B2" s="25" t="n">
        <v>46152</v>
      </c>
      <c r="C2" s="24" t="s">
        <v>376</v>
      </c>
      <c r="D2" s="24" t="s">
        <v>895</v>
      </c>
      <c r="E2" s="24" t="s">
        <v>896</v>
      </c>
      <c r="F2" s="24" t="n">
        <v>1</v>
      </c>
      <c r="G2" s="26" t="n">
        <v>19000</v>
      </c>
      <c r="H2" s="27" t="n">
        <f aca="false">IF(OR($F2="",$G2=""),"",$F2*$G2)</f>
        <v>19000</v>
      </c>
      <c r="I2" s="24" t="s">
        <v>897</v>
      </c>
      <c r="J2" s="24" t="s">
        <v>898</v>
      </c>
      <c r="K2" s="24"/>
    </row>
    <row r="3" customFormat="false" ht="15.75" hidden="false" customHeight="true" outlineLevel="0" collapsed="false">
      <c r="A3" s="24" t="s">
        <v>899</v>
      </c>
      <c r="B3" s="25" t="n">
        <v>46154</v>
      </c>
      <c r="C3" s="24" t="s">
        <v>672</v>
      </c>
      <c r="D3" s="24" t="s">
        <v>895</v>
      </c>
      <c r="E3" s="24" t="s">
        <v>900</v>
      </c>
      <c r="F3" s="24" t="n">
        <v>1</v>
      </c>
      <c r="G3" s="26" t="n">
        <v>27000</v>
      </c>
      <c r="H3" s="27" t="n">
        <f aca="false">IF(OR($F3="",$G3=""),"",$F3*$G3)</f>
        <v>27000</v>
      </c>
      <c r="I3" s="24"/>
      <c r="J3" s="24"/>
      <c r="K3" s="24" t="s">
        <v>901</v>
      </c>
    </row>
    <row r="4" customFormat="false" ht="15.75" hidden="false" customHeight="true" outlineLevel="0" collapsed="false">
      <c r="A4" s="24" t="s">
        <v>902</v>
      </c>
      <c r="B4" s="25" t="n">
        <v>46157</v>
      </c>
      <c r="C4" s="24" t="s">
        <v>376</v>
      </c>
      <c r="D4" s="24" t="s">
        <v>903</v>
      </c>
      <c r="E4" s="24"/>
      <c r="F4" s="24" t="n">
        <v>10</v>
      </c>
      <c r="G4" s="26" t="n">
        <v>0</v>
      </c>
      <c r="H4" s="27" t="n">
        <f aca="false">IF(OR($F4="",$G4=""),"",$F4*$G4)</f>
        <v>0</v>
      </c>
      <c r="I4" s="24"/>
      <c r="J4" s="24"/>
      <c r="K4" s="24" t="s">
        <v>904</v>
      </c>
    </row>
    <row r="5" customFormat="false" ht="15.75" hidden="false" customHeight="true" outlineLevel="0" collapsed="false">
      <c r="A5" s="13"/>
      <c r="B5" s="28"/>
      <c r="C5" s="13"/>
      <c r="D5" s="13"/>
      <c r="E5" s="13"/>
      <c r="F5" s="14"/>
      <c r="G5" s="14"/>
      <c r="H5" s="15" t="str">
        <f aca="false">IF(OR($F5="",$G5=""),"",$F5*$G5)</f>
        <v/>
      </c>
      <c r="I5" s="13"/>
      <c r="J5" s="13"/>
      <c r="K5" s="13"/>
    </row>
    <row r="6" customFormat="false" ht="15.75" hidden="false" customHeight="true" outlineLevel="0" collapsed="false">
      <c r="A6" s="13"/>
      <c r="B6" s="28"/>
      <c r="C6" s="13"/>
      <c r="D6" s="13"/>
      <c r="E6" s="13"/>
      <c r="F6" s="14"/>
      <c r="G6" s="14"/>
      <c r="H6" s="15" t="str">
        <f aca="false">IF(OR($F6="",$G6=""),"",$F6*$G6)</f>
        <v/>
      </c>
      <c r="I6" s="13"/>
      <c r="J6" s="13"/>
      <c r="K6" s="13"/>
    </row>
    <row r="7" customFormat="false" ht="15.75" hidden="false" customHeight="true" outlineLevel="0" collapsed="false">
      <c r="A7" s="13"/>
      <c r="B7" s="28"/>
      <c r="C7" s="13"/>
      <c r="D7" s="13"/>
      <c r="E7" s="13"/>
      <c r="F7" s="14"/>
      <c r="G7" s="14"/>
      <c r="H7" s="15" t="str">
        <f aca="false">IF(OR($F7="",$G7=""),"",$F7*$G7)</f>
        <v/>
      </c>
      <c r="I7" s="13"/>
      <c r="J7" s="13"/>
      <c r="K7" s="13"/>
    </row>
    <row r="8" customFormat="false" ht="15.75" hidden="false" customHeight="true" outlineLevel="0" collapsed="false">
      <c r="A8" s="13"/>
      <c r="B8" s="28"/>
      <c r="C8" s="13"/>
      <c r="D8" s="13"/>
      <c r="E8" s="13"/>
      <c r="F8" s="14"/>
      <c r="G8" s="14"/>
      <c r="H8" s="15" t="str">
        <f aca="false">IF(OR($F8="",$G8=""),"",$F8*$G8)</f>
        <v/>
      </c>
      <c r="I8" s="13"/>
      <c r="J8" s="13"/>
      <c r="K8" s="13"/>
    </row>
    <row r="9" customFormat="false" ht="15.75" hidden="false" customHeight="true" outlineLevel="0" collapsed="false">
      <c r="A9" s="13"/>
      <c r="B9" s="28"/>
      <c r="C9" s="13"/>
      <c r="D9" s="13"/>
      <c r="E9" s="13"/>
      <c r="F9" s="14"/>
      <c r="G9" s="14"/>
      <c r="H9" s="15" t="str">
        <f aca="false">IF(OR($F9="",$G9=""),"",$F9*$G9)</f>
        <v/>
      </c>
      <c r="I9" s="13"/>
      <c r="J9" s="13"/>
      <c r="K9" s="13"/>
    </row>
    <row r="10" customFormat="false" ht="15.75" hidden="false" customHeight="true" outlineLevel="0" collapsed="false">
      <c r="A10" s="13"/>
      <c r="B10" s="28"/>
      <c r="C10" s="13"/>
      <c r="D10" s="13"/>
      <c r="E10" s="13"/>
      <c r="F10" s="14"/>
      <c r="G10" s="14"/>
      <c r="H10" s="15" t="str">
        <f aca="false">IF(OR($F10="",$G10=""),"",$F10*$G10)</f>
        <v/>
      </c>
      <c r="I10" s="13"/>
      <c r="J10" s="13"/>
      <c r="K10" s="13"/>
    </row>
    <row r="11" customFormat="false" ht="15.75" hidden="false" customHeight="true" outlineLevel="0" collapsed="false">
      <c r="A11" s="13"/>
      <c r="B11" s="28"/>
      <c r="C11" s="13"/>
      <c r="D11" s="13"/>
      <c r="E11" s="13"/>
      <c r="F11" s="14"/>
      <c r="G11" s="14"/>
      <c r="H11" s="15" t="str">
        <f aca="false">IF(OR($F11="",$G11=""),"",$F11*$G11)</f>
        <v/>
      </c>
      <c r="I11" s="13"/>
      <c r="J11" s="13"/>
      <c r="K11" s="13"/>
    </row>
    <row r="12" customFormat="false" ht="15.75" hidden="false" customHeight="true" outlineLevel="0" collapsed="false">
      <c r="A12" s="13"/>
      <c r="B12" s="28"/>
      <c r="C12" s="13"/>
      <c r="D12" s="13"/>
      <c r="E12" s="13"/>
      <c r="F12" s="14"/>
      <c r="G12" s="14"/>
      <c r="H12" s="15" t="str">
        <f aca="false">IF(OR($F12="",$G12=""),"",$F12*$G12)</f>
        <v/>
      </c>
      <c r="I12" s="13"/>
      <c r="J12" s="13"/>
      <c r="K12" s="13"/>
    </row>
    <row r="13" customFormat="false" ht="15.75" hidden="false" customHeight="true" outlineLevel="0" collapsed="false">
      <c r="A13" s="13"/>
      <c r="B13" s="28"/>
      <c r="C13" s="13"/>
      <c r="D13" s="13"/>
      <c r="E13" s="13"/>
      <c r="F13" s="14"/>
      <c r="G13" s="14"/>
      <c r="H13" s="15" t="str">
        <f aca="false">IF(OR($F13="",$G13=""),"",$F13*$G13)</f>
        <v/>
      </c>
      <c r="I13" s="13"/>
      <c r="J13" s="13"/>
      <c r="K13" s="13"/>
    </row>
    <row r="14" customFormat="false" ht="15.75" hidden="false" customHeight="true" outlineLevel="0" collapsed="false">
      <c r="A14" s="13"/>
      <c r="B14" s="28"/>
      <c r="C14" s="13"/>
      <c r="D14" s="13"/>
      <c r="E14" s="13"/>
      <c r="F14" s="14"/>
      <c r="G14" s="14"/>
      <c r="H14" s="15" t="str">
        <f aca="false">IF(OR($F14="",$G14=""),"",$F14*$G14)</f>
        <v/>
      </c>
      <c r="I14" s="13"/>
      <c r="J14" s="13"/>
      <c r="K14" s="13"/>
    </row>
    <row r="15" customFormat="false" ht="15.75" hidden="false" customHeight="true" outlineLevel="0" collapsed="false">
      <c r="A15" s="13"/>
      <c r="B15" s="28"/>
      <c r="C15" s="13"/>
      <c r="D15" s="13"/>
      <c r="E15" s="13"/>
      <c r="F15" s="14"/>
      <c r="G15" s="14"/>
      <c r="H15" s="15" t="str">
        <f aca="false">IF(OR($F15="",$G15=""),"",$F15*$G15)</f>
        <v/>
      </c>
      <c r="I15" s="13"/>
      <c r="J15" s="13"/>
      <c r="K15" s="13"/>
    </row>
    <row r="16" customFormat="false" ht="15.75" hidden="false" customHeight="true" outlineLevel="0" collapsed="false">
      <c r="A16" s="13"/>
      <c r="B16" s="28"/>
      <c r="C16" s="13"/>
      <c r="D16" s="13"/>
      <c r="E16" s="13"/>
      <c r="F16" s="14"/>
      <c r="G16" s="14"/>
      <c r="H16" s="15" t="str">
        <f aca="false">IF(OR($F16="",$G16=""),"",$F16*$G16)</f>
        <v/>
      </c>
      <c r="I16" s="13"/>
      <c r="J16" s="13"/>
      <c r="K16" s="13"/>
    </row>
    <row r="17" customFormat="false" ht="15.75" hidden="false" customHeight="true" outlineLevel="0" collapsed="false">
      <c r="A17" s="13"/>
      <c r="B17" s="28"/>
      <c r="C17" s="13"/>
      <c r="D17" s="13"/>
      <c r="E17" s="13"/>
      <c r="F17" s="14"/>
      <c r="G17" s="14"/>
      <c r="H17" s="15" t="str">
        <f aca="false">IF(OR($F17="",$G17=""),"",$F17*$G17)</f>
        <v/>
      </c>
      <c r="I17" s="13"/>
      <c r="J17" s="13"/>
      <c r="K17" s="13"/>
    </row>
    <row r="18" customFormat="false" ht="15.75" hidden="false" customHeight="true" outlineLevel="0" collapsed="false">
      <c r="A18" s="13"/>
      <c r="B18" s="28"/>
      <c r="C18" s="13"/>
      <c r="D18" s="13"/>
      <c r="E18" s="13"/>
      <c r="F18" s="14"/>
      <c r="G18" s="14"/>
      <c r="H18" s="15" t="str">
        <f aca="false">IF(OR($F18="",$G18=""),"",$F18*$G18)</f>
        <v/>
      </c>
      <c r="I18" s="13"/>
      <c r="J18" s="13"/>
      <c r="K18" s="13"/>
    </row>
    <row r="19" customFormat="false" ht="15.75" hidden="false" customHeight="true" outlineLevel="0" collapsed="false">
      <c r="A19" s="13"/>
      <c r="B19" s="28"/>
      <c r="C19" s="13"/>
      <c r="D19" s="13"/>
      <c r="E19" s="13"/>
      <c r="F19" s="14"/>
      <c r="G19" s="14"/>
      <c r="H19" s="15" t="str">
        <f aca="false">IF(OR($F19="",$G19=""),"",$F19*$G19)</f>
        <v/>
      </c>
      <c r="I19" s="13"/>
      <c r="J19" s="13"/>
      <c r="K19" s="13"/>
    </row>
    <row r="20" customFormat="false" ht="15.75" hidden="false" customHeight="true" outlineLevel="0" collapsed="false">
      <c r="A20" s="13"/>
      <c r="B20" s="28"/>
      <c r="C20" s="13"/>
      <c r="D20" s="13"/>
      <c r="E20" s="13"/>
      <c r="F20" s="14"/>
      <c r="G20" s="14"/>
      <c r="H20" s="15" t="str">
        <f aca="false">IF(OR($F20="",$G20=""),"",$F20*$G20)</f>
        <v/>
      </c>
      <c r="I20" s="13"/>
      <c r="J20" s="13"/>
      <c r="K20" s="13"/>
    </row>
    <row r="21" customFormat="false" ht="15.75" hidden="false" customHeight="true" outlineLevel="0" collapsed="false">
      <c r="A21" s="13"/>
      <c r="B21" s="28"/>
      <c r="C21" s="13"/>
      <c r="D21" s="13"/>
      <c r="E21" s="13"/>
      <c r="F21" s="14"/>
      <c r="G21" s="14"/>
      <c r="H21" s="15" t="str">
        <f aca="false">IF(OR($F21="",$G21=""),"",$F21*$G21)</f>
        <v/>
      </c>
      <c r="I21" s="13"/>
      <c r="J21" s="13"/>
      <c r="K21" s="13"/>
    </row>
    <row r="22" customFormat="false" ht="15.75" hidden="false" customHeight="true" outlineLevel="0" collapsed="false">
      <c r="A22" s="13"/>
      <c r="B22" s="28"/>
      <c r="C22" s="13"/>
      <c r="D22" s="13"/>
      <c r="E22" s="13"/>
      <c r="F22" s="14"/>
      <c r="G22" s="14"/>
      <c r="H22" s="15" t="str">
        <f aca="false">IF(OR($F22="",$G22=""),"",$F22*$G22)</f>
        <v/>
      </c>
      <c r="I22" s="13"/>
      <c r="J22" s="13"/>
      <c r="K22" s="13"/>
    </row>
    <row r="23" customFormat="false" ht="15.75" hidden="false" customHeight="true" outlineLevel="0" collapsed="false">
      <c r="A23" s="13"/>
      <c r="B23" s="28"/>
      <c r="C23" s="13"/>
      <c r="D23" s="13"/>
      <c r="E23" s="13"/>
      <c r="F23" s="14"/>
      <c r="G23" s="14"/>
      <c r="H23" s="15" t="str">
        <f aca="false">IF(OR($F23="",$G23=""),"",$F23*$G23)</f>
        <v/>
      </c>
      <c r="I23" s="13"/>
      <c r="J23" s="13"/>
      <c r="K23" s="13"/>
    </row>
    <row r="24" customFormat="false" ht="15.75" hidden="false" customHeight="true" outlineLevel="0" collapsed="false">
      <c r="A24" s="13"/>
      <c r="B24" s="28"/>
      <c r="C24" s="13"/>
      <c r="D24" s="13"/>
      <c r="E24" s="13"/>
      <c r="F24" s="14"/>
      <c r="G24" s="14"/>
      <c r="H24" s="15" t="str">
        <f aca="false">IF(OR($F24="",$G24=""),"",$F24*$G24)</f>
        <v/>
      </c>
      <c r="I24" s="13"/>
      <c r="J24" s="13"/>
      <c r="K24" s="13"/>
    </row>
    <row r="25" customFormat="false" ht="15.75" hidden="false" customHeight="true" outlineLevel="0" collapsed="false">
      <c r="A25" s="13"/>
      <c r="B25" s="28"/>
      <c r="C25" s="13"/>
      <c r="D25" s="13"/>
      <c r="E25" s="13"/>
      <c r="F25" s="14"/>
      <c r="G25" s="14"/>
      <c r="H25" s="15" t="str">
        <f aca="false">IF(OR($F25="",$G25=""),"",$F25*$G25)</f>
        <v/>
      </c>
      <c r="I25" s="13"/>
      <c r="J25" s="13"/>
      <c r="K25" s="13"/>
    </row>
    <row r="26" customFormat="false" ht="15.75" hidden="false" customHeight="true" outlineLevel="0" collapsed="false">
      <c r="A26" s="13"/>
      <c r="B26" s="28"/>
      <c r="C26" s="13"/>
      <c r="D26" s="13"/>
      <c r="E26" s="13"/>
      <c r="F26" s="14"/>
      <c r="G26" s="14"/>
      <c r="H26" s="15" t="str">
        <f aca="false">IF(OR($F26="",$G26=""),"",$F26*$G26)</f>
        <v/>
      </c>
      <c r="I26" s="13"/>
      <c r="J26" s="13"/>
      <c r="K26" s="13"/>
    </row>
    <row r="27" customFormat="false" ht="15.75" hidden="false" customHeight="true" outlineLevel="0" collapsed="false">
      <c r="A27" s="13"/>
      <c r="B27" s="28"/>
      <c r="C27" s="13"/>
      <c r="D27" s="13"/>
      <c r="E27" s="13"/>
      <c r="F27" s="14"/>
      <c r="G27" s="14"/>
      <c r="H27" s="15" t="str">
        <f aca="false">IF(OR($F27="",$G27=""),"",$F27*$G27)</f>
        <v/>
      </c>
      <c r="I27" s="13"/>
      <c r="J27" s="13"/>
      <c r="K27" s="13"/>
    </row>
    <row r="28" customFormat="false" ht="15.75" hidden="false" customHeight="true" outlineLevel="0" collapsed="false">
      <c r="A28" s="13"/>
      <c r="B28" s="28"/>
      <c r="C28" s="13"/>
      <c r="D28" s="13"/>
      <c r="E28" s="13"/>
      <c r="F28" s="14"/>
      <c r="G28" s="14"/>
      <c r="H28" s="15" t="str">
        <f aca="false">IF(OR($F28="",$G28=""),"",$F28*$G28)</f>
        <v/>
      </c>
      <c r="I28" s="13"/>
      <c r="J28" s="13"/>
      <c r="K28" s="13"/>
    </row>
    <row r="29" customFormat="false" ht="15.75" hidden="false" customHeight="true" outlineLevel="0" collapsed="false">
      <c r="A29" s="13"/>
      <c r="B29" s="28"/>
      <c r="C29" s="13"/>
      <c r="D29" s="13"/>
      <c r="E29" s="13"/>
      <c r="F29" s="14"/>
      <c r="G29" s="14"/>
      <c r="H29" s="15" t="str">
        <f aca="false">IF(OR($F29="",$G29=""),"",$F29*$G29)</f>
        <v/>
      </c>
      <c r="I29" s="13"/>
      <c r="J29" s="13"/>
      <c r="K29" s="13"/>
    </row>
    <row r="30" customFormat="false" ht="15.75" hidden="false" customHeight="true" outlineLevel="0" collapsed="false">
      <c r="A30" s="13"/>
      <c r="B30" s="28"/>
      <c r="C30" s="13"/>
      <c r="D30" s="13"/>
      <c r="E30" s="13"/>
      <c r="F30" s="14"/>
      <c r="G30" s="14"/>
      <c r="H30" s="15" t="str">
        <f aca="false">IF(OR($F30="",$G30=""),"",$F30*$G30)</f>
        <v/>
      </c>
      <c r="I30" s="13"/>
      <c r="J30" s="13"/>
      <c r="K30" s="13"/>
    </row>
    <row r="31" customFormat="false" ht="15.75" hidden="false" customHeight="true" outlineLevel="0" collapsed="false">
      <c r="A31" s="13"/>
      <c r="B31" s="28"/>
      <c r="C31" s="13"/>
      <c r="D31" s="13"/>
      <c r="E31" s="13"/>
      <c r="F31" s="14"/>
      <c r="G31" s="14"/>
      <c r="H31" s="15" t="str">
        <f aca="false">IF(OR($F31="",$G31=""),"",$F31*$G31)</f>
        <v/>
      </c>
      <c r="I31" s="13"/>
      <c r="J31" s="13"/>
      <c r="K31" s="13"/>
    </row>
    <row r="32" customFormat="false" ht="15.75" hidden="false" customHeight="true" outlineLevel="0" collapsed="false">
      <c r="A32" s="13"/>
      <c r="B32" s="28"/>
      <c r="C32" s="13"/>
      <c r="D32" s="13"/>
      <c r="E32" s="13"/>
      <c r="F32" s="14"/>
      <c r="G32" s="14"/>
      <c r="H32" s="15" t="str">
        <f aca="false">IF(OR($F32="",$G32=""),"",$F32*$G32)</f>
        <v/>
      </c>
      <c r="I32" s="13"/>
      <c r="J32" s="13"/>
      <c r="K32" s="13"/>
    </row>
    <row r="33" customFormat="false" ht="15.75" hidden="false" customHeight="true" outlineLevel="0" collapsed="false">
      <c r="A33" s="13"/>
      <c r="B33" s="28"/>
      <c r="C33" s="13"/>
      <c r="D33" s="13"/>
      <c r="E33" s="13"/>
      <c r="F33" s="14"/>
      <c r="G33" s="14"/>
      <c r="H33" s="15" t="str">
        <f aca="false">IF(OR($F33="",$G33=""),"",$F33*$G33)</f>
        <v/>
      </c>
      <c r="I33" s="13"/>
      <c r="J33" s="13"/>
      <c r="K33" s="13"/>
    </row>
    <row r="34" customFormat="false" ht="15.75" hidden="false" customHeight="true" outlineLevel="0" collapsed="false">
      <c r="A34" s="13"/>
      <c r="B34" s="28"/>
      <c r="C34" s="13"/>
      <c r="D34" s="13"/>
      <c r="E34" s="13"/>
      <c r="F34" s="14"/>
      <c r="G34" s="14"/>
      <c r="H34" s="15" t="str">
        <f aca="false">IF(OR($F34="",$G34=""),"",$F34*$G34)</f>
        <v/>
      </c>
      <c r="I34" s="13"/>
      <c r="J34" s="13"/>
      <c r="K34" s="13"/>
    </row>
    <row r="35" customFormat="false" ht="15.75" hidden="false" customHeight="true" outlineLevel="0" collapsed="false">
      <c r="A35" s="13"/>
      <c r="B35" s="28"/>
      <c r="C35" s="13"/>
      <c r="D35" s="13"/>
      <c r="E35" s="13"/>
      <c r="F35" s="14"/>
      <c r="G35" s="14"/>
      <c r="H35" s="15" t="str">
        <f aca="false">IF(OR($F35="",$G35=""),"",$F35*$G35)</f>
        <v/>
      </c>
      <c r="I35" s="13"/>
      <c r="J35" s="13"/>
      <c r="K35" s="13"/>
    </row>
    <row r="36" customFormat="false" ht="15.75" hidden="false" customHeight="true" outlineLevel="0" collapsed="false">
      <c r="A36" s="13"/>
      <c r="B36" s="28"/>
      <c r="C36" s="13"/>
      <c r="D36" s="13"/>
      <c r="E36" s="13"/>
      <c r="F36" s="14"/>
      <c r="G36" s="14"/>
      <c r="H36" s="15" t="str">
        <f aca="false">IF(OR($F36="",$G36=""),"",$F36*$G36)</f>
        <v/>
      </c>
      <c r="I36" s="13"/>
      <c r="J36" s="13"/>
      <c r="K36" s="13"/>
    </row>
    <row r="37" customFormat="false" ht="15.75" hidden="false" customHeight="true" outlineLevel="0" collapsed="false">
      <c r="A37" s="13"/>
      <c r="B37" s="28"/>
      <c r="C37" s="13"/>
      <c r="D37" s="13"/>
      <c r="E37" s="13"/>
      <c r="F37" s="14"/>
      <c r="G37" s="14"/>
      <c r="H37" s="15" t="str">
        <f aca="false">IF(OR($F37="",$G37=""),"",$F37*$G37)</f>
        <v/>
      </c>
      <c r="I37" s="13"/>
      <c r="J37" s="13"/>
      <c r="K37" s="13"/>
    </row>
    <row r="38" customFormat="false" ht="15.75" hidden="false" customHeight="true" outlineLevel="0" collapsed="false">
      <c r="A38" s="13"/>
      <c r="B38" s="28"/>
      <c r="C38" s="13"/>
      <c r="D38" s="13"/>
      <c r="E38" s="13"/>
      <c r="F38" s="14"/>
      <c r="G38" s="14"/>
      <c r="H38" s="15" t="str">
        <f aca="false">IF(OR($F38="",$G38=""),"",$F38*$G38)</f>
        <v/>
      </c>
      <c r="I38" s="13"/>
      <c r="J38" s="13"/>
      <c r="K38" s="13"/>
    </row>
    <row r="39" customFormat="false" ht="15.75" hidden="false" customHeight="true" outlineLevel="0" collapsed="false">
      <c r="A39" s="13"/>
      <c r="B39" s="28"/>
      <c r="C39" s="13"/>
      <c r="D39" s="13"/>
      <c r="E39" s="13"/>
      <c r="F39" s="14"/>
      <c r="G39" s="14"/>
      <c r="H39" s="15" t="str">
        <f aca="false">IF(OR($F39="",$G39=""),"",$F39*$G39)</f>
        <v/>
      </c>
      <c r="I39" s="13"/>
      <c r="J39" s="13"/>
      <c r="K39" s="13"/>
    </row>
    <row r="40" customFormat="false" ht="15.75" hidden="false" customHeight="true" outlineLevel="0" collapsed="false">
      <c r="A40" s="13"/>
      <c r="B40" s="28"/>
      <c r="C40" s="13"/>
      <c r="D40" s="13"/>
      <c r="E40" s="13"/>
      <c r="F40" s="14"/>
      <c r="G40" s="14"/>
      <c r="H40" s="15" t="str">
        <f aca="false">IF(OR($F40="",$G40=""),"",$F40*$G40)</f>
        <v/>
      </c>
      <c r="I40" s="13"/>
      <c r="J40" s="13"/>
      <c r="K40" s="13"/>
    </row>
    <row r="41" customFormat="false" ht="15.75" hidden="false" customHeight="true" outlineLevel="0" collapsed="false">
      <c r="A41" s="13"/>
      <c r="B41" s="28"/>
      <c r="C41" s="13"/>
      <c r="D41" s="13"/>
      <c r="E41" s="13"/>
      <c r="F41" s="14"/>
      <c r="G41" s="14"/>
      <c r="H41" s="15" t="str">
        <f aca="false">IF(OR($F41="",$G41=""),"",$F41*$G41)</f>
        <v/>
      </c>
      <c r="I41" s="13"/>
      <c r="J41" s="13"/>
      <c r="K41" s="13"/>
    </row>
    <row r="42" customFormat="false" ht="15.75" hidden="false" customHeight="true" outlineLevel="0" collapsed="false">
      <c r="A42" s="13"/>
      <c r="B42" s="28"/>
      <c r="C42" s="13"/>
      <c r="D42" s="13"/>
      <c r="E42" s="13"/>
      <c r="F42" s="14"/>
      <c r="G42" s="14"/>
      <c r="H42" s="15" t="str">
        <f aca="false">IF(OR($F42="",$G42=""),"",$F42*$G42)</f>
        <v/>
      </c>
      <c r="I42" s="13"/>
      <c r="J42" s="13"/>
      <c r="K42" s="13"/>
    </row>
    <row r="43" customFormat="false" ht="15.75" hidden="false" customHeight="true" outlineLevel="0" collapsed="false">
      <c r="A43" s="13"/>
      <c r="B43" s="28"/>
      <c r="C43" s="13"/>
      <c r="D43" s="13"/>
      <c r="E43" s="13"/>
      <c r="F43" s="14"/>
      <c r="G43" s="14"/>
      <c r="H43" s="15" t="str">
        <f aca="false">IF(OR($F43="",$G43=""),"",$F43*$G43)</f>
        <v/>
      </c>
      <c r="I43" s="13"/>
      <c r="J43" s="13"/>
      <c r="K43" s="13"/>
    </row>
    <row r="44" customFormat="false" ht="15.75" hidden="false" customHeight="true" outlineLevel="0" collapsed="false">
      <c r="A44" s="13"/>
      <c r="B44" s="28"/>
      <c r="C44" s="13"/>
      <c r="D44" s="13"/>
      <c r="E44" s="13"/>
      <c r="F44" s="14"/>
      <c r="G44" s="14"/>
      <c r="H44" s="15" t="str">
        <f aca="false">IF(OR($F44="",$G44=""),"",$F44*$G44)</f>
        <v/>
      </c>
      <c r="I44" s="13"/>
      <c r="J44" s="13"/>
      <c r="K44" s="13"/>
    </row>
    <row r="45" customFormat="false" ht="15.75" hidden="false" customHeight="true" outlineLevel="0" collapsed="false">
      <c r="A45" s="13"/>
      <c r="B45" s="28"/>
      <c r="C45" s="13"/>
      <c r="D45" s="13"/>
      <c r="E45" s="13"/>
      <c r="F45" s="14"/>
      <c r="G45" s="14"/>
      <c r="H45" s="15" t="str">
        <f aca="false">IF(OR($F45="",$G45=""),"",$F45*$G45)</f>
        <v/>
      </c>
      <c r="I45" s="13"/>
      <c r="J45" s="13"/>
      <c r="K45" s="13"/>
    </row>
    <row r="46" customFormat="false" ht="15.75" hidden="false" customHeight="true" outlineLevel="0" collapsed="false">
      <c r="A46" s="13"/>
      <c r="B46" s="28"/>
      <c r="C46" s="13"/>
      <c r="D46" s="13"/>
      <c r="E46" s="13"/>
      <c r="F46" s="14"/>
      <c r="G46" s="14"/>
      <c r="H46" s="15" t="str">
        <f aca="false">IF(OR($F46="",$G46=""),"",$F46*$G46)</f>
        <v/>
      </c>
      <c r="I46" s="13"/>
      <c r="J46" s="13"/>
      <c r="K46" s="13"/>
    </row>
    <row r="47" customFormat="false" ht="15.75" hidden="false" customHeight="true" outlineLevel="0" collapsed="false">
      <c r="A47" s="13"/>
      <c r="B47" s="28"/>
      <c r="C47" s="13"/>
      <c r="D47" s="13"/>
      <c r="E47" s="13"/>
      <c r="F47" s="14"/>
      <c r="G47" s="14"/>
      <c r="H47" s="15" t="str">
        <f aca="false">IF(OR($F47="",$G47=""),"",$F47*$G47)</f>
        <v/>
      </c>
      <c r="I47" s="13"/>
      <c r="J47" s="13"/>
      <c r="K47" s="13"/>
    </row>
    <row r="48" customFormat="false" ht="15.75" hidden="false" customHeight="true" outlineLevel="0" collapsed="false">
      <c r="A48" s="13"/>
      <c r="B48" s="28"/>
      <c r="C48" s="13"/>
      <c r="D48" s="13"/>
      <c r="E48" s="13"/>
      <c r="F48" s="14"/>
      <c r="G48" s="14"/>
      <c r="H48" s="15" t="str">
        <f aca="false">IF(OR($F48="",$G48=""),"",$F48*$G48)</f>
        <v/>
      </c>
      <c r="I48" s="13"/>
      <c r="J48" s="13"/>
      <c r="K48" s="13"/>
    </row>
    <row r="49" customFormat="false" ht="15.75" hidden="false" customHeight="true" outlineLevel="0" collapsed="false">
      <c r="A49" s="13"/>
      <c r="B49" s="28"/>
      <c r="C49" s="13"/>
      <c r="D49" s="13"/>
      <c r="E49" s="13"/>
      <c r="F49" s="14"/>
      <c r="G49" s="14"/>
      <c r="H49" s="15" t="str">
        <f aca="false">IF(OR($F49="",$G49=""),"",$F49*$G49)</f>
        <v/>
      </c>
      <c r="I49" s="13"/>
      <c r="J49" s="13"/>
      <c r="K49" s="13"/>
    </row>
    <row r="50" customFormat="false" ht="15.75" hidden="false" customHeight="true" outlineLevel="0" collapsed="false">
      <c r="A50" s="13"/>
      <c r="B50" s="28"/>
      <c r="C50" s="13"/>
      <c r="D50" s="13"/>
      <c r="E50" s="13"/>
      <c r="F50" s="14"/>
      <c r="G50" s="14"/>
      <c r="H50" s="15" t="str">
        <f aca="false">IF(OR($F50="",$G50=""),"",$F50*$G50)</f>
        <v/>
      </c>
      <c r="I50" s="13"/>
      <c r="J50" s="13"/>
      <c r="K50" s="13"/>
    </row>
    <row r="51" customFormat="false" ht="15.75" hidden="false" customHeight="true" outlineLevel="0" collapsed="false">
      <c r="A51" s="13"/>
      <c r="B51" s="28"/>
      <c r="C51" s="13"/>
      <c r="D51" s="13"/>
      <c r="E51" s="13"/>
      <c r="F51" s="14"/>
      <c r="G51" s="14"/>
      <c r="H51" s="15" t="str">
        <f aca="false">IF(OR($F51="",$G51=""),"",$F51*$G51)</f>
        <v/>
      </c>
      <c r="I51" s="13"/>
      <c r="J51" s="13"/>
      <c r="K51" s="13"/>
    </row>
    <row r="52" customFormat="false" ht="15.75" hidden="false" customHeight="true" outlineLevel="0" collapsed="false">
      <c r="A52" s="13"/>
      <c r="B52" s="28"/>
      <c r="C52" s="13"/>
      <c r="D52" s="13"/>
      <c r="E52" s="13"/>
      <c r="F52" s="14"/>
      <c r="G52" s="14"/>
      <c r="H52" s="15" t="str">
        <f aca="false">IF(OR($F52="",$G52=""),"",$F52*$G52)</f>
        <v/>
      </c>
      <c r="I52" s="13"/>
      <c r="J52" s="13"/>
      <c r="K52" s="13"/>
    </row>
    <row r="53" customFormat="false" ht="15.75" hidden="false" customHeight="true" outlineLevel="0" collapsed="false">
      <c r="A53" s="13"/>
      <c r="B53" s="28"/>
      <c r="C53" s="13"/>
      <c r="D53" s="13"/>
      <c r="E53" s="13"/>
      <c r="F53" s="14"/>
      <c r="G53" s="14"/>
      <c r="H53" s="15" t="str">
        <f aca="false">IF(OR($F53="",$G53=""),"",$F53*$G53)</f>
        <v/>
      </c>
      <c r="I53" s="13"/>
      <c r="J53" s="13"/>
      <c r="K53" s="13"/>
    </row>
    <row r="54" customFormat="false" ht="15.75" hidden="false" customHeight="true" outlineLevel="0" collapsed="false">
      <c r="A54" s="13"/>
      <c r="B54" s="28"/>
      <c r="C54" s="13"/>
      <c r="D54" s="13"/>
      <c r="E54" s="13"/>
      <c r="F54" s="14"/>
      <c r="G54" s="14"/>
      <c r="H54" s="15" t="str">
        <f aca="false">IF(OR($F54="",$G54=""),"",$F54*$G54)</f>
        <v/>
      </c>
      <c r="I54" s="13"/>
      <c r="J54" s="13"/>
      <c r="K54" s="13"/>
    </row>
    <row r="55" customFormat="false" ht="15.75" hidden="false" customHeight="true" outlineLevel="0" collapsed="false">
      <c r="A55" s="13"/>
      <c r="B55" s="28"/>
      <c r="C55" s="13"/>
      <c r="D55" s="13"/>
      <c r="E55" s="13"/>
      <c r="F55" s="14"/>
      <c r="G55" s="14"/>
      <c r="H55" s="15" t="str">
        <f aca="false">IF(OR($F55="",$G55=""),"",$F55*$G55)</f>
        <v/>
      </c>
      <c r="I55" s="13"/>
      <c r="J55" s="13"/>
      <c r="K55" s="13"/>
    </row>
    <row r="56" customFormat="false" ht="15.75" hidden="false" customHeight="true" outlineLevel="0" collapsed="false">
      <c r="A56" s="13"/>
      <c r="B56" s="28"/>
      <c r="C56" s="13"/>
      <c r="D56" s="13"/>
      <c r="E56" s="13"/>
      <c r="F56" s="14"/>
      <c r="G56" s="14"/>
      <c r="H56" s="15" t="str">
        <f aca="false">IF(OR($F56="",$G56=""),"",$F56*$G56)</f>
        <v/>
      </c>
      <c r="I56" s="13"/>
      <c r="J56" s="13"/>
      <c r="K56" s="13"/>
    </row>
    <row r="57" customFormat="false" ht="15.75" hidden="false" customHeight="true" outlineLevel="0" collapsed="false">
      <c r="A57" s="13"/>
      <c r="B57" s="28"/>
      <c r="C57" s="13"/>
      <c r="D57" s="13"/>
      <c r="E57" s="13"/>
      <c r="F57" s="14"/>
      <c r="G57" s="14"/>
      <c r="H57" s="15" t="str">
        <f aca="false">IF(OR($F57="",$G57=""),"",$F57*$G57)</f>
        <v/>
      </c>
      <c r="I57" s="13"/>
      <c r="J57" s="13"/>
      <c r="K57" s="13"/>
    </row>
    <row r="58" customFormat="false" ht="15.75" hidden="false" customHeight="true" outlineLevel="0" collapsed="false">
      <c r="A58" s="13"/>
      <c r="B58" s="28"/>
      <c r="C58" s="13"/>
      <c r="D58" s="13"/>
      <c r="E58" s="13"/>
      <c r="F58" s="14"/>
      <c r="G58" s="14"/>
      <c r="H58" s="15" t="str">
        <f aca="false">IF(OR($F58="",$G58=""),"",$F58*$G58)</f>
        <v/>
      </c>
      <c r="I58" s="13"/>
      <c r="J58" s="13"/>
      <c r="K58" s="13"/>
    </row>
    <row r="59" customFormat="false" ht="15.75" hidden="false" customHeight="true" outlineLevel="0" collapsed="false">
      <c r="A59" s="13"/>
      <c r="B59" s="28"/>
      <c r="C59" s="13"/>
      <c r="D59" s="13"/>
      <c r="E59" s="13"/>
      <c r="F59" s="14"/>
      <c r="G59" s="14"/>
      <c r="H59" s="15" t="str">
        <f aca="false">IF(OR($F59="",$G59=""),"",$F59*$G59)</f>
        <v/>
      </c>
      <c r="I59" s="13"/>
      <c r="J59" s="13"/>
      <c r="K59" s="13"/>
    </row>
    <row r="60" customFormat="false" ht="15.75" hidden="false" customHeight="true" outlineLevel="0" collapsed="false">
      <c r="A60" s="13"/>
      <c r="B60" s="28"/>
      <c r="C60" s="13"/>
      <c r="D60" s="13"/>
      <c r="E60" s="13"/>
      <c r="F60" s="14"/>
      <c r="G60" s="14"/>
      <c r="H60" s="15" t="str">
        <f aca="false">IF(OR($F60="",$G60=""),"",$F60*$G60)</f>
        <v/>
      </c>
      <c r="I60" s="13"/>
      <c r="J60" s="13"/>
      <c r="K60" s="13"/>
    </row>
    <row r="61" customFormat="false" ht="15.75" hidden="false" customHeight="true" outlineLevel="0" collapsed="false">
      <c r="A61" s="13"/>
      <c r="B61" s="28"/>
      <c r="C61" s="13"/>
      <c r="D61" s="13"/>
      <c r="E61" s="13"/>
      <c r="F61" s="14"/>
      <c r="G61" s="14"/>
      <c r="H61" s="15" t="str">
        <f aca="false">IF(OR($F61="",$G61=""),"",$F61*$G61)</f>
        <v/>
      </c>
      <c r="I61" s="13"/>
      <c r="J61" s="13"/>
      <c r="K61" s="13"/>
    </row>
    <row r="62" customFormat="false" ht="15.75" hidden="false" customHeight="true" outlineLevel="0" collapsed="false">
      <c r="A62" s="13"/>
      <c r="B62" s="28"/>
      <c r="C62" s="13"/>
      <c r="D62" s="13"/>
      <c r="E62" s="13"/>
      <c r="F62" s="14"/>
      <c r="G62" s="14"/>
      <c r="H62" s="15" t="str">
        <f aca="false">IF(OR($F62="",$G62=""),"",$F62*$G62)</f>
        <v/>
      </c>
      <c r="I62" s="13"/>
      <c r="J62" s="13"/>
      <c r="K62" s="13"/>
    </row>
    <row r="63" customFormat="false" ht="15.75" hidden="false" customHeight="true" outlineLevel="0" collapsed="false">
      <c r="A63" s="13"/>
      <c r="B63" s="28"/>
      <c r="C63" s="13"/>
      <c r="D63" s="13"/>
      <c r="E63" s="13"/>
      <c r="F63" s="14"/>
      <c r="G63" s="14"/>
      <c r="H63" s="15" t="str">
        <f aca="false">IF(OR($F63="",$G63=""),"",$F63*$G63)</f>
        <v/>
      </c>
      <c r="I63" s="13"/>
      <c r="J63" s="13"/>
      <c r="K63" s="13"/>
    </row>
    <row r="64" customFormat="false" ht="15.75" hidden="false" customHeight="true" outlineLevel="0" collapsed="false">
      <c r="A64" s="13"/>
      <c r="B64" s="28"/>
      <c r="C64" s="13"/>
      <c r="D64" s="13"/>
      <c r="E64" s="13"/>
      <c r="F64" s="14"/>
      <c r="G64" s="14"/>
      <c r="H64" s="15" t="str">
        <f aca="false">IF(OR($F64="",$G64=""),"",$F64*$G64)</f>
        <v/>
      </c>
      <c r="I64" s="13"/>
      <c r="J64" s="13"/>
      <c r="K64" s="13"/>
    </row>
    <row r="65" customFormat="false" ht="15.75" hidden="false" customHeight="true" outlineLevel="0" collapsed="false">
      <c r="A65" s="13"/>
      <c r="B65" s="28"/>
      <c r="C65" s="13"/>
      <c r="D65" s="13"/>
      <c r="E65" s="13"/>
      <c r="F65" s="14"/>
      <c r="G65" s="14"/>
      <c r="H65" s="15" t="str">
        <f aca="false">IF(OR($F65="",$G65=""),"",$F65*$G65)</f>
        <v/>
      </c>
      <c r="I65" s="13"/>
      <c r="J65" s="13"/>
      <c r="K65" s="13"/>
    </row>
    <row r="66" customFormat="false" ht="15.75" hidden="false" customHeight="true" outlineLevel="0" collapsed="false">
      <c r="A66" s="13"/>
      <c r="B66" s="28"/>
      <c r="C66" s="13"/>
      <c r="D66" s="13"/>
      <c r="E66" s="13"/>
      <c r="F66" s="14"/>
      <c r="G66" s="14"/>
      <c r="H66" s="15" t="str">
        <f aca="false">IF(OR($F66="",$G66=""),"",$F66*$G66)</f>
        <v/>
      </c>
      <c r="I66" s="13"/>
      <c r="J66" s="13"/>
      <c r="K66" s="13"/>
    </row>
    <row r="67" customFormat="false" ht="15.75" hidden="false" customHeight="true" outlineLevel="0" collapsed="false">
      <c r="A67" s="13"/>
      <c r="B67" s="28"/>
      <c r="C67" s="13"/>
      <c r="D67" s="13"/>
      <c r="E67" s="13"/>
      <c r="F67" s="14"/>
      <c r="G67" s="14"/>
      <c r="H67" s="15" t="str">
        <f aca="false">IF(OR($F67="",$G67=""),"",$F67*$G67)</f>
        <v/>
      </c>
      <c r="I67" s="13"/>
      <c r="J67" s="13"/>
      <c r="K67" s="13"/>
    </row>
    <row r="68" customFormat="false" ht="15.75" hidden="false" customHeight="true" outlineLevel="0" collapsed="false">
      <c r="A68" s="13"/>
      <c r="B68" s="28"/>
      <c r="C68" s="13"/>
      <c r="D68" s="13"/>
      <c r="E68" s="13"/>
      <c r="F68" s="14"/>
      <c r="G68" s="14"/>
      <c r="H68" s="15" t="str">
        <f aca="false">IF(OR($F68="",$G68=""),"",$F68*$G68)</f>
        <v/>
      </c>
      <c r="I68" s="13"/>
      <c r="J68" s="13"/>
      <c r="K68" s="13"/>
    </row>
    <row r="69" customFormat="false" ht="15.75" hidden="false" customHeight="true" outlineLevel="0" collapsed="false">
      <c r="A69" s="13"/>
      <c r="B69" s="28"/>
      <c r="C69" s="13"/>
      <c r="D69" s="13"/>
      <c r="E69" s="13"/>
      <c r="F69" s="14"/>
      <c r="G69" s="14"/>
      <c r="H69" s="15" t="str">
        <f aca="false">IF(OR($F69="",$G69=""),"",$F69*$G69)</f>
        <v/>
      </c>
      <c r="I69" s="13"/>
      <c r="J69" s="13"/>
      <c r="K69" s="13"/>
    </row>
    <row r="70" customFormat="false" ht="15.75" hidden="false" customHeight="true" outlineLevel="0" collapsed="false">
      <c r="A70" s="13"/>
      <c r="B70" s="28"/>
      <c r="C70" s="13"/>
      <c r="D70" s="13"/>
      <c r="E70" s="13"/>
      <c r="F70" s="14"/>
      <c r="G70" s="14"/>
      <c r="H70" s="15" t="str">
        <f aca="false">IF(OR($F70="",$G70=""),"",$F70*$G70)</f>
        <v/>
      </c>
      <c r="I70" s="13"/>
      <c r="J70" s="13"/>
      <c r="K70" s="13"/>
    </row>
    <row r="71" customFormat="false" ht="15.75" hidden="false" customHeight="true" outlineLevel="0" collapsed="false">
      <c r="A71" s="13"/>
      <c r="B71" s="28"/>
      <c r="C71" s="13"/>
      <c r="D71" s="13"/>
      <c r="E71" s="13"/>
      <c r="F71" s="14"/>
      <c r="G71" s="14"/>
      <c r="H71" s="15" t="str">
        <f aca="false">IF(OR($F71="",$G71=""),"",$F71*$G71)</f>
        <v/>
      </c>
      <c r="I71" s="13"/>
      <c r="J71" s="13"/>
      <c r="K71" s="13"/>
    </row>
    <row r="72" customFormat="false" ht="15.75" hidden="false" customHeight="true" outlineLevel="0" collapsed="false">
      <c r="A72" s="13"/>
      <c r="B72" s="28"/>
      <c r="C72" s="13"/>
      <c r="D72" s="13"/>
      <c r="E72" s="13"/>
      <c r="F72" s="14"/>
      <c r="G72" s="14"/>
      <c r="H72" s="15" t="str">
        <f aca="false">IF(OR($F72="",$G72=""),"",$F72*$G72)</f>
        <v/>
      </c>
      <c r="I72" s="13"/>
      <c r="J72" s="13"/>
      <c r="K72" s="13"/>
    </row>
    <row r="73" customFormat="false" ht="15.75" hidden="false" customHeight="true" outlineLevel="0" collapsed="false">
      <c r="A73" s="13"/>
      <c r="B73" s="28"/>
      <c r="C73" s="13"/>
      <c r="D73" s="13"/>
      <c r="E73" s="13"/>
      <c r="F73" s="14"/>
      <c r="G73" s="14"/>
      <c r="H73" s="15" t="str">
        <f aca="false">IF(OR($F73="",$G73=""),"",$F73*$G73)</f>
        <v/>
      </c>
      <c r="I73" s="13"/>
      <c r="J73" s="13"/>
      <c r="K73" s="13"/>
    </row>
    <row r="74" customFormat="false" ht="15.75" hidden="false" customHeight="true" outlineLevel="0" collapsed="false">
      <c r="A74" s="13"/>
      <c r="B74" s="28"/>
      <c r="C74" s="13"/>
      <c r="D74" s="13"/>
      <c r="E74" s="13"/>
      <c r="F74" s="14"/>
      <c r="G74" s="14"/>
      <c r="H74" s="15" t="str">
        <f aca="false">IF(OR($F74="",$G74=""),"",$F74*$G74)</f>
        <v/>
      </c>
      <c r="I74" s="13"/>
      <c r="J74" s="13"/>
      <c r="K74" s="13"/>
    </row>
    <row r="75" customFormat="false" ht="15.75" hidden="false" customHeight="true" outlineLevel="0" collapsed="false">
      <c r="A75" s="13"/>
      <c r="B75" s="28"/>
      <c r="C75" s="13"/>
      <c r="D75" s="13"/>
      <c r="E75" s="13"/>
      <c r="F75" s="14"/>
      <c r="G75" s="14"/>
      <c r="H75" s="15" t="str">
        <f aca="false">IF(OR($F75="",$G75=""),"",$F75*$G75)</f>
        <v/>
      </c>
      <c r="I75" s="13"/>
      <c r="J75" s="13"/>
      <c r="K75" s="13"/>
    </row>
    <row r="76" customFormat="false" ht="15.75" hidden="false" customHeight="true" outlineLevel="0" collapsed="false">
      <c r="A76" s="13"/>
      <c r="B76" s="28"/>
      <c r="C76" s="13"/>
      <c r="D76" s="13"/>
      <c r="E76" s="13"/>
      <c r="F76" s="14"/>
      <c r="G76" s="14"/>
      <c r="H76" s="15" t="str">
        <f aca="false">IF(OR($F76="",$G76=""),"",$F76*$G76)</f>
        <v/>
      </c>
      <c r="I76" s="13"/>
      <c r="J76" s="13"/>
      <c r="K76" s="13"/>
    </row>
    <row r="77" customFormat="false" ht="15.75" hidden="false" customHeight="true" outlineLevel="0" collapsed="false">
      <c r="A77" s="13"/>
      <c r="B77" s="28"/>
      <c r="C77" s="13"/>
      <c r="D77" s="13"/>
      <c r="E77" s="13"/>
      <c r="F77" s="14"/>
      <c r="G77" s="14"/>
      <c r="H77" s="15" t="str">
        <f aca="false">IF(OR($F77="",$G77=""),"",$F77*$G77)</f>
        <v/>
      </c>
      <c r="I77" s="13"/>
      <c r="J77" s="13"/>
      <c r="K77" s="13"/>
    </row>
    <row r="78" customFormat="false" ht="15.75" hidden="false" customHeight="true" outlineLevel="0" collapsed="false">
      <c r="A78" s="13"/>
      <c r="B78" s="28"/>
      <c r="C78" s="13"/>
      <c r="D78" s="13"/>
      <c r="E78" s="13"/>
      <c r="F78" s="14"/>
      <c r="G78" s="14"/>
      <c r="H78" s="15" t="str">
        <f aca="false">IF(OR($F78="",$G78=""),"",$F78*$G78)</f>
        <v/>
      </c>
      <c r="I78" s="13"/>
      <c r="J78" s="13"/>
      <c r="K78" s="13"/>
    </row>
    <row r="79" customFormat="false" ht="15.75" hidden="false" customHeight="true" outlineLevel="0" collapsed="false">
      <c r="A79" s="13"/>
      <c r="B79" s="28"/>
      <c r="C79" s="13"/>
      <c r="D79" s="13"/>
      <c r="E79" s="13"/>
      <c r="F79" s="14"/>
      <c r="G79" s="14"/>
      <c r="H79" s="15" t="str">
        <f aca="false">IF(OR($F79="",$G79=""),"",$F79*$G79)</f>
        <v/>
      </c>
      <c r="I79" s="13"/>
      <c r="J79" s="13"/>
      <c r="K79" s="13"/>
    </row>
    <row r="80" customFormat="false" ht="15.75" hidden="false" customHeight="true" outlineLevel="0" collapsed="false">
      <c r="A80" s="13"/>
      <c r="B80" s="28"/>
      <c r="C80" s="13"/>
      <c r="D80" s="13"/>
      <c r="E80" s="13"/>
      <c r="F80" s="14"/>
      <c r="G80" s="14"/>
      <c r="H80" s="15" t="str">
        <f aca="false">IF(OR($F80="",$G80=""),"",$F80*$G80)</f>
        <v/>
      </c>
      <c r="I80" s="13"/>
      <c r="J80" s="13"/>
      <c r="K80" s="13"/>
    </row>
    <row r="81" customFormat="false" ht="15.75" hidden="false" customHeight="true" outlineLevel="0" collapsed="false">
      <c r="A81" s="13"/>
      <c r="B81" s="28"/>
      <c r="C81" s="13"/>
      <c r="D81" s="13"/>
      <c r="E81" s="13"/>
      <c r="F81" s="14"/>
      <c r="G81" s="14"/>
      <c r="H81" s="15" t="str">
        <f aca="false">IF(OR($F81="",$G81=""),"",$F81*$G81)</f>
        <v/>
      </c>
      <c r="I81" s="13"/>
      <c r="J81" s="13"/>
      <c r="K81" s="13"/>
    </row>
    <row r="82" customFormat="false" ht="15.75" hidden="false" customHeight="true" outlineLevel="0" collapsed="false">
      <c r="A82" s="13"/>
      <c r="B82" s="28"/>
      <c r="C82" s="13"/>
      <c r="D82" s="13"/>
      <c r="E82" s="13"/>
      <c r="F82" s="14"/>
      <c r="G82" s="14"/>
      <c r="H82" s="15" t="str">
        <f aca="false">IF(OR($F82="",$G82=""),"",$F82*$G82)</f>
        <v/>
      </c>
      <c r="I82" s="13"/>
      <c r="J82" s="13"/>
      <c r="K82" s="13"/>
    </row>
    <row r="83" customFormat="false" ht="15.75" hidden="false" customHeight="true" outlineLevel="0" collapsed="false">
      <c r="A83" s="13"/>
      <c r="B83" s="28"/>
      <c r="C83" s="13"/>
      <c r="D83" s="13"/>
      <c r="E83" s="13"/>
      <c r="F83" s="14"/>
      <c r="G83" s="14"/>
      <c r="H83" s="15" t="str">
        <f aca="false">IF(OR($F83="",$G83=""),"",$F83*$G83)</f>
        <v/>
      </c>
      <c r="I83" s="13"/>
      <c r="J83" s="13"/>
      <c r="K83" s="13"/>
    </row>
    <row r="84" customFormat="false" ht="15.75" hidden="false" customHeight="true" outlineLevel="0" collapsed="false">
      <c r="A84" s="13"/>
      <c r="B84" s="28"/>
      <c r="C84" s="13"/>
      <c r="D84" s="13"/>
      <c r="E84" s="13"/>
      <c r="F84" s="14"/>
      <c r="G84" s="14"/>
      <c r="H84" s="15" t="str">
        <f aca="false">IF(OR($F84="",$G84=""),"",$F84*$G84)</f>
        <v/>
      </c>
      <c r="I84" s="13"/>
      <c r="J84" s="13"/>
      <c r="K84" s="13"/>
    </row>
    <row r="85" customFormat="false" ht="15.75" hidden="false" customHeight="true" outlineLevel="0" collapsed="false">
      <c r="A85" s="13"/>
      <c r="B85" s="28"/>
      <c r="C85" s="13"/>
      <c r="D85" s="13"/>
      <c r="E85" s="13"/>
      <c r="F85" s="14"/>
      <c r="G85" s="14"/>
      <c r="H85" s="15" t="str">
        <f aca="false">IF(OR($F85="",$G85=""),"",$F85*$G85)</f>
        <v/>
      </c>
      <c r="I85" s="13"/>
      <c r="J85" s="13"/>
      <c r="K85" s="13"/>
    </row>
    <row r="86" customFormat="false" ht="15.75" hidden="false" customHeight="true" outlineLevel="0" collapsed="false">
      <c r="A86" s="13"/>
      <c r="B86" s="28"/>
      <c r="C86" s="13"/>
      <c r="D86" s="13"/>
      <c r="E86" s="13"/>
      <c r="F86" s="14"/>
      <c r="G86" s="14"/>
      <c r="H86" s="15" t="str">
        <f aca="false">IF(OR($F86="",$G86=""),"",$F86*$G86)</f>
        <v/>
      </c>
      <c r="I86" s="13"/>
      <c r="J86" s="13"/>
      <c r="K86" s="13"/>
    </row>
    <row r="87" customFormat="false" ht="15.75" hidden="false" customHeight="true" outlineLevel="0" collapsed="false">
      <c r="A87" s="13"/>
      <c r="B87" s="28"/>
      <c r="C87" s="13"/>
      <c r="D87" s="13"/>
      <c r="E87" s="13"/>
      <c r="F87" s="14"/>
      <c r="G87" s="14"/>
      <c r="H87" s="15" t="str">
        <f aca="false">IF(OR($F87="",$G87=""),"",$F87*$G87)</f>
        <v/>
      </c>
      <c r="I87" s="13"/>
      <c r="J87" s="13"/>
      <c r="K87" s="13"/>
    </row>
    <row r="88" customFormat="false" ht="15.75" hidden="false" customHeight="true" outlineLevel="0" collapsed="false">
      <c r="A88" s="13"/>
      <c r="B88" s="28"/>
      <c r="C88" s="13"/>
      <c r="D88" s="13"/>
      <c r="E88" s="13"/>
      <c r="F88" s="14"/>
      <c r="G88" s="14"/>
      <c r="H88" s="15" t="str">
        <f aca="false">IF(OR($F88="",$G88=""),"",$F88*$G88)</f>
        <v/>
      </c>
      <c r="I88" s="13"/>
      <c r="J88" s="13"/>
      <c r="K88" s="13"/>
    </row>
    <row r="89" customFormat="false" ht="15.75" hidden="false" customHeight="true" outlineLevel="0" collapsed="false">
      <c r="A89" s="13"/>
      <c r="B89" s="28"/>
      <c r="C89" s="13"/>
      <c r="D89" s="13"/>
      <c r="E89" s="13"/>
      <c r="F89" s="14"/>
      <c r="G89" s="14"/>
      <c r="H89" s="15" t="str">
        <f aca="false">IF(OR($F89="",$G89=""),"",$F89*$G89)</f>
        <v/>
      </c>
      <c r="I89" s="13"/>
      <c r="J89" s="13"/>
      <c r="K89" s="13"/>
    </row>
    <row r="90" customFormat="false" ht="15.75" hidden="false" customHeight="true" outlineLevel="0" collapsed="false">
      <c r="A90" s="13"/>
      <c r="B90" s="28"/>
      <c r="C90" s="13"/>
      <c r="D90" s="13"/>
      <c r="E90" s="13"/>
      <c r="F90" s="14"/>
      <c r="G90" s="14"/>
      <c r="H90" s="15" t="str">
        <f aca="false">IF(OR($F90="",$G90=""),"",$F90*$G90)</f>
        <v/>
      </c>
      <c r="I90" s="13"/>
      <c r="J90" s="13"/>
      <c r="K90" s="13"/>
    </row>
    <row r="91" customFormat="false" ht="15.75" hidden="false" customHeight="true" outlineLevel="0" collapsed="false">
      <c r="A91" s="13"/>
      <c r="B91" s="28"/>
      <c r="C91" s="13"/>
      <c r="D91" s="13"/>
      <c r="E91" s="13"/>
      <c r="F91" s="14"/>
      <c r="G91" s="14"/>
      <c r="H91" s="15" t="str">
        <f aca="false">IF(OR($F91="",$G91=""),"",$F91*$G91)</f>
        <v/>
      </c>
      <c r="I91" s="13"/>
      <c r="J91" s="13"/>
      <c r="K91" s="13"/>
    </row>
    <row r="92" customFormat="false" ht="15.75" hidden="false" customHeight="true" outlineLevel="0" collapsed="false">
      <c r="A92" s="13"/>
      <c r="B92" s="28"/>
      <c r="C92" s="13"/>
      <c r="D92" s="13"/>
      <c r="E92" s="13"/>
      <c r="F92" s="14"/>
      <c r="G92" s="14"/>
      <c r="H92" s="15" t="str">
        <f aca="false">IF(OR($F92="",$G92=""),"",$F92*$G92)</f>
        <v/>
      </c>
      <c r="I92" s="13"/>
      <c r="J92" s="13"/>
      <c r="K92" s="13"/>
    </row>
    <row r="93" customFormat="false" ht="15.75" hidden="false" customHeight="true" outlineLevel="0" collapsed="false">
      <c r="A93" s="13"/>
      <c r="B93" s="28"/>
      <c r="C93" s="13"/>
      <c r="D93" s="13"/>
      <c r="E93" s="13"/>
      <c r="F93" s="14"/>
      <c r="G93" s="14"/>
      <c r="H93" s="15" t="str">
        <f aca="false">IF(OR($F93="",$G93=""),"",$F93*$G93)</f>
        <v/>
      </c>
      <c r="I93" s="13"/>
      <c r="J93" s="13"/>
      <c r="K93" s="13"/>
    </row>
    <row r="94" customFormat="false" ht="15.75" hidden="false" customHeight="true" outlineLevel="0" collapsed="false">
      <c r="A94" s="13"/>
      <c r="B94" s="28"/>
      <c r="C94" s="13"/>
      <c r="D94" s="13"/>
      <c r="E94" s="13"/>
      <c r="F94" s="14"/>
      <c r="G94" s="14"/>
      <c r="H94" s="15" t="str">
        <f aca="false">IF(OR($F94="",$G94=""),"",$F94*$G94)</f>
        <v/>
      </c>
      <c r="I94" s="13"/>
      <c r="J94" s="13"/>
      <c r="K94" s="13"/>
    </row>
    <row r="95" customFormat="false" ht="15.75" hidden="false" customHeight="true" outlineLevel="0" collapsed="false">
      <c r="A95" s="13"/>
      <c r="B95" s="28"/>
      <c r="C95" s="13"/>
      <c r="D95" s="13"/>
      <c r="E95" s="13"/>
      <c r="F95" s="14"/>
      <c r="G95" s="14"/>
      <c r="H95" s="15" t="str">
        <f aca="false">IF(OR($F95="",$G95=""),"",$F95*$G95)</f>
        <v/>
      </c>
      <c r="I95" s="13"/>
      <c r="J95" s="13"/>
      <c r="K95" s="13"/>
    </row>
    <row r="96" customFormat="false" ht="15.75" hidden="false" customHeight="true" outlineLevel="0" collapsed="false">
      <c r="A96" s="13"/>
      <c r="B96" s="28"/>
      <c r="C96" s="13"/>
      <c r="D96" s="13"/>
      <c r="E96" s="13"/>
      <c r="F96" s="14"/>
      <c r="G96" s="14"/>
      <c r="H96" s="15" t="str">
        <f aca="false">IF(OR($F96="",$G96=""),"",$F96*$G96)</f>
        <v/>
      </c>
      <c r="I96" s="13"/>
      <c r="J96" s="13"/>
      <c r="K96" s="13"/>
    </row>
    <row r="97" customFormat="false" ht="15.75" hidden="false" customHeight="true" outlineLevel="0" collapsed="false">
      <c r="A97" s="13"/>
      <c r="B97" s="28"/>
      <c r="C97" s="13"/>
      <c r="D97" s="13"/>
      <c r="E97" s="13"/>
      <c r="F97" s="14"/>
      <c r="G97" s="14"/>
      <c r="H97" s="15" t="str">
        <f aca="false">IF(OR($F97="",$G97=""),"",$F97*$G97)</f>
        <v/>
      </c>
      <c r="I97" s="13"/>
      <c r="J97" s="13"/>
      <c r="K97" s="13"/>
    </row>
    <row r="98" customFormat="false" ht="15.75" hidden="false" customHeight="true" outlineLevel="0" collapsed="false">
      <c r="A98" s="13"/>
      <c r="B98" s="28"/>
      <c r="C98" s="13"/>
      <c r="D98" s="13"/>
      <c r="E98" s="13"/>
      <c r="F98" s="14"/>
      <c r="G98" s="14"/>
      <c r="H98" s="15" t="str">
        <f aca="false">IF(OR($F98="",$G98=""),"",$F98*$G98)</f>
        <v/>
      </c>
      <c r="I98" s="13"/>
      <c r="J98" s="13"/>
      <c r="K98" s="13"/>
    </row>
    <row r="99" customFormat="false" ht="15.75" hidden="false" customHeight="true" outlineLevel="0" collapsed="false">
      <c r="A99" s="13"/>
      <c r="B99" s="28"/>
      <c r="C99" s="13"/>
      <c r="D99" s="13"/>
      <c r="E99" s="13"/>
      <c r="F99" s="14"/>
      <c r="G99" s="14"/>
      <c r="H99" s="15" t="str">
        <f aca="false">IF(OR($F99="",$G99=""),"",$F99*$G99)</f>
        <v/>
      </c>
      <c r="I99" s="13"/>
      <c r="J99" s="13"/>
      <c r="K99" s="13"/>
    </row>
    <row r="100" customFormat="false" ht="15.75" hidden="false" customHeight="true" outlineLevel="0" collapsed="false">
      <c r="A100" s="13"/>
      <c r="B100" s="28"/>
      <c r="C100" s="13"/>
      <c r="D100" s="13"/>
      <c r="E100" s="13"/>
      <c r="F100" s="14"/>
      <c r="G100" s="14"/>
      <c r="H100" s="15" t="str">
        <f aca="false">IF(OR($F100="",$G100=""),"",$F100*$G100)</f>
        <v/>
      </c>
      <c r="I100" s="13"/>
      <c r="J100" s="13"/>
      <c r="K100" s="13"/>
    </row>
    <row r="101" customFormat="false" ht="15.75" hidden="false" customHeight="true" outlineLevel="0" collapsed="false">
      <c r="A101" s="13"/>
      <c r="B101" s="28"/>
      <c r="C101" s="13"/>
      <c r="D101" s="13"/>
      <c r="E101" s="13"/>
      <c r="F101" s="14"/>
      <c r="G101" s="14"/>
      <c r="H101" s="15" t="str">
        <f aca="false">IF(OR($F101="",$G101=""),"",$F101*$G101)</f>
        <v/>
      </c>
      <c r="I101" s="13"/>
      <c r="J101" s="13"/>
      <c r="K101" s="13"/>
    </row>
    <row r="102" customFormat="false" ht="15.75" hidden="false" customHeight="true" outlineLevel="0" collapsed="false">
      <c r="A102" s="13"/>
      <c r="B102" s="28"/>
      <c r="C102" s="13"/>
      <c r="D102" s="13"/>
      <c r="E102" s="13"/>
      <c r="F102" s="14"/>
      <c r="G102" s="14"/>
      <c r="H102" s="15" t="str">
        <f aca="false">IF(OR($F102="",$G102=""),"",$F102*$G102)</f>
        <v/>
      </c>
      <c r="I102" s="13"/>
      <c r="J102" s="13"/>
      <c r="K102" s="13"/>
    </row>
    <row r="103" customFormat="false" ht="15.75" hidden="false" customHeight="true" outlineLevel="0" collapsed="false">
      <c r="A103" s="13"/>
      <c r="B103" s="28"/>
      <c r="C103" s="13"/>
      <c r="D103" s="13"/>
      <c r="E103" s="13"/>
      <c r="F103" s="14"/>
      <c r="G103" s="14"/>
      <c r="H103" s="15" t="str">
        <f aca="false">IF(OR($F103="",$G103=""),"",$F103*$G103)</f>
        <v/>
      </c>
      <c r="I103" s="13"/>
      <c r="J103" s="13"/>
      <c r="K103" s="13"/>
    </row>
    <row r="104" customFormat="false" ht="15.75" hidden="false" customHeight="true" outlineLevel="0" collapsed="false">
      <c r="A104" s="13"/>
      <c r="B104" s="28"/>
      <c r="C104" s="13"/>
      <c r="D104" s="13"/>
      <c r="E104" s="13"/>
      <c r="F104" s="14"/>
      <c r="G104" s="14"/>
      <c r="H104" s="15" t="str">
        <f aca="false">IF(OR($F104="",$G104=""),"",$F104*$G104)</f>
        <v/>
      </c>
      <c r="I104" s="13"/>
      <c r="J104" s="13"/>
      <c r="K104" s="13"/>
    </row>
    <row r="105" customFormat="false" ht="15.75" hidden="false" customHeight="true" outlineLevel="0" collapsed="false">
      <c r="A105" s="13"/>
      <c r="B105" s="28"/>
      <c r="C105" s="13"/>
      <c r="D105" s="13"/>
      <c r="E105" s="13"/>
      <c r="F105" s="14"/>
      <c r="G105" s="14"/>
      <c r="H105" s="15" t="str">
        <f aca="false">IF(OR($F105="",$G105=""),"",$F105*$G105)</f>
        <v/>
      </c>
      <c r="I105" s="13"/>
      <c r="J105" s="13"/>
      <c r="K105" s="13"/>
    </row>
    <row r="106" customFormat="false" ht="15.75" hidden="false" customHeight="true" outlineLevel="0" collapsed="false">
      <c r="A106" s="13"/>
      <c r="B106" s="28"/>
      <c r="C106" s="13"/>
      <c r="D106" s="13"/>
      <c r="E106" s="13"/>
      <c r="F106" s="14"/>
      <c r="G106" s="14"/>
      <c r="H106" s="15" t="str">
        <f aca="false">IF(OR($F106="",$G106=""),"",$F106*$G106)</f>
        <v/>
      </c>
      <c r="I106" s="13"/>
      <c r="J106" s="13"/>
      <c r="K106" s="13"/>
    </row>
    <row r="107" customFormat="false" ht="15.75" hidden="false" customHeight="true" outlineLevel="0" collapsed="false">
      <c r="A107" s="13"/>
      <c r="B107" s="28"/>
      <c r="C107" s="13"/>
      <c r="D107" s="13"/>
      <c r="E107" s="13"/>
      <c r="F107" s="14"/>
      <c r="G107" s="14"/>
      <c r="H107" s="15" t="str">
        <f aca="false">IF(OR($F107="",$G107=""),"",$F107*$G107)</f>
        <v/>
      </c>
      <c r="I107" s="13"/>
      <c r="J107" s="13"/>
      <c r="K107" s="13"/>
    </row>
    <row r="108" customFormat="false" ht="15.75" hidden="false" customHeight="true" outlineLevel="0" collapsed="false">
      <c r="A108" s="13"/>
      <c r="B108" s="28"/>
      <c r="C108" s="13"/>
      <c r="D108" s="13"/>
      <c r="E108" s="13"/>
      <c r="F108" s="14"/>
      <c r="G108" s="14"/>
      <c r="H108" s="15" t="str">
        <f aca="false">IF(OR($F108="",$G108=""),"",$F108*$G108)</f>
        <v/>
      </c>
      <c r="I108" s="13"/>
      <c r="J108" s="13"/>
      <c r="K108" s="13"/>
    </row>
    <row r="109" customFormat="false" ht="15.75" hidden="false" customHeight="true" outlineLevel="0" collapsed="false">
      <c r="A109" s="13"/>
      <c r="B109" s="28"/>
      <c r="C109" s="13"/>
      <c r="D109" s="13"/>
      <c r="E109" s="13"/>
      <c r="F109" s="14"/>
      <c r="G109" s="14"/>
      <c r="H109" s="15" t="str">
        <f aca="false">IF(OR($F109="",$G109=""),"",$F109*$G109)</f>
        <v/>
      </c>
      <c r="I109" s="13"/>
      <c r="J109" s="13"/>
      <c r="K109" s="13"/>
    </row>
    <row r="110" customFormat="false" ht="15.75" hidden="false" customHeight="true" outlineLevel="0" collapsed="false">
      <c r="A110" s="13"/>
      <c r="B110" s="28"/>
      <c r="C110" s="13"/>
      <c r="D110" s="13"/>
      <c r="E110" s="13"/>
      <c r="F110" s="14"/>
      <c r="G110" s="14"/>
      <c r="H110" s="15" t="str">
        <f aca="false">IF(OR($F110="",$G110=""),"",$F110*$G110)</f>
        <v/>
      </c>
      <c r="I110" s="13"/>
      <c r="J110" s="13"/>
      <c r="K110" s="13"/>
    </row>
    <row r="111" customFormat="false" ht="15.75" hidden="false" customHeight="true" outlineLevel="0" collapsed="false">
      <c r="A111" s="13"/>
      <c r="B111" s="28"/>
      <c r="C111" s="13"/>
      <c r="D111" s="13"/>
      <c r="E111" s="13"/>
      <c r="F111" s="14"/>
      <c r="G111" s="14"/>
      <c r="H111" s="15" t="str">
        <f aca="false">IF(OR($F111="",$G111=""),"",$F111*$G111)</f>
        <v/>
      </c>
      <c r="I111" s="13"/>
      <c r="J111" s="13"/>
      <c r="K111" s="13"/>
    </row>
    <row r="112" customFormat="false" ht="15.75" hidden="false" customHeight="true" outlineLevel="0" collapsed="false">
      <c r="A112" s="13"/>
      <c r="B112" s="28"/>
      <c r="C112" s="13"/>
      <c r="D112" s="13"/>
      <c r="E112" s="13"/>
      <c r="F112" s="14"/>
      <c r="G112" s="14"/>
      <c r="H112" s="15" t="str">
        <f aca="false">IF(OR($F112="",$G112=""),"",$F112*$G112)</f>
        <v/>
      </c>
      <c r="I112" s="13"/>
      <c r="J112" s="13"/>
      <c r="K112" s="13"/>
    </row>
    <row r="113" customFormat="false" ht="15.75" hidden="false" customHeight="true" outlineLevel="0" collapsed="false">
      <c r="A113" s="13"/>
      <c r="B113" s="28"/>
      <c r="C113" s="13"/>
      <c r="D113" s="13"/>
      <c r="E113" s="13"/>
      <c r="F113" s="14"/>
      <c r="G113" s="14"/>
      <c r="H113" s="15" t="str">
        <f aca="false">IF(OR($F113="",$G113=""),"",$F113*$G113)</f>
        <v/>
      </c>
      <c r="I113" s="13"/>
      <c r="J113" s="13"/>
      <c r="K113" s="13"/>
    </row>
    <row r="114" customFormat="false" ht="15.75" hidden="false" customHeight="true" outlineLevel="0" collapsed="false">
      <c r="A114" s="13"/>
      <c r="B114" s="28"/>
      <c r="C114" s="13"/>
      <c r="D114" s="13"/>
      <c r="E114" s="13"/>
      <c r="F114" s="14"/>
      <c r="G114" s="14"/>
      <c r="H114" s="15" t="str">
        <f aca="false">IF(OR($F114="",$G114=""),"",$F114*$G114)</f>
        <v/>
      </c>
      <c r="I114" s="13"/>
      <c r="J114" s="13"/>
      <c r="K114" s="13"/>
    </row>
    <row r="115" customFormat="false" ht="15.75" hidden="false" customHeight="true" outlineLevel="0" collapsed="false">
      <c r="A115" s="13"/>
      <c r="B115" s="28"/>
      <c r="C115" s="13"/>
      <c r="D115" s="13"/>
      <c r="E115" s="13"/>
      <c r="F115" s="14"/>
      <c r="G115" s="14"/>
      <c r="H115" s="15" t="str">
        <f aca="false">IF(OR($F115="",$G115=""),"",$F115*$G115)</f>
        <v/>
      </c>
      <c r="I115" s="13"/>
      <c r="J115" s="13"/>
      <c r="K115" s="13"/>
    </row>
    <row r="116" customFormat="false" ht="15.75" hidden="false" customHeight="true" outlineLevel="0" collapsed="false">
      <c r="A116" s="13"/>
      <c r="B116" s="28"/>
      <c r="C116" s="13"/>
      <c r="D116" s="13"/>
      <c r="E116" s="13"/>
      <c r="F116" s="14"/>
      <c r="G116" s="14"/>
      <c r="H116" s="15" t="str">
        <f aca="false">IF(OR($F116="",$G116=""),"",$F116*$G116)</f>
        <v/>
      </c>
      <c r="I116" s="13"/>
      <c r="J116" s="13"/>
      <c r="K116" s="13"/>
    </row>
    <row r="117" customFormat="false" ht="15.75" hidden="false" customHeight="true" outlineLevel="0" collapsed="false">
      <c r="A117" s="13"/>
      <c r="B117" s="28"/>
      <c r="C117" s="13"/>
      <c r="D117" s="13"/>
      <c r="E117" s="13"/>
      <c r="F117" s="14"/>
      <c r="G117" s="14"/>
      <c r="H117" s="15" t="str">
        <f aca="false">IF(OR($F117="",$G117=""),"",$F117*$G117)</f>
        <v/>
      </c>
      <c r="I117" s="13"/>
      <c r="J117" s="13"/>
      <c r="K117" s="13"/>
    </row>
    <row r="118" customFormat="false" ht="15.75" hidden="false" customHeight="true" outlineLevel="0" collapsed="false">
      <c r="A118" s="13"/>
      <c r="B118" s="28"/>
      <c r="C118" s="13"/>
      <c r="D118" s="13"/>
      <c r="E118" s="13"/>
      <c r="F118" s="14"/>
      <c r="G118" s="14"/>
      <c r="H118" s="15" t="str">
        <f aca="false">IF(OR($F118="",$G118=""),"",$F118*$G118)</f>
        <v/>
      </c>
      <c r="I118" s="13"/>
      <c r="J118" s="13"/>
      <c r="K118" s="13"/>
    </row>
    <row r="119" customFormat="false" ht="15.75" hidden="false" customHeight="true" outlineLevel="0" collapsed="false">
      <c r="A119" s="13"/>
      <c r="B119" s="28"/>
      <c r="C119" s="13"/>
      <c r="D119" s="13"/>
      <c r="E119" s="13"/>
      <c r="F119" s="14"/>
      <c r="G119" s="14"/>
      <c r="H119" s="15" t="str">
        <f aca="false">IF(OR($F119="",$G119=""),"",$F119*$G119)</f>
        <v/>
      </c>
      <c r="I119" s="13"/>
      <c r="J119" s="13"/>
      <c r="K119" s="13"/>
    </row>
    <row r="120" customFormat="false" ht="15.75" hidden="false" customHeight="true" outlineLevel="0" collapsed="false">
      <c r="A120" s="13"/>
      <c r="B120" s="28"/>
      <c r="C120" s="13"/>
      <c r="D120" s="13"/>
      <c r="E120" s="13"/>
      <c r="F120" s="14"/>
      <c r="G120" s="14"/>
      <c r="H120" s="15" t="str">
        <f aca="false">IF(OR($F120="",$G120=""),"",$F120*$G120)</f>
        <v/>
      </c>
      <c r="I120" s="13"/>
      <c r="J120" s="13"/>
      <c r="K120" s="13"/>
    </row>
    <row r="121" customFormat="false" ht="15.75" hidden="false" customHeight="true" outlineLevel="0" collapsed="false">
      <c r="A121" s="13"/>
      <c r="B121" s="28"/>
      <c r="C121" s="13"/>
      <c r="D121" s="13"/>
      <c r="E121" s="13"/>
      <c r="F121" s="14"/>
      <c r="G121" s="14"/>
      <c r="H121" s="15" t="str">
        <f aca="false">IF(OR($F121="",$G121=""),"",$F121*$G121)</f>
        <v/>
      </c>
      <c r="I121" s="13"/>
      <c r="J121" s="13"/>
      <c r="K121" s="13"/>
    </row>
    <row r="122" customFormat="false" ht="15.75" hidden="false" customHeight="true" outlineLevel="0" collapsed="false">
      <c r="A122" s="13"/>
      <c r="B122" s="28"/>
      <c r="C122" s="13"/>
      <c r="D122" s="13"/>
      <c r="E122" s="13"/>
      <c r="F122" s="14"/>
      <c r="G122" s="14"/>
      <c r="H122" s="15" t="str">
        <f aca="false">IF(OR($F122="",$G122=""),"",$F122*$G122)</f>
        <v/>
      </c>
      <c r="I122" s="13"/>
      <c r="J122" s="13"/>
      <c r="K122" s="13"/>
    </row>
    <row r="123" customFormat="false" ht="15.75" hidden="false" customHeight="true" outlineLevel="0" collapsed="false">
      <c r="A123" s="13"/>
      <c r="B123" s="28"/>
      <c r="C123" s="13"/>
      <c r="D123" s="13"/>
      <c r="E123" s="13"/>
      <c r="F123" s="14"/>
      <c r="G123" s="14"/>
      <c r="H123" s="15" t="str">
        <f aca="false">IF(OR($F123="",$G123=""),"",$F123*$G123)</f>
        <v/>
      </c>
      <c r="I123" s="13"/>
      <c r="J123" s="13"/>
      <c r="K123" s="13"/>
    </row>
    <row r="124" customFormat="false" ht="15.75" hidden="false" customHeight="true" outlineLevel="0" collapsed="false">
      <c r="A124" s="13"/>
      <c r="B124" s="28"/>
      <c r="C124" s="13"/>
      <c r="D124" s="13"/>
      <c r="E124" s="13"/>
      <c r="F124" s="14"/>
      <c r="G124" s="14"/>
      <c r="H124" s="15" t="str">
        <f aca="false">IF(OR($F124="",$G124=""),"",$F124*$G124)</f>
        <v/>
      </c>
      <c r="I124" s="13"/>
      <c r="J124" s="13"/>
      <c r="K124" s="13"/>
    </row>
    <row r="125" customFormat="false" ht="15.75" hidden="false" customHeight="true" outlineLevel="0" collapsed="false">
      <c r="A125" s="13"/>
      <c r="B125" s="28"/>
      <c r="C125" s="13"/>
      <c r="D125" s="13"/>
      <c r="E125" s="13"/>
      <c r="F125" s="14"/>
      <c r="G125" s="14"/>
      <c r="H125" s="15" t="str">
        <f aca="false">IF(OR($F125="",$G125=""),"",$F125*$G125)</f>
        <v/>
      </c>
      <c r="I125" s="13"/>
      <c r="J125" s="13"/>
      <c r="K125" s="13"/>
    </row>
    <row r="126" customFormat="false" ht="15.75" hidden="false" customHeight="true" outlineLevel="0" collapsed="false">
      <c r="A126" s="13"/>
      <c r="B126" s="28"/>
      <c r="C126" s="13"/>
      <c r="D126" s="13"/>
      <c r="E126" s="13"/>
      <c r="F126" s="14"/>
      <c r="G126" s="14"/>
      <c r="H126" s="15" t="str">
        <f aca="false">IF(OR($F126="",$G126=""),"",$F126*$G126)</f>
        <v/>
      </c>
      <c r="I126" s="13"/>
      <c r="J126" s="13"/>
      <c r="K126" s="13"/>
    </row>
    <row r="127" customFormat="false" ht="15.75" hidden="false" customHeight="true" outlineLevel="0" collapsed="false">
      <c r="A127" s="13"/>
      <c r="B127" s="28"/>
      <c r="C127" s="13"/>
      <c r="D127" s="13"/>
      <c r="E127" s="13"/>
      <c r="F127" s="14"/>
      <c r="G127" s="14"/>
      <c r="H127" s="15" t="str">
        <f aca="false">IF(OR($F127="",$G127=""),"",$F127*$G127)</f>
        <v/>
      </c>
      <c r="I127" s="13"/>
      <c r="J127" s="13"/>
      <c r="K127" s="13"/>
    </row>
    <row r="128" customFormat="false" ht="15.75" hidden="false" customHeight="true" outlineLevel="0" collapsed="false">
      <c r="A128" s="13"/>
      <c r="B128" s="28"/>
      <c r="C128" s="13"/>
      <c r="D128" s="13"/>
      <c r="E128" s="13"/>
      <c r="F128" s="14"/>
      <c r="G128" s="14"/>
      <c r="H128" s="15" t="str">
        <f aca="false">IF(OR($F128="",$G128=""),"",$F128*$G128)</f>
        <v/>
      </c>
      <c r="I128" s="13"/>
      <c r="J128" s="13"/>
      <c r="K128" s="13"/>
    </row>
    <row r="129" customFormat="false" ht="15.75" hidden="false" customHeight="true" outlineLevel="0" collapsed="false">
      <c r="A129" s="13"/>
      <c r="B129" s="28"/>
      <c r="C129" s="13"/>
      <c r="D129" s="13"/>
      <c r="E129" s="13"/>
      <c r="F129" s="14"/>
      <c r="G129" s="14"/>
      <c r="H129" s="15" t="str">
        <f aca="false">IF(OR($F129="",$G129=""),"",$F129*$G129)</f>
        <v/>
      </c>
      <c r="I129" s="13"/>
      <c r="J129" s="13"/>
      <c r="K129" s="13"/>
    </row>
    <row r="130" customFormat="false" ht="15.75" hidden="false" customHeight="true" outlineLevel="0" collapsed="false">
      <c r="A130" s="13"/>
      <c r="B130" s="28"/>
      <c r="C130" s="13"/>
      <c r="D130" s="13"/>
      <c r="E130" s="13"/>
      <c r="F130" s="14"/>
      <c r="G130" s="14"/>
      <c r="H130" s="15" t="str">
        <f aca="false">IF(OR($F130="",$G130=""),"",$F130*$G130)</f>
        <v/>
      </c>
      <c r="I130" s="13"/>
      <c r="J130" s="13"/>
      <c r="K130" s="13"/>
    </row>
    <row r="131" customFormat="false" ht="15.75" hidden="false" customHeight="true" outlineLevel="0" collapsed="false">
      <c r="A131" s="13"/>
      <c r="B131" s="28"/>
      <c r="C131" s="13"/>
      <c r="D131" s="13"/>
      <c r="E131" s="13"/>
      <c r="F131" s="14"/>
      <c r="G131" s="14"/>
      <c r="H131" s="15" t="str">
        <f aca="false">IF(OR($F131="",$G131=""),"",$F131*$G131)</f>
        <v/>
      </c>
      <c r="I131" s="13"/>
      <c r="J131" s="13"/>
      <c r="K131" s="13"/>
    </row>
    <row r="132" customFormat="false" ht="15.75" hidden="false" customHeight="true" outlineLevel="0" collapsed="false">
      <c r="A132" s="13"/>
      <c r="B132" s="28"/>
      <c r="C132" s="13"/>
      <c r="D132" s="13"/>
      <c r="E132" s="13"/>
      <c r="F132" s="14"/>
      <c r="G132" s="14"/>
      <c r="H132" s="15" t="str">
        <f aca="false">IF(OR($F132="",$G132=""),"",$F132*$G132)</f>
        <v/>
      </c>
      <c r="I132" s="13"/>
      <c r="J132" s="13"/>
      <c r="K132" s="13"/>
    </row>
    <row r="133" customFormat="false" ht="15.75" hidden="false" customHeight="true" outlineLevel="0" collapsed="false">
      <c r="A133" s="13"/>
      <c r="B133" s="28"/>
      <c r="C133" s="13"/>
      <c r="D133" s="13"/>
      <c r="E133" s="13"/>
      <c r="F133" s="14"/>
      <c r="G133" s="14"/>
      <c r="H133" s="15" t="str">
        <f aca="false">IF(OR($F133="",$G133=""),"",$F133*$G133)</f>
        <v/>
      </c>
      <c r="I133" s="13"/>
      <c r="J133" s="13"/>
      <c r="K133" s="13"/>
    </row>
    <row r="134" customFormat="false" ht="15.75" hidden="false" customHeight="true" outlineLevel="0" collapsed="false">
      <c r="A134" s="13"/>
      <c r="B134" s="28"/>
      <c r="C134" s="13"/>
      <c r="D134" s="13"/>
      <c r="E134" s="13"/>
      <c r="F134" s="14"/>
      <c r="G134" s="14"/>
      <c r="H134" s="15" t="str">
        <f aca="false">IF(OR($F134="",$G134=""),"",$F134*$G134)</f>
        <v/>
      </c>
      <c r="I134" s="13"/>
      <c r="J134" s="13"/>
      <c r="K134" s="13"/>
    </row>
    <row r="135" customFormat="false" ht="15.75" hidden="false" customHeight="true" outlineLevel="0" collapsed="false">
      <c r="A135" s="13"/>
      <c r="B135" s="28"/>
      <c r="C135" s="13"/>
      <c r="D135" s="13"/>
      <c r="E135" s="13"/>
      <c r="F135" s="14"/>
      <c r="G135" s="14"/>
      <c r="H135" s="15" t="str">
        <f aca="false">IF(OR($F135="",$G135=""),"",$F135*$G135)</f>
        <v/>
      </c>
      <c r="I135" s="13"/>
      <c r="J135" s="13"/>
      <c r="K135" s="13"/>
    </row>
    <row r="136" customFormat="false" ht="15.75" hidden="false" customHeight="true" outlineLevel="0" collapsed="false">
      <c r="A136" s="13"/>
      <c r="B136" s="28"/>
      <c r="C136" s="13"/>
      <c r="D136" s="13"/>
      <c r="E136" s="13"/>
      <c r="F136" s="14"/>
      <c r="G136" s="14"/>
      <c r="H136" s="15" t="str">
        <f aca="false">IF(OR($F136="",$G136=""),"",$F136*$G136)</f>
        <v/>
      </c>
      <c r="I136" s="13"/>
      <c r="J136" s="13"/>
      <c r="K136" s="13"/>
    </row>
    <row r="137" customFormat="false" ht="15.75" hidden="false" customHeight="true" outlineLevel="0" collapsed="false">
      <c r="A137" s="13"/>
      <c r="B137" s="28"/>
      <c r="C137" s="13"/>
      <c r="D137" s="13"/>
      <c r="E137" s="13"/>
      <c r="F137" s="14"/>
      <c r="G137" s="14"/>
      <c r="H137" s="15" t="str">
        <f aca="false">IF(OR($F137="",$G137=""),"",$F137*$G137)</f>
        <v/>
      </c>
      <c r="I137" s="13"/>
      <c r="J137" s="13"/>
      <c r="K137" s="13"/>
    </row>
    <row r="138" customFormat="false" ht="15.75" hidden="false" customHeight="true" outlineLevel="0" collapsed="false">
      <c r="A138" s="13"/>
      <c r="B138" s="28"/>
      <c r="C138" s="13"/>
      <c r="D138" s="13"/>
      <c r="E138" s="13"/>
      <c r="F138" s="14"/>
      <c r="G138" s="14"/>
      <c r="H138" s="15" t="str">
        <f aca="false">IF(OR($F138="",$G138=""),"",$F138*$G138)</f>
        <v/>
      </c>
      <c r="I138" s="13"/>
      <c r="J138" s="13"/>
      <c r="K138" s="13"/>
    </row>
    <row r="139" customFormat="false" ht="15.75" hidden="false" customHeight="true" outlineLevel="0" collapsed="false">
      <c r="A139" s="13"/>
      <c r="B139" s="28"/>
      <c r="C139" s="13"/>
      <c r="D139" s="13"/>
      <c r="E139" s="13"/>
      <c r="F139" s="14"/>
      <c r="G139" s="14"/>
      <c r="H139" s="15" t="str">
        <f aca="false">IF(OR($F139="",$G139=""),"",$F139*$G139)</f>
        <v/>
      </c>
      <c r="I139" s="13"/>
      <c r="J139" s="13"/>
      <c r="K139" s="13"/>
    </row>
    <row r="140" customFormat="false" ht="15.75" hidden="false" customHeight="true" outlineLevel="0" collapsed="false">
      <c r="A140" s="13"/>
      <c r="B140" s="28"/>
      <c r="C140" s="13"/>
      <c r="D140" s="13"/>
      <c r="E140" s="13"/>
      <c r="F140" s="14"/>
      <c r="G140" s="14"/>
      <c r="H140" s="15" t="str">
        <f aca="false">IF(OR($F140="",$G140=""),"",$F140*$G140)</f>
        <v/>
      </c>
      <c r="I140" s="13"/>
      <c r="J140" s="13"/>
      <c r="K140" s="13"/>
    </row>
    <row r="141" customFormat="false" ht="15.75" hidden="false" customHeight="true" outlineLevel="0" collapsed="false">
      <c r="A141" s="13"/>
      <c r="B141" s="28"/>
      <c r="C141" s="13"/>
      <c r="D141" s="13"/>
      <c r="E141" s="13"/>
      <c r="F141" s="14"/>
      <c r="G141" s="14"/>
      <c r="H141" s="15" t="str">
        <f aca="false">IF(OR($F141="",$G141=""),"",$F141*$G141)</f>
        <v/>
      </c>
      <c r="I141" s="13"/>
      <c r="J141" s="13"/>
      <c r="K141" s="13"/>
    </row>
    <row r="142" customFormat="false" ht="15.75" hidden="false" customHeight="true" outlineLevel="0" collapsed="false">
      <c r="A142" s="13"/>
      <c r="B142" s="28"/>
      <c r="C142" s="13"/>
      <c r="D142" s="13"/>
      <c r="E142" s="13"/>
      <c r="F142" s="14"/>
      <c r="G142" s="14"/>
      <c r="H142" s="15" t="str">
        <f aca="false">IF(OR($F142="",$G142=""),"",$F142*$G142)</f>
        <v/>
      </c>
      <c r="I142" s="13"/>
      <c r="J142" s="13"/>
      <c r="K142" s="13"/>
    </row>
    <row r="143" customFormat="false" ht="15.75" hidden="false" customHeight="true" outlineLevel="0" collapsed="false">
      <c r="A143" s="13"/>
      <c r="B143" s="28"/>
      <c r="C143" s="13"/>
      <c r="D143" s="13"/>
      <c r="E143" s="13"/>
      <c r="F143" s="14"/>
      <c r="G143" s="14"/>
      <c r="H143" s="15" t="str">
        <f aca="false">IF(OR($F143="",$G143=""),"",$F143*$G143)</f>
        <v/>
      </c>
      <c r="I143" s="13"/>
      <c r="J143" s="13"/>
      <c r="K143" s="13"/>
    </row>
    <row r="144" customFormat="false" ht="15.75" hidden="false" customHeight="true" outlineLevel="0" collapsed="false">
      <c r="A144" s="13"/>
      <c r="B144" s="28"/>
      <c r="C144" s="13"/>
      <c r="D144" s="13"/>
      <c r="E144" s="13"/>
      <c r="F144" s="14"/>
      <c r="G144" s="14"/>
      <c r="H144" s="15" t="str">
        <f aca="false">IF(OR($F144="",$G144=""),"",$F144*$G144)</f>
        <v/>
      </c>
      <c r="I144" s="13"/>
      <c r="J144" s="13"/>
      <c r="K144" s="13"/>
    </row>
    <row r="145" customFormat="false" ht="15.75" hidden="false" customHeight="true" outlineLevel="0" collapsed="false">
      <c r="A145" s="13"/>
      <c r="B145" s="28"/>
      <c r="C145" s="13"/>
      <c r="D145" s="13"/>
      <c r="E145" s="13"/>
      <c r="F145" s="14"/>
      <c r="G145" s="14"/>
      <c r="H145" s="15" t="str">
        <f aca="false">IF(OR($F145="",$G145=""),"",$F145*$G145)</f>
        <v/>
      </c>
      <c r="I145" s="13"/>
      <c r="J145" s="13"/>
      <c r="K145" s="13"/>
    </row>
    <row r="146" customFormat="false" ht="15.75" hidden="false" customHeight="true" outlineLevel="0" collapsed="false">
      <c r="A146" s="13"/>
      <c r="B146" s="28"/>
      <c r="C146" s="13"/>
      <c r="D146" s="13"/>
      <c r="E146" s="13"/>
      <c r="F146" s="14"/>
      <c r="G146" s="14"/>
      <c r="H146" s="15" t="str">
        <f aca="false">IF(OR($F146="",$G146=""),"",$F146*$G146)</f>
        <v/>
      </c>
      <c r="I146" s="13"/>
      <c r="J146" s="13"/>
      <c r="K146" s="13"/>
    </row>
    <row r="147" customFormat="false" ht="15.75" hidden="false" customHeight="true" outlineLevel="0" collapsed="false">
      <c r="A147" s="13"/>
      <c r="B147" s="28"/>
      <c r="C147" s="13"/>
      <c r="D147" s="13"/>
      <c r="E147" s="13"/>
      <c r="F147" s="14"/>
      <c r="G147" s="14"/>
      <c r="H147" s="15" t="str">
        <f aca="false">IF(OR($F147="",$G147=""),"",$F147*$G147)</f>
        <v/>
      </c>
      <c r="I147" s="13"/>
      <c r="J147" s="13"/>
      <c r="K147" s="13"/>
    </row>
    <row r="148" customFormat="false" ht="15.75" hidden="false" customHeight="true" outlineLevel="0" collapsed="false">
      <c r="A148" s="13"/>
      <c r="B148" s="28"/>
      <c r="C148" s="13"/>
      <c r="D148" s="13"/>
      <c r="E148" s="13"/>
      <c r="F148" s="14"/>
      <c r="G148" s="14"/>
      <c r="H148" s="15" t="str">
        <f aca="false">IF(OR($F148="",$G148=""),"",$F148*$G148)</f>
        <v/>
      </c>
      <c r="I148" s="13"/>
      <c r="J148" s="13"/>
      <c r="K148" s="13"/>
    </row>
    <row r="149" customFormat="false" ht="15.75" hidden="false" customHeight="true" outlineLevel="0" collapsed="false">
      <c r="A149" s="13"/>
      <c r="B149" s="28"/>
      <c r="C149" s="13"/>
      <c r="D149" s="13"/>
      <c r="E149" s="13"/>
      <c r="F149" s="14"/>
      <c r="G149" s="14"/>
      <c r="H149" s="15" t="str">
        <f aca="false">IF(OR($F149="",$G149=""),"",$F149*$G149)</f>
        <v/>
      </c>
      <c r="I149" s="13"/>
      <c r="J149" s="13"/>
      <c r="K149" s="13"/>
    </row>
    <row r="150" customFormat="false" ht="15.75" hidden="false" customHeight="true" outlineLevel="0" collapsed="false">
      <c r="A150" s="13"/>
      <c r="B150" s="28"/>
      <c r="C150" s="13"/>
      <c r="D150" s="13"/>
      <c r="E150" s="13"/>
      <c r="F150" s="14"/>
      <c r="G150" s="14"/>
      <c r="H150" s="15" t="str">
        <f aca="false">IF(OR($F150="",$G150=""),"",$F150*$G150)</f>
        <v/>
      </c>
      <c r="I150" s="13"/>
      <c r="J150" s="13"/>
      <c r="K150" s="13"/>
    </row>
    <row r="151" customFormat="false" ht="15.75" hidden="false" customHeight="true" outlineLevel="0" collapsed="false">
      <c r="A151" s="13"/>
      <c r="B151" s="28"/>
      <c r="C151" s="13"/>
      <c r="D151" s="13"/>
      <c r="E151" s="13"/>
      <c r="F151" s="14"/>
      <c r="G151" s="14"/>
      <c r="H151" s="15" t="str">
        <f aca="false">IF(OR($F151="",$G151=""),"",$F151*$G151)</f>
        <v/>
      </c>
      <c r="I151" s="13"/>
      <c r="J151" s="13"/>
      <c r="K151" s="13"/>
    </row>
    <row r="152" customFormat="false" ht="15.75" hidden="false" customHeight="true" outlineLevel="0" collapsed="false">
      <c r="A152" s="13"/>
      <c r="B152" s="28"/>
      <c r="C152" s="13"/>
      <c r="D152" s="13"/>
      <c r="E152" s="13"/>
      <c r="F152" s="14"/>
      <c r="G152" s="14"/>
      <c r="H152" s="15" t="str">
        <f aca="false">IF(OR($F152="",$G152=""),"",$F152*$G152)</f>
        <v/>
      </c>
      <c r="I152" s="13"/>
      <c r="J152" s="13"/>
      <c r="K152" s="13"/>
    </row>
    <row r="153" customFormat="false" ht="15.75" hidden="false" customHeight="true" outlineLevel="0" collapsed="false">
      <c r="A153" s="13"/>
      <c r="B153" s="28"/>
      <c r="C153" s="13"/>
      <c r="D153" s="13"/>
      <c r="E153" s="13"/>
      <c r="F153" s="14"/>
      <c r="G153" s="14"/>
      <c r="H153" s="15" t="str">
        <f aca="false">IF(OR($F153="",$G153=""),"",$F153*$G153)</f>
        <v/>
      </c>
      <c r="I153" s="13"/>
      <c r="J153" s="13"/>
      <c r="K153" s="13"/>
    </row>
    <row r="154" customFormat="false" ht="15.75" hidden="false" customHeight="true" outlineLevel="0" collapsed="false">
      <c r="A154" s="13"/>
      <c r="B154" s="28"/>
      <c r="C154" s="13"/>
      <c r="D154" s="13"/>
      <c r="E154" s="13"/>
      <c r="F154" s="14"/>
      <c r="G154" s="14"/>
      <c r="H154" s="15" t="str">
        <f aca="false">IF(OR($F154="",$G154=""),"",$F154*$G154)</f>
        <v/>
      </c>
      <c r="I154" s="13"/>
      <c r="J154" s="13"/>
      <c r="K154" s="13"/>
    </row>
    <row r="155" customFormat="false" ht="15.75" hidden="false" customHeight="true" outlineLevel="0" collapsed="false">
      <c r="A155" s="13"/>
      <c r="B155" s="28"/>
      <c r="C155" s="13"/>
      <c r="D155" s="13"/>
      <c r="E155" s="13"/>
      <c r="F155" s="14"/>
      <c r="G155" s="14"/>
      <c r="H155" s="15" t="str">
        <f aca="false">IF(OR($F155="",$G155=""),"",$F155*$G155)</f>
        <v/>
      </c>
      <c r="I155" s="13"/>
      <c r="J155" s="13"/>
      <c r="K155" s="13"/>
    </row>
    <row r="156" customFormat="false" ht="15.75" hidden="false" customHeight="true" outlineLevel="0" collapsed="false">
      <c r="A156" s="13"/>
      <c r="B156" s="28"/>
      <c r="C156" s="13"/>
      <c r="D156" s="13"/>
      <c r="E156" s="13"/>
      <c r="F156" s="14"/>
      <c r="G156" s="14"/>
      <c r="H156" s="15" t="str">
        <f aca="false">IF(OR($F156="",$G156=""),"",$F156*$G156)</f>
        <v/>
      </c>
      <c r="I156" s="13"/>
      <c r="J156" s="13"/>
      <c r="K156" s="13"/>
    </row>
    <row r="157" customFormat="false" ht="15.75" hidden="false" customHeight="true" outlineLevel="0" collapsed="false">
      <c r="A157" s="13"/>
      <c r="B157" s="28"/>
      <c r="C157" s="13"/>
      <c r="D157" s="13"/>
      <c r="E157" s="13"/>
      <c r="F157" s="14"/>
      <c r="G157" s="14"/>
      <c r="H157" s="15" t="str">
        <f aca="false">IF(OR($F157="",$G157=""),"",$F157*$G157)</f>
        <v/>
      </c>
      <c r="I157" s="13"/>
      <c r="J157" s="13"/>
      <c r="K157" s="13"/>
    </row>
    <row r="158" customFormat="false" ht="15.75" hidden="false" customHeight="true" outlineLevel="0" collapsed="false">
      <c r="A158" s="13"/>
      <c r="B158" s="28"/>
      <c r="C158" s="13"/>
      <c r="D158" s="13"/>
      <c r="E158" s="13"/>
      <c r="F158" s="14"/>
      <c r="G158" s="14"/>
      <c r="H158" s="15" t="str">
        <f aca="false">IF(OR($F158="",$G158=""),"",$F158*$G158)</f>
        <v/>
      </c>
      <c r="I158" s="13"/>
      <c r="J158" s="13"/>
      <c r="K158" s="13"/>
    </row>
    <row r="159" customFormat="false" ht="15.75" hidden="false" customHeight="true" outlineLevel="0" collapsed="false">
      <c r="A159" s="13"/>
      <c r="B159" s="28"/>
      <c r="C159" s="13"/>
      <c r="D159" s="13"/>
      <c r="E159" s="13"/>
      <c r="F159" s="14"/>
      <c r="G159" s="14"/>
      <c r="H159" s="15" t="str">
        <f aca="false">IF(OR($F159="",$G159=""),"",$F159*$G159)</f>
        <v/>
      </c>
      <c r="I159" s="13"/>
      <c r="J159" s="13"/>
      <c r="K159" s="13"/>
    </row>
    <row r="160" customFormat="false" ht="15.75" hidden="false" customHeight="true" outlineLevel="0" collapsed="false">
      <c r="A160" s="13"/>
      <c r="B160" s="28"/>
      <c r="C160" s="13"/>
      <c r="D160" s="13"/>
      <c r="E160" s="13"/>
      <c r="F160" s="14"/>
      <c r="G160" s="14"/>
      <c r="H160" s="15" t="str">
        <f aca="false">IF(OR($F160="",$G160=""),"",$F160*$G160)</f>
        <v/>
      </c>
      <c r="I160" s="13"/>
      <c r="J160" s="13"/>
      <c r="K160" s="13"/>
    </row>
    <row r="161" customFormat="false" ht="15.75" hidden="false" customHeight="true" outlineLevel="0" collapsed="false">
      <c r="A161" s="13"/>
      <c r="B161" s="28"/>
      <c r="C161" s="13"/>
      <c r="D161" s="13"/>
      <c r="E161" s="13"/>
      <c r="F161" s="14"/>
      <c r="G161" s="14"/>
      <c r="H161" s="15" t="str">
        <f aca="false">IF(OR($F161="",$G161=""),"",$F161*$G161)</f>
        <v/>
      </c>
      <c r="I161" s="13"/>
      <c r="J161" s="13"/>
      <c r="K161" s="13"/>
    </row>
    <row r="162" customFormat="false" ht="15.75" hidden="false" customHeight="true" outlineLevel="0" collapsed="false">
      <c r="A162" s="13"/>
      <c r="B162" s="28"/>
      <c r="C162" s="13"/>
      <c r="D162" s="13"/>
      <c r="E162" s="13"/>
      <c r="F162" s="14"/>
      <c r="G162" s="14"/>
      <c r="H162" s="15" t="str">
        <f aca="false">IF(OR($F162="",$G162=""),"",$F162*$G162)</f>
        <v/>
      </c>
      <c r="I162" s="13"/>
      <c r="J162" s="13"/>
      <c r="K162" s="13"/>
    </row>
    <row r="163" customFormat="false" ht="15.75" hidden="false" customHeight="true" outlineLevel="0" collapsed="false">
      <c r="A163" s="13"/>
      <c r="B163" s="28"/>
      <c r="C163" s="13"/>
      <c r="D163" s="13"/>
      <c r="E163" s="13"/>
      <c r="F163" s="14"/>
      <c r="G163" s="14"/>
      <c r="H163" s="15" t="str">
        <f aca="false">IF(OR($F163="",$G163=""),"",$F163*$G163)</f>
        <v/>
      </c>
      <c r="I163" s="13"/>
      <c r="J163" s="13"/>
      <c r="K163" s="13"/>
    </row>
    <row r="164" customFormat="false" ht="15.75" hidden="false" customHeight="true" outlineLevel="0" collapsed="false">
      <c r="A164" s="13"/>
      <c r="B164" s="28"/>
      <c r="C164" s="13"/>
      <c r="D164" s="13"/>
      <c r="E164" s="13"/>
      <c r="F164" s="14"/>
      <c r="G164" s="14"/>
      <c r="H164" s="15" t="str">
        <f aca="false">IF(OR($F164="",$G164=""),"",$F164*$G164)</f>
        <v/>
      </c>
      <c r="I164" s="13"/>
      <c r="J164" s="13"/>
      <c r="K164" s="13"/>
    </row>
    <row r="165" customFormat="false" ht="15.75" hidden="false" customHeight="true" outlineLevel="0" collapsed="false">
      <c r="A165" s="13"/>
      <c r="B165" s="28"/>
      <c r="C165" s="13"/>
      <c r="D165" s="13"/>
      <c r="E165" s="13"/>
      <c r="F165" s="14"/>
      <c r="G165" s="14"/>
      <c r="H165" s="15" t="str">
        <f aca="false">IF(OR($F165="",$G165=""),"",$F165*$G165)</f>
        <v/>
      </c>
      <c r="I165" s="13"/>
      <c r="J165" s="13"/>
      <c r="K165" s="13"/>
    </row>
    <row r="166" customFormat="false" ht="15.75" hidden="false" customHeight="true" outlineLevel="0" collapsed="false">
      <c r="A166" s="13"/>
      <c r="B166" s="28"/>
      <c r="C166" s="13"/>
      <c r="D166" s="13"/>
      <c r="E166" s="13"/>
      <c r="F166" s="14"/>
      <c r="G166" s="14"/>
      <c r="H166" s="15" t="str">
        <f aca="false">IF(OR($F166="",$G166=""),"",$F166*$G166)</f>
        <v/>
      </c>
      <c r="I166" s="13"/>
      <c r="J166" s="13"/>
      <c r="K166" s="13"/>
    </row>
    <row r="167" customFormat="false" ht="15.75" hidden="false" customHeight="true" outlineLevel="0" collapsed="false">
      <c r="A167" s="13"/>
      <c r="B167" s="28"/>
      <c r="C167" s="13"/>
      <c r="D167" s="13"/>
      <c r="E167" s="13"/>
      <c r="F167" s="14"/>
      <c r="G167" s="14"/>
      <c r="H167" s="15" t="str">
        <f aca="false">IF(OR($F167="",$G167=""),"",$F167*$G167)</f>
        <v/>
      </c>
      <c r="I167" s="13"/>
      <c r="J167" s="13"/>
      <c r="K167" s="13"/>
    </row>
    <row r="168" customFormat="false" ht="15.75" hidden="false" customHeight="true" outlineLevel="0" collapsed="false">
      <c r="A168" s="13"/>
      <c r="B168" s="28"/>
      <c r="C168" s="13"/>
      <c r="D168" s="13"/>
      <c r="E168" s="13"/>
      <c r="F168" s="14"/>
      <c r="G168" s="14"/>
      <c r="H168" s="15" t="str">
        <f aca="false">IF(OR($F168="",$G168=""),"",$F168*$G168)</f>
        <v/>
      </c>
      <c r="I168" s="13"/>
      <c r="J168" s="13"/>
      <c r="K168" s="13"/>
    </row>
    <row r="169" customFormat="false" ht="15.75" hidden="false" customHeight="true" outlineLevel="0" collapsed="false">
      <c r="A169" s="13"/>
      <c r="B169" s="28"/>
      <c r="C169" s="13"/>
      <c r="D169" s="13"/>
      <c r="E169" s="13"/>
      <c r="F169" s="14"/>
      <c r="G169" s="14"/>
      <c r="H169" s="15" t="str">
        <f aca="false">IF(OR($F169="",$G169=""),"",$F169*$G169)</f>
        <v/>
      </c>
      <c r="I169" s="13"/>
      <c r="J169" s="13"/>
      <c r="K169" s="13"/>
    </row>
    <row r="170" customFormat="false" ht="15.75" hidden="false" customHeight="true" outlineLevel="0" collapsed="false">
      <c r="A170" s="13"/>
      <c r="B170" s="28"/>
      <c r="C170" s="13"/>
      <c r="D170" s="13"/>
      <c r="E170" s="13"/>
      <c r="F170" s="14"/>
      <c r="G170" s="14"/>
      <c r="H170" s="15" t="str">
        <f aca="false">IF(OR($F170="",$G170=""),"",$F170*$G170)</f>
        <v/>
      </c>
      <c r="I170" s="13"/>
      <c r="J170" s="13"/>
      <c r="K170" s="13"/>
    </row>
    <row r="171" customFormat="false" ht="15.75" hidden="false" customHeight="true" outlineLevel="0" collapsed="false">
      <c r="A171" s="13"/>
      <c r="B171" s="28"/>
      <c r="C171" s="13"/>
      <c r="D171" s="13"/>
      <c r="E171" s="13"/>
      <c r="F171" s="14"/>
      <c r="G171" s="14"/>
      <c r="H171" s="15" t="str">
        <f aca="false">IF(OR($F171="",$G171=""),"",$F171*$G171)</f>
        <v/>
      </c>
      <c r="I171" s="13"/>
      <c r="J171" s="13"/>
      <c r="K171" s="13"/>
    </row>
    <row r="172" customFormat="false" ht="15.75" hidden="false" customHeight="true" outlineLevel="0" collapsed="false">
      <c r="A172" s="13"/>
      <c r="B172" s="28"/>
      <c r="C172" s="13"/>
      <c r="D172" s="13"/>
      <c r="E172" s="13"/>
      <c r="F172" s="14"/>
      <c r="G172" s="14"/>
      <c r="H172" s="15" t="str">
        <f aca="false">IF(OR($F172="",$G172=""),"",$F172*$G172)</f>
        <v/>
      </c>
      <c r="I172" s="13"/>
      <c r="J172" s="13"/>
      <c r="K172" s="13"/>
    </row>
    <row r="173" customFormat="false" ht="15.75" hidden="false" customHeight="true" outlineLevel="0" collapsed="false">
      <c r="A173" s="13"/>
      <c r="B173" s="28"/>
      <c r="C173" s="13"/>
      <c r="D173" s="13"/>
      <c r="E173" s="13"/>
      <c r="F173" s="14"/>
      <c r="G173" s="14"/>
      <c r="H173" s="15" t="str">
        <f aca="false">IF(OR($F173="",$G173=""),"",$F173*$G173)</f>
        <v/>
      </c>
      <c r="I173" s="13"/>
      <c r="J173" s="13"/>
      <c r="K173" s="13"/>
    </row>
    <row r="174" customFormat="false" ht="15.75" hidden="false" customHeight="true" outlineLevel="0" collapsed="false">
      <c r="A174" s="13"/>
      <c r="B174" s="28"/>
      <c r="C174" s="13"/>
      <c r="D174" s="13"/>
      <c r="E174" s="13"/>
      <c r="F174" s="14"/>
      <c r="G174" s="14"/>
      <c r="H174" s="15" t="str">
        <f aca="false">IF(OR($F174="",$G174=""),"",$F174*$G174)</f>
        <v/>
      </c>
      <c r="I174" s="13"/>
      <c r="J174" s="13"/>
      <c r="K174" s="13"/>
    </row>
    <row r="175" customFormat="false" ht="15.75" hidden="false" customHeight="true" outlineLevel="0" collapsed="false">
      <c r="A175" s="13"/>
      <c r="B175" s="28"/>
      <c r="C175" s="13"/>
      <c r="D175" s="13"/>
      <c r="E175" s="13"/>
      <c r="F175" s="14"/>
      <c r="G175" s="14"/>
      <c r="H175" s="15" t="str">
        <f aca="false">IF(OR($F175="",$G175=""),"",$F175*$G175)</f>
        <v/>
      </c>
      <c r="I175" s="13"/>
      <c r="J175" s="13"/>
      <c r="K175" s="13"/>
    </row>
    <row r="176" customFormat="false" ht="15.75" hidden="false" customHeight="true" outlineLevel="0" collapsed="false">
      <c r="A176" s="13"/>
      <c r="B176" s="28"/>
      <c r="C176" s="13"/>
      <c r="D176" s="13"/>
      <c r="E176" s="13"/>
      <c r="F176" s="14"/>
      <c r="G176" s="14"/>
      <c r="H176" s="15" t="str">
        <f aca="false">IF(OR($F176="",$G176=""),"",$F176*$G176)</f>
        <v/>
      </c>
      <c r="I176" s="13"/>
      <c r="J176" s="13"/>
      <c r="K176" s="13"/>
    </row>
    <row r="177" customFormat="false" ht="15.75" hidden="false" customHeight="true" outlineLevel="0" collapsed="false">
      <c r="A177" s="13"/>
      <c r="B177" s="28"/>
      <c r="C177" s="13"/>
      <c r="D177" s="13"/>
      <c r="E177" s="13"/>
      <c r="F177" s="14"/>
      <c r="G177" s="14"/>
      <c r="H177" s="15" t="str">
        <f aca="false">IF(OR($F177="",$G177=""),"",$F177*$G177)</f>
        <v/>
      </c>
      <c r="I177" s="13"/>
      <c r="J177" s="13"/>
      <c r="K177" s="13"/>
    </row>
    <row r="178" customFormat="false" ht="15.75" hidden="false" customHeight="true" outlineLevel="0" collapsed="false">
      <c r="A178" s="13"/>
      <c r="B178" s="28"/>
      <c r="C178" s="13"/>
      <c r="D178" s="13"/>
      <c r="E178" s="13"/>
      <c r="F178" s="14"/>
      <c r="G178" s="14"/>
      <c r="H178" s="15" t="str">
        <f aca="false">IF(OR($F178="",$G178=""),"",$F178*$G178)</f>
        <v/>
      </c>
      <c r="I178" s="13"/>
      <c r="J178" s="13"/>
      <c r="K178" s="13"/>
    </row>
    <row r="179" customFormat="false" ht="15.75" hidden="false" customHeight="true" outlineLevel="0" collapsed="false">
      <c r="A179" s="13"/>
      <c r="B179" s="28"/>
      <c r="C179" s="13"/>
      <c r="D179" s="13"/>
      <c r="E179" s="13"/>
      <c r="F179" s="14"/>
      <c r="G179" s="14"/>
      <c r="H179" s="15" t="str">
        <f aca="false">IF(OR($F179="",$G179=""),"",$F179*$G179)</f>
        <v/>
      </c>
      <c r="I179" s="13"/>
      <c r="J179" s="13"/>
      <c r="K179" s="13"/>
    </row>
    <row r="180" customFormat="false" ht="15.75" hidden="false" customHeight="true" outlineLevel="0" collapsed="false">
      <c r="A180" s="13"/>
      <c r="B180" s="28"/>
      <c r="C180" s="13"/>
      <c r="D180" s="13"/>
      <c r="E180" s="13"/>
      <c r="F180" s="14"/>
      <c r="G180" s="14"/>
      <c r="H180" s="15" t="str">
        <f aca="false">IF(OR($F180="",$G180=""),"",$F180*$G180)</f>
        <v/>
      </c>
      <c r="I180" s="13"/>
      <c r="J180" s="13"/>
      <c r="K180" s="13"/>
    </row>
    <row r="181" customFormat="false" ht="15.75" hidden="false" customHeight="true" outlineLevel="0" collapsed="false">
      <c r="A181" s="13"/>
      <c r="B181" s="28"/>
      <c r="C181" s="13"/>
      <c r="D181" s="13"/>
      <c r="E181" s="13"/>
      <c r="F181" s="14"/>
      <c r="G181" s="14"/>
      <c r="H181" s="15" t="str">
        <f aca="false">IF(OR($F181="",$G181=""),"",$F181*$G181)</f>
        <v/>
      </c>
      <c r="I181" s="13"/>
      <c r="J181" s="13"/>
      <c r="K181" s="13"/>
    </row>
    <row r="182" customFormat="false" ht="15.75" hidden="false" customHeight="true" outlineLevel="0" collapsed="false">
      <c r="A182" s="13"/>
      <c r="B182" s="28"/>
      <c r="C182" s="13"/>
      <c r="D182" s="13"/>
      <c r="E182" s="13"/>
      <c r="F182" s="14"/>
      <c r="G182" s="14"/>
      <c r="H182" s="15" t="str">
        <f aca="false">IF(OR($F182="",$G182=""),"",$F182*$G182)</f>
        <v/>
      </c>
      <c r="I182" s="13"/>
      <c r="J182" s="13"/>
      <c r="K182" s="13"/>
    </row>
    <row r="183" customFormat="false" ht="15.75" hidden="false" customHeight="true" outlineLevel="0" collapsed="false">
      <c r="A183" s="13"/>
      <c r="B183" s="28"/>
      <c r="C183" s="13"/>
      <c r="D183" s="13"/>
      <c r="E183" s="13"/>
      <c r="F183" s="14"/>
      <c r="G183" s="14"/>
      <c r="H183" s="15" t="str">
        <f aca="false">IF(OR($F183="",$G183=""),"",$F183*$G183)</f>
        <v/>
      </c>
      <c r="I183" s="13"/>
      <c r="J183" s="13"/>
      <c r="K183" s="13"/>
    </row>
    <row r="184" customFormat="false" ht="15.75" hidden="false" customHeight="true" outlineLevel="0" collapsed="false">
      <c r="A184" s="13"/>
      <c r="B184" s="28"/>
      <c r="C184" s="13"/>
      <c r="D184" s="13"/>
      <c r="E184" s="13"/>
      <c r="F184" s="14"/>
      <c r="G184" s="14"/>
      <c r="H184" s="15" t="str">
        <f aca="false">IF(OR($F184="",$G184=""),"",$F184*$G184)</f>
        <v/>
      </c>
      <c r="I184" s="13"/>
      <c r="J184" s="13"/>
      <c r="K184" s="13"/>
    </row>
    <row r="185" customFormat="false" ht="15.75" hidden="false" customHeight="true" outlineLevel="0" collapsed="false">
      <c r="A185" s="13"/>
      <c r="B185" s="28"/>
      <c r="C185" s="13"/>
      <c r="D185" s="13"/>
      <c r="E185" s="13"/>
      <c r="F185" s="14"/>
      <c r="G185" s="14"/>
      <c r="H185" s="15" t="str">
        <f aca="false">IF(OR($F185="",$G185=""),"",$F185*$G185)</f>
        <v/>
      </c>
      <c r="I185" s="13"/>
      <c r="J185" s="13"/>
      <c r="K185" s="13"/>
    </row>
    <row r="186" customFormat="false" ht="15.75" hidden="false" customHeight="true" outlineLevel="0" collapsed="false">
      <c r="A186" s="13"/>
      <c r="B186" s="28"/>
      <c r="C186" s="13"/>
      <c r="D186" s="13"/>
      <c r="E186" s="13"/>
      <c r="F186" s="14"/>
      <c r="G186" s="14"/>
      <c r="H186" s="15" t="str">
        <f aca="false">IF(OR($F186="",$G186=""),"",$F186*$G186)</f>
        <v/>
      </c>
      <c r="I186" s="13"/>
      <c r="J186" s="13"/>
      <c r="K186" s="13"/>
    </row>
    <row r="187" customFormat="false" ht="15.75" hidden="false" customHeight="true" outlineLevel="0" collapsed="false">
      <c r="A187" s="13"/>
      <c r="B187" s="28"/>
      <c r="C187" s="13"/>
      <c r="D187" s="13"/>
      <c r="E187" s="13"/>
      <c r="F187" s="14"/>
      <c r="G187" s="14"/>
      <c r="H187" s="15" t="str">
        <f aca="false">IF(OR($F187="",$G187=""),"",$F187*$G187)</f>
        <v/>
      </c>
      <c r="I187" s="13"/>
      <c r="J187" s="13"/>
      <c r="K187" s="13"/>
    </row>
    <row r="188" customFormat="false" ht="15.75" hidden="false" customHeight="true" outlineLevel="0" collapsed="false">
      <c r="A188" s="13"/>
      <c r="B188" s="28"/>
      <c r="C188" s="13"/>
      <c r="D188" s="13"/>
      <c r="E188" s="13"/>
      <c r="F188" s="14"/>
      <c r="G188" s="14"/>
      <c r="H188" s="15" t="str">
        <f aca="false">IF(OR($F188="",$G188=""),"",$F188*$G188)</f>
        <v/>
      </c>
      <c r="I188" s="13"/>
      <c r="J188" s="13"/>
      <c r="K188" s="13"/>
    </row>
    <row r="189" customFormat="false" ht="15.75" hidden="false" customHeight="true" outlineLevel="0" collapsed="false">
      <c r="A189" s="13"/>
      <c r="B189" s="28"/>
      <c r="C189" s="13"/>
      <c r="D189" s="13"/>
      <c r="E189" s="13"/>
      <c r="F189" s="14"/>
      <c r="G189" s="14"/>
      <c r="H189" s="15" t="str">
        <f aca="false">IF(OR($F189="",$G189=""),"",$F189*$G189)</f>
        <v/>
      </c>
      <c r="I189" s="13"/>
      <c r="J189" s="13"/>
      <c r="K189" s="13"/>
    </row>
    <row r="190" customFormat="false" ht="15.75" hidden="false" customHeight="true" outlineLevel="0" collapsed="false">
      <c r="A190" s="13"/>
      <c r="B190" s="28"/>
      <c r="C190" s="13"/>
      <c r="D190" s="13"/>
      <c r="E190" s="13"/>
      <c r="F190" s="14"/>
      <c r="G190" s="14"/>
      <c r="H190" s="15" t="str">
        <f aca="false">IF(OR($F190="",$G190=""),"",$F190*$G190)</f>
        <v/>
      </c>
      <c r="I190" s="13"/>
      <c r="J190" s="13"/>
      <c r="K190" s="13"/>
    </row>
    <row r="191" customFormat="false" ht="15.75" hidden="false" customHeight="true" outlineLevel="0" collapsed="false">
      <c r="A191" s="13"/>
      <c r="B191" s="28"/>
      <c r="C191" s="13"/>
      <c r="D191" s="13"/>
      <c r="E191" s="13"/>
      <c r="F191" s="14"/>
      <c r="G191" s="14"/>
      <c r="H191" s="15" t="str">
        <f aca="false">IF(OR($F191="",$G191=""),"",$F191*$G191)</f>
        <v/>
      </c>
      <c r="I191" s="13"/>
      <c r="J191" s="13"/>
      <c r="K191" s="13"/>
    </row>
    <row r="192" customFormat="false" ht="15.75" hidden="false" customHeight="true" outlineLevel="0" collapsed="false">
      <c r="A192" s="13"/>
      <c r="B192" s="28"/>
      <c r="C192" s="13"/>
      <c r="D192" s="13"/>
      <c r="E192" s="13"/>
      <c r="F192" s="14"/>
      <c r="G192" s="14"/>
      <c r="H192" s="15" t="str">
        <f aca="false">IF(OR($F192="",$G192=""),"",$F192*$G192)</f>
        <v/>
      </c>
      <c r="I192" s="13"/>
      <c r="J192" s="13"/>
      <c r="K192" s="13"/>
    </row>
    <row r="193" customFormat="false" ht="15.75" hidden="false" customHeight="true" outlineLevel="0" collapsed="false">
      <c r="A193" s="13"/>
      <c r="B193" s="28"/>
      <c r="C193" s="13"/>
      <c r="D193" s="13"/>
      <c r="E193" s="13"/>
      <c r="F193" s="14"/>
      <c r="G193" s="14"/>
      <c r="H193" s="15" t="str">
        <f aca="false">IF(OR($F193="",$G193=""),"",$F193*$G193)</f>
        <v/>
      </c>
      <c r="I193" s="13"/>
      <c r="J193" s="13"/>
      <c r="K193" s="13"/>
    </row>
    <row r="194" customFormat="false" ht="15.75" hidden="false" customHeight="true" outlineLevel="0" collapsed="false">
      <c r="A194" s="13"/>
      <c r="B194" s="28"/>
      <c r="C194" s="13"/>
      <c r="D194" s="13"/>
      <c r="E194" s="13"/>
      <c r="F194" s="14"/>
      <c r="G194" s="14"/>
      <c r="H194" s="15" t="str">
        <f aca="false">IF(OR($F194="",$G194=""),"",$F194*$G194)</f>
        <v/>
      </c>
      <c r="I194" s="13"/>
      <c r="J194" s="13"/>
      <c r="K194" s="13"/>
    </row>
    <row r="195" customFormat="false" ht="15.75" hidden="false" customHeight="true" outlineLevel="0" collapsed="false">
      <c r="A195" s="13"/>
      <c r="B195" s="28"/>
      <c r="C195" s="13"/>
      <c r="D195" s="13"/>
      <c r="E195" s="13"/>
      <c r="F195" s="14"/>
      <c r="G195" s="14"/>
      <c r="H195" s="15" t="str">
        <f aca="false">IF(OR($F195="",$G195=""),"",$F195*$G195)</f>
        <v/>
      </c>
      <c r="I195" s="13"/>
      <c r="J195" s="13"/>
      <c r="K195" s="13"/>
    </row>
    <row r="196" customFormat="false" ht="15.75" hidden="false" customHeight="true" outlineLevel="0" collapsed="false">
      <c r="A196" s="13"/>
      <c r="B196" s="28"/>
      <c r="C196" s="13"/>
      <c r="D196" s="13"/>
      <c r="E196" s="13"/>
      <c r="F196" s="14"/>
      <c r="G196" s="14"/>
      <c r="H196" s="15" t="str">
        <f aca="false">IF(OR($F196="",$G196=""),"",$F196*$G196)</f>
        <v/>
      </c>
      <c r="I196" s="13"/>
      <c r="J196" s="13"/>
      <c r="K196" s="13"/>
    </row>
    <row r="197" customFormat="false" ht="15.75" hidden="false" customHeight="true" outlineLevel="0" collapsed="false">
      <c r="A197" s="13"/>
      <c r="B197" s="28"/>
      <c r="C197" s="13"/>
      <c r="D197" s="13"/>
      <c r="E197" s="13"/>
      <c r="F197" s="14"/>
      <c r="G197" s="14"/>
      <c r="H197" s="15" t="str">
        <f aca="false">IF(OR($F197="",$G197=""),"",$F197*$G197)</f>
        <v/>
      </c>
      <c r="I197" s="13"/>
      <c r="J197" s="13"/>
      <c r="K197" s="13"/>
    </row>
    <row r="198" customFormat="false" ht="15.75" hidden="false" customHeight="true" outlineLevel="0" collapsed="false">
      <c r="A198" s="13"/>
      <c r="B198" s="28"/>
      <c r="C198" s="13"/>
      <c r="D198" s="13"/>
      <c r="E198" s="13"/>
      <c r="F198" s="14"/>
      <c r="G198" s="14"/>
      <c r="H198" s="15" t="str">
        <f aca="false">IF(OR($F198="",$G198=""),"",$F198*$G198)</f>
        <v/>
      </c>
      <c r="I198" s="13"/>
      <c r="J198" s="13"/>
      <c r="K198" s="13"/>
    </row>
    <row r="199" customFormat="false" ht="15.75" hidden="false" customHeight="true" outlineLevel="0" collapsed="false">
      <c r="A199" s="13"/>
      <c r="B199" s="28"/>
      <c r="C199" s="13"/>
      <c r="D199" s="13"/>
      <c r="E199" s="13"/>
      <c r="F199" s="14"/>
      <c r="G199" s="14"/>
      <c r="H199" s="15" t="str">
        <f aca="false">IF(OR($F199="",$G199=""),"",$F199*$G199)</f>
        <v/>
      </c>
      <c r="I199" s="13"/>
      <c r="J199" s="13"/>
      <c r="K199" s="13"/>
    </row>
    <row r="200" customFormat="false" ht="15.75" hidden="false" customHeight="true" outlineLevel="0" collapsed="false">
      <c r="A200" s="13"/>
      <c r="B200" s="28"/>
      <c r="C200" s="13"/>
      <c r="D200" s="13"/>
      <c r="E200" s="13"/>
      <c r="F200" s="14"/>
      <c r="G200" s="14"/>
      <c r="H200" s="15" t="str">
        <f aca="false">IF(OR($F200="",$G200=""),"",$F200*$G200)</f>
        <v/>
      </c>
      <c r="I200" s="13"/>
      <c r="J200" s="13"/>
      <c r="K200" s="13"/>
    </row>
    <row r="201" customFormat="false" ht="15.75" hidden="false" customHeight="true" outlineLevel="0" collapsed="false">
      <c r="A201" s="13"/>
      <c r="B201" s="28"/>
      <c r="C201" s="13"/>
      <c r="D201" s="13"/>
      <c r="E201" s="13"/>
      <c r="F201" s="14"/>
      <c r="G201" s="14"/>
      <c r="H201" s="15" t="str">
        <f aca="false">IF(OR($F201="",$G201=""),"",$F201*$G201)</f>
        <v/>
      </c>
      <c r="I201" s="13"/>
      <c r="J201" s="13"/>
      <c r="K201" s="13"/>
    </row>
    <row r="202" customFormat="false" ht="15.75" hidden="false" customHeight="true" outlineLevel="0" collapsed="false">
      <c r="A202" s="13"/>
      <c r="B202" s="28"/>
      <c r="C202" s="13"/>
      <c r="D202" s="13"/>
      <c r="E202" s="13"/>
      <c r="F202" s="14"/>
      <c r="G202" s="14"/>
      <c r="H202" s="15" t="str">
        <f aca="false">IF(OR($F202="",$G202=""),"",$F202*$G202)</f>
        <v/>
      </c>
      <c r="I202" s="13"/>
      <c r="J202" s="13"/>
      <c r="K202" s="13"/>
    </row>
    <row r="203" customFormat="false" ht="15.75" hidden="false" customHeight="true" outlineLevel="0" collapsed="false">
      <c r="A203" s="13"/>
      <c r="B203" s="28"/>
      <c r="C203" s="13"/>
      <c r="D203" s="13"/>
      <c r="E203" s="13"/>
      <c r="F203" s="14"/>
      <c r="G203" s="14"/>
      <c r="H203" s="15" t="str">
        <f aca="false">IF(OR($F203="",$G203=""),"",$F203*$G203)</f>
        <v/>
      </c>
      <c r="I203" s="13"/>
      <c r="J203" s="13"/>
      <c r="K203" s="13"/>
    </row>
    <row r="204" customFormat="false" ht="15.75" hidden="false" customHeight="true" outlineLevel="0" collapsed="false">
      <c r="A204" s="13"/>
      <c r="B204" s="28"/>
      <c r="C204" s="13"/>
      <c r="D204" s="13"/>
      <c r="E204" s="13"/>
      <c r="F204" s="14"/>
      <c r="G204" s="14"/>
      <c r="H204" s="15" t="str">
        <f aca="false">IF(OR($F204="",$G204=""),"",$F204*$G204)</f>
        <v/>
      </c>
      <c r="I204" s="13"/>
      <c r="J204" s="13"/>
      <c r="K204" s="13"/>
    </row>
    <row r="205" customFormat="false" ht="15.75" hidden="false" customHeight="true" outlineLevel="0" collapsed="false">
      <c r="A205" s="13"/>
      <c r="B205" s="28"/>
      <c r="C205" s="13"/>
      <c r="D205" s="13"/>
      <c r="E205" s="13"/>
      <c r="F205" s="14"/>
      <c r="G205" s="14"/>
      <c r="H205" s="15" t="str">
        <f aca="false">IF(OR($F205="",$G205=""),"",$F205*$G205)</f>
        <v/>
      </c>
      <c r="I205" s="13"/>
      <c r="J205" s="13"/>
      <c r="K205" s="13"/>
    </row>
    <row r="206" customFormat="false" ht="15.75" hidden="false" customHeight="true" outlineLevel="0" collapsed="false">
      <c r="A206" s="13"/>
      <c r="B206" s="28"/>
      <c r="C206" s="13"/>
      <c r="D206" s="13"/>
      <c r="E206" s="13"/>
      <c r="F206" s="14"/>
      <c r="G206" s="14"/>
      <c r="H206" s="15" t="str">
        <f aca="false">IF(OR($F206="",$G206=""),"",$F206*$G206)</f>
        <v/>
      </c>
      <c r="I206" s="13"/>
      <c r="J206" s="13"/>
      <c r="K206" s="13"/>
    </row>
    <row r="207" customFormat="false" ht="15.75" hidden="false" customHeight="true" outlineLevel="0" collapsed="false">
      <c r="A207" s="13"/>
      <c r="B207" s="28"/>
      <c r="C207" s="13"/>
      <c r="D207" s="13"/>
      <c r="E207" s="13"/>
      <c r="F207" s="14"/>
      <c r="G207" s="14"/>
      <c r="H207" s="15" t="str">
        <f aca="false">IF(OR($F207="",$G207=""),"",$F207*$G207)</f>
        <v/>
      </c>
      <c r="I207" s="13"/>
      <c r="J207" s="13"/>
      <c r="K207" s="13"/>
    </row>
    <row r="208" customFormat="false" ht="15.75" hidden="false" customHeight="true" outlineLevel="0" collapsed="false">
      <c r="A208" s="13"/>
      <c r="B208" s="28"/>
      <c r="C208" s="13"/>
      <c r="D208" s="13"/>
      <c r="E208" s="13"/>
      <c r="F208" s="14"/>
      <c r="G208" s="14"/>
      <c r="H208" s="15" t="str">
        <f aca="false">IF(OR($F208="",$G208=""),"",$F208*$G208)</f>
        <v/>
      </c>
      <c r="I208" s="13"/>
      <c r="J208" s="13"/>
      <c r="K208" s="13"/>
    </row>
    <row r="209" customFormat="false" ht="15.75" hidden="false" customHeight="true" outlineLevel="0" collapsed="false">
      <c r="A209" s="13"/>
      <c r="B209" s="28"/>
      <c r="C209" s="13"/>
      <c r="D209" s="13"/>
      <c r="E209" s="13"/>
      <c r="F209" s="14"/>
      <c r="G209" s="14"/>
      <c r="H209" s="15" t="str">
        <f aca="false">IF(OR($F209="",$G209=""),"",$F209*$G209)</f>
        <v/>
      </c>
      <c r="I209" s="13"/>
      <c r="J209" s="13"/>
      <c r="K209" s="13"/>
    </row>
    <row r="210" customFormat="false" ht="15.75" hidden="false" customHeight="true" outlineLevel="0" collapsed="false">
      <c r="A210" s="13"/>
      <c r="B210" s="28"/>
      <c r="C210" s="13"/>
      <c r="D210" s="13"/>
      <c r="E210" s="13"/>
      <c r="F210" s="14"/>
      <c r="G210" s="14"/>
      <c r="H210" s="15" t="str">
        <f aca="false">IF(OR($F210="",$G210=""),"",$F210*$G210)</f>
        <v/>
      </c>
      <c r="I210" s="13"/>
      <c r="J210" s="13"/>
      <c r="K210" s="13"/>
    </row>
    <row r="211" customFormat="false" ht="15.75" hidden="false" customHeight="true" outlineLevel="0" collapsed="false">
      <c r="A211" s="13"/>
      <c r="B211" s="28"/>
      <c r="C211" s="13"/>
      <c r="D211" s="13"/>
      <c r="E211" s="13"/>
      <c r="F211" s="14"/>
      <c r="G211" s="14"/>
      <c r="H211" s="15" t="str">
        <f aca="false">IF(OR($F211="",$G211=""),"",$F211*$G211)</f>
        <v/>
      </c>
      <c r="I211" s="13"/>
      <c r="J211" s="13"/>
      <c r="K211" s="13"/>
    </row>
    <row r="212" customFormat="false" ht="15.75" hidden="false" customHeight="true" outlineLevel="0" collapsed="false">
      <c r="A212" s="13"/>
      <c r="B212" s="28"/>
      <c r="C212" s="13"/>
      <c r="D212" s="13"/>
      <c r="E212" s="13"/>
      <c r="F212" s="14"/>
      <c r="G212" s="14"/>
      <c r="H212" s="15" t="str">
        <f aca="false">IF(OR($F212="",$G212=""),"",$F212*$G212)</f>
        <v/>
      </c>
      <c r="I212" s="13"/>
      <c r="J212" s="13"/>
      <c r="K212" s="13"/>
    </row>
    <row r="213" customFormat="false" ht="15.75" hidden="false" customHeight="true" outlineLevel="0" collapsed="false">
      <c r="A213" s="13"/>
      <c r="B213" s="28"/>
      <c r="C213" s="13"/>
      <c r="D213" s="13"/>
      <c r="E213" s="13"/>
      <c r="F213" s="14"/>
      <c r="G213" s="14"/>
      <c r="H213" s="15" t="str">
        <f aca="false">IF(OR($F213="",$G213=""),"",$F213*$G213)</f>
        <v/>
      </c>
      <c r="I213" s="13"/>
      <c r="J213" s="13"/>
      <c r="K213" s="13"/>
    </row>
    <row r="214" customFormat="false" ht="15.75" hidden="false" customHeight="true" outlineLevel="0" collapsed="false">
      <c r="A214" s="13"/>
      <c r="B214" s="28"/>
      <c r="C214" s="13"/>
      <c r="D214" s="13"/>
      <c r="E214" s="13"/>
      <c r="F214" s="14"/>
      <c r="G214" s="14"/>
      <c r="H214" s="15" t="str">
        <f aca="false">IF(OR($F214="",$G214=""),"",$F214*$G214)</f>
        <v/>
      </c>
      <c r="I214" s="13"/>
      <c r="J214" s="13"/>
      <c r="K214" s="13"/>
    </row>
    <row r="215" customFormat="false" ht="15.75" hidden="false" customHeight="true" outlineLevel="0" collapsed="false">
      <c r="A215" s="13"/>
      <c r="B215" s="28"/>
      <c r="C215" s="13"/>
      <c r="D215" s="13"/>
      <c r="E215" s="13"/>
      <c r="F215" s="14"/>
      <c r="G215" s="14"/>
      <c r="H215" s="15" t="str">
        <f aca="false">IF(OR($F215="",$G215=""),"",$F215*$G215)</f>
        <v/>
      </c>
      <c r="I215" s="13"/>
      <c r="J215" s="13"/>
      <c r="K215" s="13"/>
    </row>
    <row r="216" customFormat="false" ht="15.75" hidden="false" customHeight="true" outlineLevel="0" collapsed="false">
      <c r="A216" s="13"/>
      <c r="B216" s="28"/>
      <c r="C216" s="13"/>
      <c r="D216" s="13"/>
      <c r="E216" s="13"/>
      <c r="F216" s="14"/>
      <c r="G216" s="14"/>
      <c r="H216" s="15" t="str">
        <f aca="false">IF(OR($F216="",$G216=""),"",$F216*$G216)</f>
        <v/>
      </c>
      <c r="I216" s="13"/>
      <c r="J216" s="13"/>
      <c r="K216" s="13"/>
    </row>
    <row r="217" customFormat="false" ht="15.75" hidden="false" customHeight="true" outlineLevel="0" collapsed="false">
      <c r="A217" s="13"/>
      <c r="B217" s="28"/>
      <c r="C217" s="13"/>
      <c r="D217" s="13"/>
      <c r="E217" s="13"/>
      <c r="F217" s="14"/>
      <c r="G217" s="14"/>
      <c r="H217" s="15" t="str">
        <f aca="false">IF(OR($F217="",$G217=""),"",$F217*$G217)</f>
        <v/>
      </c>
      <c r="I217" s="13"/>
      <c r="J217" s="13"/>
      <c r="K217" s="13"/>
    </row>
    <row r="218" customFormat="false" ht="15.75" hidden="false" customHeight="true" outlineLevel="0" collapsed="false">
      <c r="A218" s="13"/>
      <c r="B218" s="28"/>
      <c r="C218" s="13"/>
      <c r="D218" s="13"/>
      <c r="E218" s="13"/>
      <c r="F218" s="14"/>
      <c r="G218" s="14"/>
      <c r="H218" s="15" t="str">
        <f aca="false">IF(OR($F218="",$G218=""),"",$F218*$G218)</f>
        <v/>
      </c>
      <c r="I218" s="13"/>
      <c r="J218" s="13"/>
      <c r="K218" s="13"/>
    </row>
    <row r="219" customFormat="false" ht="15.75" hidden="false" customHeight="true" outlineLevel="0" collapsed="false">
      <c r="A219" s="13"/>
      <c r="B219" s="28"/>
      <c r="C219" s="13"/>
      <c r="D219" s="13"/>
      <c r="E219" s="13"/>
      <c r="F219" s="14"/>
      <c r="G219" s="14"/>
      <c r="H219" s="15" t="str">
        <f aca="false">IF(OR($F219="",$G219=""),"",$F219*$G219)</f>
        <v/>
      </c>
      <c r="I219" s="13"/>
      <c r="J219" s="13"/>
      <c r="K219" s="13"/>
    </row>
    <row r="220" customFormat="false" ht="15.75" hidden="false" customHeight="true" outlineLevel="0" collapsed="false">
      <c r="A220" s="13"/>
      <c r="B220" s="28"/>
      <c r="C220" s="13"/>
      <c r="D220" s="13"/>
      <c r="E220" s="13"/>
      <c r="F220" s="14"/>
      <c r="G220" s="14"/>
      <c r="H220" s="15" t="str">
        <f aca="false">IF(OR($F220="",$G220=""),"",$F220*$G220)</f>
        <v/>
      </c>
      <c r="I220" s="13"/>
      <c r="J220" s="13"/>
      <c r="K220" s="13"/>
    </row>
    <row r="221" customFormat="false" ht="15.75" hidden="false" customHeight="true" outlineLevel="0" collapsed="false">
      <c r="A221" s="13"/>
      <c r="B221" s="28"/>
      <c r="C221" s="13"/>
      <c r="D221" s="13"/>
      <c r="E221" s="13"/>
      <c r="F221" s="14"/>
      <c r="G221" s="14"/>
      <c r="H221" s="15" t="str">
        <f aca="false">IF(OR($F221="",$G221=""),"",$F221*$G221)</f>
        <v/>
      </c>
      <c r="I221" s="13"/>
      <c r="J221" s="13"/>
      <c r="K221" s="13"/>
    </row>
    <row r="222" customFormat="false" ht="15.75" hidden="false" customHeight="true" outlineLevel="0" collapsed="false">
      <c r="A222" s="13"/>
      <c r="B222" s="28"/>
      <c r="C222" s="13"/>
      <c r="D222" s="13"/>
      <c r="E222" s="13"/>
      <c r="F222" s="14"/>
      <c r="G222" s="14"/>
      <c r="H222" s="15" t="str">
        <f aca="false">IF(OR($F222="",$G222=""),"",$F222*$G222)</f>
        <v/>
      </c>
      <c r="I222" s="13"/>
      <c r="J222" s="13"/>
      <c r="K222" s="13"/>
    </row>
    <row r="223" customFormat="false" ht="15.75" hidden="false" customHeight="true" outlineLevel="0" collapsed="false">
      <c r="A223" s="13"/>
      <c r="B223" s="28"/>
      <c r="C223" s="13"/>
      <c r="D223" s="13"/>
      <c r="E223" s="13"/>
      <c r="F223" s="14"/>
      <c r="G223" s="14"/>
      <c r="H223" s="15" t="str">
        <f aca="false">IF(OR($F223="",$G223=""),"",$F223*$G223)</f>
        <v/>
      </c>
      <c r="I223" s="13"/>
      <c r="J223" s="13"/>
      <c r="K223" s="13"/>
    </row>
    <row r="224" customFormat="false" ht="15.75" hidden="false" customHeight="true" outlineLevel="0" collapsed="false">
      <c r="A224" s="13"/>
      <c r="B224" s="28"/>
      <c r="C224" s="13"/>
      <c r="D224" s="13"/>
      <c r="E224" s="13"/>
      <c r="F224" s="14"/>
      <c r="G224" s="14"/>
      <c r="H224" s="15" t="str">
        <f aca="false">IF(OR($F224="",$G224=""),"",$F224*$G224)</f>
        <v/>
      </c>
      <c r="I224" s="13"/>
      <c r="J224" s="13"/>
      <c r="K224" s="13"/>
    </row>
    <row r="225" customFormat="false" ht="15.75" hidden="false" customHeight="true" outlineLevel="0" collapsed="false">
      <c r="A225" s="13"/>
      <c r="B225" s="28"/>
      <c r="C225" s="13"/>
      <c r="D225" s="13"/>
      <c r="E225" s="13"/>
      <c r="F225" s="14"/>
      <c r="G225" s="14"/>
      <c r="H225" s="15" t="str">
        <f aca="false">IF(OR($F225="",$G225=""),"",$F225*$G225)</f>
        <v/>
      </c>
      <c r="I225" s="13"/>
      <c r="J225" s="13"/>
      <c r="K225" s="13"/>
    </row>
    <row r="226" customFormat="false" ht="15.75" hidden="false" customHeight="true" outlineLevel="0" collapsed="false">
      <c r="A226" s="13"/>
      <c r="B226" s="28"/>
      <c r="C226" s="13"/>
      <c r="D226" s="13"/>
      <c r="E226" s="13"/>
      <c r="F226" s="14"/>
      <c r="G226" s="14"/>
      <c r="H226" s="15" t="str">
        <f aca="false">IF(OR($F226="",$G226=""),"",$F226*$G226)</f>
        <v/>
      </c>
      <c r="I226" s="13"/>
      <c r="J226" s="13"/>
      <c r="K226" s="13"/>
    </row>
    <row r="227" customFormat="false" ht="15.75" hidden="false" customHeight="true" outlineLevel="0" collapsed="false">
      <c r="A227" s="13"/>
      <c r="B227" s="28"/>
      <c r="C227" s="13"/>
      <c r="D227" s="13"/>
      <c r="E227" s="13"/>
      <c r="F227" s="14"/>
      <c r="G227" s="14"/>
      <c r="H227" s="15" t="str">
        <f aca="false">IF(OR($F227="",$G227=""),"",$F227*$G227)</f>
        <v/>
      </c>
      <c r="I227" s="13"/>
      <c r="J227" s="13"/>
      <c r="K227" s="13"/>
    </row>
    <row r="228" customFormat="false" ht="15.75" hidden="false" customHeight="true" outlineLevel="0" collapsed="false">
      <c r="A228" s="13"/>
      <c r="B228" s="28"/>
      <c r="C228" s="13"/>
      <c r="D228" s="13"/>
      <c r="E228" s="13"/>
      <c r="F228" s="14"/>
      <c r="G228" s="14"/>
      <c r="H228" s="15" t="str">
        <f aca="false">IF(OR($F228="",$G228=""),"",$F228*$G228)</f>
        <v/>
      </c>
      <c r="I228" s="13"/>
      <c r="J228" s="13"/>
      <c r="K228" s="13"/>
    </row>
    <row r="229" customFormat="false" ht="15.75" hidden="false" customHeight="true" outlineLevel="0" collapsed="false">
      <c r="A229" s="13"/>
      <c r="B229" s="28"/>
      <c r="C229" s="13"/>
      <c r="D229" s="13"/>
      <c r="E229" s="13"/>
      <c r="F229" s="14"/>
      <c r="G229" s="14"/>
      <c r="H229" s="15" t="str">
        <f aca="false">IF(OR($F229="",$G229=""),"",$F229*$G229)</f>
        <v/>
      </c>
      <c r="I229" s="13"/>
      <c r="J229" s="13"/>
      <c r="K229" s="13"/>
    </row>
    <row r="230" customFormat="false" ht="15.75" hidden="false" customHeight="true" outlineLevel="0" collapsed="false">
      <c r="A230" s="13"/>
      <c r="B230" s="28"/>
      <c r="C230" s="13"/>
      <c r="D230" s="13"/>
      <c r="E230" s="13"/>
      <c r="F230" s="14"/>
      <c r="G230" s="14"/>
      <c r="H230" s="15" t="str">
        <f aca="false">IF(OR($F230="",$G230=""),"",$F230*$G230)</f>
        <v/>
      </c>
      <c r="I230" s="13"/>
      <c r="J230" s="13"/>
      <c r="K230" s="13"/>
    </row>
    <row r="231" customFormat="false" ht="15.75" hidden="false" customHeight="true" outlineLevel="0" collapsed="false">
      <c r="A231" s="13"/>
      <c r="B231" s="28"/>
      <c r="C231" s="13"/>
      <c r="D231" s="13"/>
      <c r="E231" s="13"/>
      <c r="F231" s="14"/>
      <c r="G231" s="14"/>
      <c r="H231" s="15" t="str">
        <f aca="false">IF(OR($F231="",$G231=""),"",$F231*$G231)</f>
        <v/>
      </c>
      <c r="I231" s="13"/>
      <c r="J231" s="13"/>
      <c r="K231" s="13"/>
    </row>
    <row r="232" customFormat="false" ht="15.75" hidden="false" customHeight="true" outlineLevel="0" collapsed="false">
      <c r="A232" s="13"/>
      <c r="B232" s="28"/>
      <c r="C232" s="13"/>
      <c r="D232" s="13"/>
      <c r="E232" s="13"/>
      <c r="F232" s="14"/>
      <c r="G232" s="14"/>
      <c r="H232" s="15" t="str">
        <f aca="false">IF(OR($F232="",$G232=""),"",$F232*$G232)</f>
        <v/>
      </c>
      <c r="I232" s="13"/>
      <c r="J232" s="13"/>
      <c r="K232" s="13"/>
    </row>
    <row r="233" customFormat="false" ht="15.75" hidden="false" customHeight="true" outlineLevel="0" collapsed="false">
      <c r="A233" s="13"/>
      <c r="B233" s="28"/>
      <c r="C233" s="13"/>
      <c r="D233" s="13"/>
      <c r="E233" s="13"/>
      <c r="F233" s="14"/>
      <c r="G233" s="14"/>
      <c r="H233" s="15" t="str">
        <f aca="false">IF(OR($F233="",$G233=""),"",$F233*$G233)</f>
        <v/>
      </c>
      <c r="I233" s="13"/>
      <c r="J233" s="13"/>
      <c r="K233" s="13"/>
    </row>
    <row r="234" customFormat="false" ht="15.75" hidden="false" customHeight="true" outlineLevel="0" collapsed="false">
      <c r="A234" s="13"/>
      <c r="B234" s="28"/>
      <c r="C234" s="13"/>
      <c r="D234" s="13"/>
      <c r="E234" s="13"/>
      <c r="F234" s="14"/>
      <c r="G234" s="14"/>
      <c r="H234" s="15" t="str">
        <f aca="false">IF(OR($F234="",$G234=""),"",$F234*$G234)</f>
        <v/>
      </c>
      <c r="I234" s="13"/>
      <c r="J234" s="13"/>
      <c r="K234" s="13"/>
    </row>
    <row r="235" customFormat="false" ht="15.75" hidden="false" customHeight="true" outlineLevel="0" collapsed="false">
      <c r="A235" s="13"/>
      <c r="B235" s="28"/>
      <c r="C235" s="13"/>
      <c r="D235" s="13"/>
      <c r="E235" s="13"/>
      <c r="F235" s="14"/>
      <c r="G235" s="14"/>
      <c r="H235" s="15" t="str">
        <f aca="false">IF(OR($F235="",$G235=""),"",$F235*$G235)</f>
        <v/>
      </c>
      <c r="I235" s="13"/>
      <c r="J235" s="13"/>
      <c r="K235" s="13"/>
    </row>
    <row r="236" customFormat="false" ht="15.75" hidden="false" customHeight="true" outlineLevel="0" collapsed="false">
      <c r="A236" s="13"/>
      <c r="B236" s="28"/>
      <c r="C236" s="13"/>
      <c r="D236" s="13"/>
      <c r="E236" s="13"/>
      <c r="F236" s="14"/>
      <c r="G236" s="14"/>
      <c r="H236" s="15" t="str">
        <f aca="false">IF(OR($F236="",$G236=""),"",$F236*$G236)</f>
        <v/>
      </c>
      <c r="I236" s="13"/>
      <c r="J236" s="13"/>
      <c r="K236" s="13"/>
    </row>
    <row r="237" customFormat="false" ht="15.75" hidden="false" customHeight="true" outlineLevel="0" collapsed="false">
      <c r="A237" s="13"/>
      <c r="B237" s="28"/>
      <c r="C237" s="13"/>
      <c r="D237" s="13"/>
      <c r="E237" s="13"/>
      <c r="F237" s="14"/>
      <c r="G237" s="14"/>
      <c r="H237" s="15" t="str">
        <f aca="false">IF(OR($F237="",$G237=""),"",$F237*$G237)</f>
        <v/>
      </c>
      <c r="I237" s="13"/>
      <c r="J237" s="13"/>
      <c r="K237" s="13"/>
    </row>
    <row r="238" customFormat="false" ht="15.75" hidden="false" customHeight="true" outlineLevel="0" collapsed="false">
      <c r="A238" s="13"/>
      <c r="B238" s="28"/>
      <c r="C238" s="13"/>
      <c r="D238" s="13"/>
      <c r="E238" s="13"/>
      <c r="F238" s="14"/>
      <c r="G238" s="14"/>
      <c r="H238" s="15" t="str">
        <f aca="false">IF(OR($F238="",$G238=""),"",$F238*$G238)</f>
        <v/>
      </c>
      <c r="I238" s="13"/>
      <c r="J238" s="13"/>
      <c r="K238" s="13"/>
    </row>
    <row r="239" customFormat="false" ht="15.75" hidden="false" customHeight="true" outlineLevel="0" collapsed="false">
      <c r="A239" s="13"/>
      <c r="B239" s="28"/>
      <c r="C239" s="13"/>
      <c r="D239" s="13"/>
      <c r="E239" s="13"/>
      <c r="F239" s="14"/>
      <c r="G239" s="14"/>
      <c r="H239" s="15" t="str">
        <f aca="false">IF(OR($F239="",$G239=""),"",$F239*$G239)</f>
        <v/>
      </c>
      <c r="I239" s="13"/>
      <c r="J239" s="13"/>
      <c r="K239" s="13"/>
    </row>
    <row r="240" customFormat="false" ht="15.75" hidden="false" customHeight="true" outlineLevel="0" collapsed="false">
      <c r="A240" s="13"/>
      <c r="B240" s="28"/>
      <c r="C240" s="13"/>
      <c r="D240" s="13"/>
      <c r="E240" s="13"/>
      <c r="F240" s="14"/>
      <c r="G240" s="14"/>
      <c r="H240" s="15" t="str">
        <f aca="false">IF(OR($F240="",$G240=""),"",$F240*$G240)</f>
        <v/>
      </c>
      <c r="I240" s="13"/>
      <c r="J240" s="13"/>
      <c r="K240" s="13"/>
    </row>
    <row r="241" customFormat="false" ht="15.75" hidden="false" customHeight="true" outlineLevel="0" collapsed="false">
      <c r="A241" s="13"/>
      <c r="B241" s="28"/>
      <c r="C241" s="13"/>
      <c r="D241" s="13"/>
      <c r="E241" s="13"/>
      <c r="F241" s="14"/>
      <c r="G241" s="14"/>
      <c r="H241" s="15" t="str">
        <f aca="false">IF(OR($F241="",$G241=""),"",$F241*$G241)</f>
        <v/>
      </c>
      <c r="I241" s="13"/>
      <c r="J241" s="13"/>
      <c r="K241" s="13"/>
    </row>
    <row r="242" customFormat="false" ht="15.75" hidden="false" customHeight="true" outlineLevel="0" collapsed="false">
      <c r="A242" s="13"/>
      <c r="B242" s="28"/>
      <c r="C242" s="13"/>
      <c r="D242" s="13"/>
      <c r="E242" s="13"/>
      <c r="F242" s="14"/>
      <c r="G242" s="14"/>
      <c r="H242" s="15" t="str">
        <f aca="false">IF(OR($F242="",$G242=""),"",$F242*$G242)</f>
        <v/>
      </c>
      <c r="I242" s="13"/>
      <c r="J242" s="13"/>
      <c r="K242" s="13"/>
    </row>
    <row r="243" customFormat="false" ht="15.75" hidden="false" customHeight="true" outlineLevel="0" collapsed="false">
      <c r="A243" s="13"/>
      <c r="B243" s="28"/>
      <c r="C243" s="13"/>
      <c r="D243" s="13"/>
      <c r="E243" s="13"/>
      <c r="F243" s="14"/>
      <c r="G243" s="14"/>
      <c r="H243" s="15" t="str">
        <f aca="false">IF(OR($F243="",$G243=""),"",$F243*$G243)</f>
        <v/>
      </c>
      <c r="I243" s="13"/>
      <c r="J243" s="13"/>
      <c r="K243" s="13"/>
    </row>
    <row r="244" customFormat="false" ht="15.75" hidden="false" customHeight="true" outlineLevel="0" collapsed="false">
      <c r="A244" s="13"/>
      <c r="B244" s="28"/>
      <c r="C244" s="13"/>
      <c r="D244" s="13"/>
      <c r="E244" s="13"/>
      <c r="F244" s="14"/>
      <c r="G244" s="14"/>
      <c r="H244" s="15" t="str">
        <f aca="false">IF(OR($F244="",$G244=""),"",$F244*$G244)</f>
        <v/>
      </c>
      <c r="I244" s="13"/>
      <c r="J244" s="13"/>
      <c r="K244" s="13"/>
    </row>
    <row r="245" customFormat="false" ht="15.75" hidden="false" customHeight="true" outlineLevel="0" collapsed="false">
      <c r="A245" s="13"/>
      <c r="B245" s="28"/>
      <c r="C245" s="13"/>
      <c r="D245" s="13"/>
      <c r="E245" s="13"/>
      <c r="F245" s="14"/>
      <c r="G245" s="14"/>
      <c r="H245" s="15" t="str">
        <f aca="false">IF(OR($F245="",$G245=""),"",$F245*$G245)</f>
        <v/>
      </c>
      <c r="I245" s="13"/>
      <c r="J245" s="13"/>
      <c r="K245" s="13"/>
    </row>
    <row r="246" customFormat="false" ht="15.75" hidden="false" customHeight="true" outlineLevel="0" collapsed="false">
      <c r="A246" s="13"/>
      <c r="B246" s="28"/>
      <c r="C246" s="13"/>
      <c r="D246" s="13"/>
      <c r="E246" s="13"/>
      <c r="F246" s="14"/>
      <c r="G246" s="14"/>
      <c r="H246" s="15" t="str">
        <f aca="false">IF(OR($F246="",$G246=""),"",$F246*$G246)</f>
        <v/>
      </c>
      <c r="I246" s="13"/>
      <c r="J246" s="13"/>
      <c r="K246" s="13"/>
    </row>
    <row r="247" customFormat="false" ht="15.75" hidden="false" customHeight="true" outlineLevel="0" collapsed="false">
      <c r="A247" s="13"/>
      <c r="B247" s="28"/>
      <c r="C247" s="13"/>
      <c r="D247" s="13"/>
      <c r="E247" s="13"/>
      <c r="F247" s="14"/>
      <c r="G247" s="14"/>
      <c r="H247" s="15" t="str">
        <f aca="false">IF(OR($F247="",$G247=""),"",$F247*$G247)</f>
        <v/>
      </c>
      <c r="I247" s="13"/>
      <c r="J247" s="13"/>
      <c r="K247" s="13"/>
    </row>
    <row r="248" customFormat="false" ht="15.75" hidden="false" customHeight="true" outlineLevel="0" collapsed="false">
      <c r="A248" s="13"/>
      <c r="B248" s="28"/>
      <c r="C248" s="13"/>
      <c r="D248" s="13"/>
      <c r="E248" s="13"/>
      <c r="F248" s="14"/>
      <c r="G248" s="14"/>
      <c r="H248" s="15" t="str">
        <f aca="false">IF(OR($F248="",$G248=""),"",$F248*$G248)</f>
        <v/>
      </c>
      <c r="I248" s="13"/>
      <c r="J248" s="13"/>
      <c r="K248" s="13"/>
    </row>
    <row r="249" customFormat="false" ht="15.75" hidden="false" customHeight="true" outlineLevel="0" collapsed="false">
      <c r="A249" s="13"/>
      <c r="B249" s="28"/>
      <c r="C249" s="13"/>
      <c r="D249" s="13"/>
      <c r="E249" s="13"/>
      <c r="F249" s="14"/>
      <c r="G249" s="14"/>
      <c r="H249" s="15" t="str">
        <f aca="false">IF(OR($F249="",$G249=""),"",$F249*$G249)</f>
        <v/>
      </c>
      <c r="I249" s="13"/>
      <c r="J249" s="13"/>
      <c r="K249" s="13"/>
    </row>
    <row r="250" customFormat="false" ht="15.75" hidden="false" customHeight="true" outlineLevel="0" collapsed="false">
      <c r="A250" s="13"/>
      <c r="B250" s="28"/>
      <c r="C250" s="13"/>
      <c r="D250" s="13"/>
      <c r="E250" s="13"/>
      <c r="F250" s="14"/>
      <c r="G250" s="14"/>
      <c r="H250" s="15" t="str">
        <f aca="false">IF(OR($F250="",$G250=""),"",$F250*$G250)</f>
        <v/>
      </c>
      <c r="I250" s="13"/>
      <c r="J250" s="13"/>
      <c r="K250" s="13"/>
    </row>
    <row r="251" customFormat="false" ht="15.75" hidden="false" customHeight="true" outlineLevel="0" collapsed="false">
      <c r="A251" s="13"/>
      <c r="B251" s="28"/>
      <c r="C251" s="13"/>
      <c r="D251" s="13"/>
      <c r="E251" s="13"/>
      <c r="F251" s="14"/>
      <c r="G251" s="14"/>
      <c r="H251" s="15" t="str">
        <f aca="false">IF(OR($F251="",$G251=""),"",$F251*$G251)</f>
        <v/>
      </c>
      <c r="I251" s="13"/>
      <c r="J251" s="13"/>
      <c r="K251" s="13"/>
    </row>
    <row r="252" customFormat="false" ht="15.75" hidden="false" customHeight="true" outlineLevel="0" collapsed="false">
      <c r="A252" s="13"/>
      <c r="B252" s="28"/>
      <c r="C252" s="13"/>
      <c r="D252" s="13"/>
      <c r="E252" s="13"/>
      <c r="F252" s="14"/>
      <c r="G252" s="14"/>
      <c r="H252" s="15" t="str">
        <f aca="false">IF(OR($F252="",$G252=""),"",$F252*$G252)</f>
        <v/>
      </c>
      <c r="I252" s="13"/>
      <c r="J252" s="13"/>
      <c r="K252" s="13"/>
    </row>
    <row r="253" customFormat="false" ht="15.75" hidden="false" customHeight="true" outlineLevel="0" collapsed="false">
      <c r="A253" s="13"/>
      <c r="B253" s="28"/>
      <c r="C253" s="13"/>
      <c r="D253" s="13"/>
      <c r="E253" s="13"/>
      <c r="F253" s="14"/>
      <c r="G253" s="14"/>
      <c r="H253" s="15" t="str">
        <f aca="false">IF(OR($F253="",$G253=""),"",$F253*$G253)</f>
        <v/>
      </c>
      <c r="I253" s="13"/>
      <c r="J253" s="13"/>
      <c r="K253" s="13"/>
    </row>
    <row r="254" customFormat="false" ht="15.75" hidden="false" customHeight="true" outlineLevel="0" collapsed="false">
      <c r="A254" s="13"/>
      <c r="B254" s="28"/>
      <c r="C254" s="13"/>
      <c r="D254" s="13"/>
      <c r="E254" s="13"/>
      <c r="F254" s="14"/>
      <c r="G254" s="14"/>
      <c r="H254" s="15" t="str">
        <f aca="false">IF(OR($F254="",$G254=""),"",$F254*$G254)</f>
        <v/>
      </c>
      <c r="I254" s="13"/>
      <c r="J254" s="13"/>
      <c r="K254" s="13"/>
    </row>
    <row r="255" customFormat="false" ht="15.75" hidden="false" customHeight="true" outlineLevel="0" collapsed="false">
      <c r="A255" s="13"/>
      <c r="B255" s="28"/>
      <c r="C255" s="13"/>
      <c r="D255" s="13"/>
      <c r="E255" s="13"/>
      <c r="F255" s="14"/>
      <c r="G255" s="14"/>
      <c r="H255" s="15" t="str">
        <f aca="false">IF(OR($F255="",$G255=""),"",$F255*$G255)</f>
        <v/>
      </c>
      <c r="I255" s="13"/>
      <c r="J255" s="13"/>
      <c r="K255" s="13"/>
    </row>
    <row r="256" customFormat="false" ht="15.75" hidden="false" customHeight="true" outlineLevel="0" collapsed="false">
      <c r="A256" s="13"/>
      <c r="B256" s="28"/>
      <c r="C256" s="13"/>
      <c r="D256" s="13"/>
      <c r="E256" s="13"/>
      <c r="F256" s="14"/>
      <c r="G256" s="14"/>
      <c r="H256" s="15" t="str">
        <f aca="false">IF(OR($F256="",$G256=""),"",$F256*$G256)</f>
        <v/>
      </c>
      <c r="I256" s="13"/>
      <c r="J256" s="13"/>
      <c r="K256" s="13"/>
    </row>
    <row r="257" customFormat="false" ht="15.75" hidden="false" customHeight="true" outlineLevel="0" collapsed="false">
      <c r="A257" s="13"/>
      <c r="B257" s="28"/>
      <c r="C257" s="13"/>
      <c r="D257" s="13"/>
      <c r="E257" s="13"/>
      <c r="F257" s="14"/>
      <c r="G257" s="14"/>
      <c r="H257" s="15" t="str">
        <f aca="false">IF(OR($F257="",$G257=""),"",$F257*$G257)</f>
        <v/>
      </c>
      <c r="I257" s="13"/>
      <c r="J257" s="13"/>
      <c r="K257" s="13"/>
    </row>
    <row r="258" customFormat="false" ht="15.75" hidden="false" customHeight="true" outlineLevel="0" collapsed="false">
      <c r="A258" s="13"/>
      <c r="B258" s="28"/>
      <c r="C258" s="13"/>
      <c r="D258" s="13"/>
      <c r="E258" s="13"/>
      <c r="F258" s="14"/>
      <c r="G258" s="14"/>
      <c r="H258" s="15" t="str">
        <f aca="false">IF(OR($F258="",$G258=""),"",$F258*$G258)</f>
        <v/>
      </c>
      <c r="I258" s="13"/>
      <c r="J258" s="13"/>
      <c r="K258" s="13"/>
    </row>
    <row r="259" customFormat="false" ht="15.75" hidden="false" customHeight="true" outlineLevel="0" collapsed="false">
      <c r="A259" s="13"/>
      <c r="B259" s="28"/>
      <c r="C259" s="13"/>
      <c r="D259" s="13"/>
      <c r="E259" s="13"/>
      <c r="F259" s="14"/>
      <c r="G259" s="14"/>
      <c r="H259" s="15" t="str">
        <f aca="false">IF(OR($F259="",$G259=""),"",$F259*$G259)</f>
        <v/>
      </c>
      <c r="I259" s="13"/>
      <c r="J259" s="13"/>
      <c r="K259" s="13"/>
    </row>
    <row r="260" customFormat="false" ht="15.75" hidden="false" customHeight="true" outlineLevel="0" collapsed="false">
      <c r="A260" s="13"/>
      <c r="B260" s="28"/>
      <c r="C260" s="13"/>
      <c r="D260" s="13"/>
      <c r="E260" s="13"/>
      <c r="F260" s="14"/>
      <c r="G260" s="14"/>
      <c r="H260" s="15" t="str">
        <f aca="false">IF(OR($F260="",$G260=""),"",$F260*$G260)</f>
        <v/>
      </c>
      <c r="I260" s="13"/>
      <c r="J260" s="13"/>
      <c r="K260" s="13"/>
    </row>
    <row r="261" customFormat="false" ht="15.75" hidden="false" customHeight="true" outlineLevel="0" collapsed="false">
      <c r="A261" s="13"/>
      <c r="B261" s="28"/>
      <c r="C261" s="13"/>
      <c r="D261" s="13"/>
      <c r="E261" s="13"/>
      <c r="F261" s="14"/>
      <c r="G261" s="14"/>
      <c r="H261" s="15" t="str">
        <f aca="false">IF(OR($F261="",$G261=""),"",$F261*$G261)</f>
        <v/>
      </c>
      <c r="I261" s="13"/>
      <c r="J261" s="13"/>
      <c r="K261" s="13"/>
    </row>
    <row r="262" customFormat="false" ht="15.75" hidden="false" customHeight="true" outlineLevel="0" collapsed="false">
      <c r="A262" s="13"/>
      <c r="B262" s="28"/>
      <c r="C262" s="13"/>
      <c r="D262" s="13"/>
      <c r="E262" s="13"/>
      <c r="F262" s="14"/>
      <c r="G262" s="14"/>
      <c r="H262" s="15" t="str">
        <f aca="false">IF(OR($F262="",$G262=""),"",$F262*$G262)</f>
        <v/>
      </c>
      <c r="I262" s="13"/>
      <c r="J262" s="13"/>
      <c r="K262" s="13"/>
    </row>
    <row r="263" customFormat="false" ht="15.75" hidden="false" customHeight="true" outlineLevel="0" collapsed="false">
      <c r="A263" s="13"/>
      <c r="B263" s="28"/>
      <c r="C263" s="13"/>
      <c r="D263" s="13"/>
      <c r="E263" s="13"/>
      <c r="F263" s="14"/>
      <c r="G263" s="14"/>
      <c r="H263" s="15" t="str">
        <f aca="false">IF(OR($F263="",$G263=""),"",$F263*$G263)</f>
        <v/>
      </c>
      <c r="I263" s="13"/>
      <c r="J263" s="13"/>
      <c r="K263" s="13"/>
    </row>
    <row r="264" customFormat="false" ht="15.75" hidden="false" customHeight="true" outlineLevel="0" collapsed="false">
      <c r="A264" s="13"/>
      <c r="B264" s="28"/>
      <c r="C264" s="13"/>
      <c r="D264" s="13"/>
      <c r="E264" s="13"/>
      <c r="F264" s="14"/>
      <c r="G264" s="14"/>
      <c r="H264" s="15" t="str">
        <f aca="false">IF(OR($F264="",$G264=""),"",$F264*$G264)</f>
        <v/>
      </c>
      <c r="I264" s="13"/>
      <c r="J264" s="13"/>
      <c r="K264" s="13"/>
    </row>
    <row r="265" customFormat="false" ht="15.75" hidden="false" customHeight="true" outlineLevel="0" collapsed="false">
      <c r="A265" s="13"/>
      <c r="B265" s="28"/>
      <c r="C265" s="13"/>
      <c r="D265" s="13"/>
      <c r="E265" s="13"/>
      <c r="F265" s="14"/>
      <c r="G265" s="14"/>
      <c r="H265" s="15" t="str">
        <f aca="false">IF(OR($F265="",$G265=""),"",$F265*$G265)</f>
        <v/>
      </c>
      <c r="I265" s="13"/>
      <c r="J265" s="13"/>
      <c r="K265" s="13"/>
    </row>
    <row r="266" customFormat="false" ht="15.75" hidden="false" customHeight="true" outlineLevel="0" collapsed="false">
      <c r="A266" s="13"/>
      <c r="B266" s="28"/>
      <c r="C266" s="13"/>
      <c r="D266" s="13"/>
      <c r="E266" s="13"/>
      <c r="F266" s="14"/>
      <c r="G266" s="14"/>
      <c r="H266" s="15" t="str">
        <f aca="false">IF(OR($F266="",$G266=""),"",$F266*$G266)</f>
        <v/>
      </c>
      <c r="I266" s="13"/>
      <c r="J266" s="13"/>
      <c r="K266" s="13"/>
    </row>
    <row r="267" customFormat="false" ht="15.75" hidden="false" customHeight="true" outlineLevel="0" collapsed="false">
      <c r="A267" s="13"/>
      <c r="B267" s="28"/>
      <c r="C267" s="13"/>
      <c r="D267" s="13"/>
      <c r="E267" s="13"/>
      <c r="F267" s="14"/>
      <c r="G267" s="14"/>
      <c r="H267" s="15" t="str">
        <f aca="false">IF(OR($F267="",$G267=""),"",$F267*$G267)</f>
        <v/>
      </c>
      <c r="I267" s="13"/>
      <c r="J267" s="13"/>
      <c r="K267" s="13"/>
    </row>
    <row r="268" customFormat="false" ht="15.75" hidden="false" customHeight="true" outlineLevel="0" collapsed="false">
      <c r="A268" s="13"/>
      <c r="B268" s="28"/>
      <c r="C268" s="13"/>
      <c r="D268" s="13"/>
      <c r="E268" s="13"/>
      <c r="F268" s="14"/>
      <c r="G268" s="14"/>
      <c r="H268" s="15" t="str">
        <f aca="false">IF(OR($F268="",$G268=""),"",$F268*$G268)</f>
        <v/>
      </c>
      <c r="I268" s="13"/>
      <c r="J268" s="13"/>
      <c r="K268" s="13"/>
    </row>
    <row r="269" customFormat="false" ht="15.75" hidden="false" customHeight="true" outlineLevel="0" collapsed="false">
      <c r="A269" s="13"/>
      <c r="B269" s="28"/>
      <c r="C269" s="13"/>
      <c r="D269" s="13"/>
      <c r="E269" s="13"/>
      <c r="F269" s="14"/>
      <c r="G269" s="14"/>
      <c r="H269" s="15" t="str">
        <f aca="false">IF(OR($F269="",$G269=""),"",$F269*$G269)</f>
        <v/>
      </c>
      <c r="I269" s="13"/>
      <c r="J269" s="13"/>
      <c r="K269" s="13"/>
    </row>
    <row r="270" customFormat="false" ht="15.75" hidden="false" customHeight="true" outlineLevel="0" collapsed="false">
      <c r="A270" s="13"/>
      <c r="B270" s="28"/>
      <c r="C270" s="13"/>
      <c r="D270" s="13"/>
      <c r="E270" s="13"/>
      <c r="F270" s="14"/>
      <c r="G270" s="14"/>
      <c r="H270" s="15" t="str">
        <f aca="false">IF(OR($F270="",$G270=""),"",$F270*$G270)</f>
        <v/>
      </c>
      <c r="I270" s="13"/>
      <c r="J270" s="13"/>
      <c r="K270" s="13"/>
    </row>
    <row r="271" customFormat="false" ht="15.75" hidden="false" customHeight="true" outlineLevel="0" collapsed="false">
      <c r="A271" s="13"/>
      <c r="B271" s="28"/>
      <c r="C271" s="13"/>
      <c r="D271" s="13"/>
      <c r="E271" s="13"/>
      <c r="F271" s="14"/>
      <c r="G271" s="14"/>
      <c r="H271" s="15" t="str">
        <f aca="false">IF(OR($F271="",$G271=""),"",$F271*$G271)</f>
        <v/>
      </c>
      <c r="I271" s="13"/>
      <c r="J271" s="13"/>
      <c r="K271" s="13"/>
    </row>
    <row r="272" customFormat="false" ht="15.75" hidden="false" customHeight="true" outlineLevel="0" collapsed="false">
      <c r="A272" s="13"/>
      <c r="B272" s="28"/>
      <c r="C272" s="13"/>
      <c r="D272" s="13"/>
      <c r="E272" s="13"/>
      <c r="F272" s="14"/>
      <c r="G272" s="14"/>
      <c r="H272" s="15" t="str">
        <f aca="false">IF(OR($F272="",$G272=""),"",$F272*$G272)</f>
        <v/>
      </c>
      <c r="I272" s="13"/>
      <c r="J272" s="13"/>
      <c r="K272" s="13"/>
    </row>
    <row r="273" customFormat="false" ht="15.75" hidden="false" customHeight="true" outlineLevel="0" collapsed="false">
      <c r="A273" s="13"/>
      <c r="B273" s="28"/>
      <c r="C273" s="13"/>
      <c r="D273" s="13"/>
      <c r="E273" s="13"/>
      <c r="F273" s="14"/>
      <c r="G273" s="14"/>
      <c r="H273" s="15" t="str">
        <f aca="false">IF(OR($F273="",$G273=""),"",$F273*$G273)</f>
        <v/>
      </c>
      <c r="I273" s="13"/>
      <c r="J273" s="13"/>
      <c r="K273" s="13"/>
    </row>
    <row r="274" customFormat="false" ht="15.75" hidden="false" customHeight="true" outlineLevel="0" collapsed="false">
      <c r="A274" s="13"/>
      <c r="B274" s="28"/>
      <c r="C274" s="13"/>
      <c r="D274" s="13"/>
      <c r="E274" s="13"/>
      <c r="F274" s="14"/>
      <c r="G274" s="14"/>
      <c r="H274" s="15" t="str">
        <f aca="false">IF(OR($F274="",$G274=""),"",$F274*$G274)</f>
        <v/>
      </c>
      <c r="I274" s="13"/>
      <c r="J274" s="13"/>
      <c r="K274" s="13"/>
    </row>
    <row r="275" customFormat="false" ht="15.75" hidden="false" customHeight="true" outlineLevel="0" collapsed="false">
      <c r="A275" s="13"/>
      <c r="B275" s="28"/>
      <c r="C275" s="13"/>
      <c r="D275" s="13"/>
      <c r="E275" s="13"/>
      <c r="F275" s="14"/>
      <c r="G275" s="14"/>
      <c r="H275" s="15" t="str">
        <f aca="false">IF(OR($F275="",$G275=""),"",$F275*$G275)</f>
        <v/>
      </c>
      <c r="I275" s="13"/>
      <c r="J275" s="13"/>
      <c r="K275" s="13"/>
    </row>
    <row r="276" customFormat="false" ht="15.75" hidden="false" customHeight="true" outlineLevel="0" collapsed="false">
      <c r="A276" s="13"/>
      <c r="B276" s="28"/>
      <c r="C276" s="13"/>
      <c r="D276" s="13"/>
      <c r="E276" s="13"/>
      <c r="F276" s="14"/>
      <c r="G276" s="14"/>
      <c r="H276" s="15" t="str">
        <f aca="false">IF(OR($F276="",$G276=""),"",$F276*$G276)</f>
        <v/>
      </c>
      <c r="I276" s="13"/>
      <c r="J276" s="13"/>
      <c r="K276" s="13"/>
    </row>
    <row r="277" customFormat="false" ht="15.75" hidden="false" customHeight="true" outlineLevel="0" collapsed="false">
      <c r="A277" s="13"/>
      <c r="B277" s="28"/>
      <c r="C277" s="13"/>
      <c r="D277" s="13"/>
      <c r="E277" s="13"/>
      <c r="F277" s="14"/>
      <c r="G277" s="14"/>
      <c r="H277" s="15" t="str">
        <f aca="false">IF(OR($F277="",$G277=""),"",$F277*$G277)</f>
        <v/>
      </c>
      <c r="I277" s="13"/>
      <c r="J277" s="13"/>
      <c r="K277" s="13"/>
    </row>
    <row r="278" customFormat="false" ht="15.75" hidden="false" customHeight="true" outlineLevel="0" collapsed="false">
      <c r="A278" s="13"/>
      <c r="B278" s="28"/>
      <c r="C278" s="13"/>
      <c r="D278" s="13"/>
      <c r="E278" s="13"/>
      <c r="F278" s="14"/>
      <c r="G278" s="14"/>
      <c r="H278" s="15" t="str">
        <f aca="false">IF(OR($F278="",$G278=""),"",$F278*$G278)</f>
        <v/>
      </c>
      <c r="I278" s="13"/>
      <c r="J278" s="13"/>
      <c r="K278" s="13"/>
    </row>
    <row r="279" customFormat="false" ht="15.75" hidden="false" customHeight="true" outlineLevel="0" collapsed="false">
      <c r="A279" s="13"/>
      <c r="B279" s="28"/>
      <c r="C279" s="13"/>
      <c r="D279" s="13"/>
      <c r="E279" s="13"/>
      <c r="F279" s="14"/>
      <c r="G279" s="14"/>
      <c r="H279" s="15" t="str">
        <f aca="false">IF(OR($F279="",$G279=""),"",$F279*$G279)</f>
        <v/>
      </c>
      <c r="I279" s="13"/>
      <c r="J279" s="13"/>
      <c r="K279" s="13"/>
    </row>
    <row r="280" customFormat="false" ht="15.75" hidden="false" customHeight="true" outlineLevel="0" collapsed="false">
      <c r="A280" s="13"/>
      <c r="B280" s="28"/>
      <c r="C280" s="13"/>
      <c r="D280" s="13"/>
      <c r="E280" s="13"/>
      <c r="F280" s="14"/>
      <c r="G280" s="14"/>
      <c r="H280" s="15" t="str">
        <f aca="false">IF(OR($F280="",$G280=""),"",$F280*$G280)</f>
        <v/>
      </c>
      <c r="I280" s="13"/>
      <c r="J280" s="13"/>
      <c r="K280" s="13"/>
    </row>
    <row r="281" customFormat="false" ht="15.75" hidden="false" customHeight="true" outlineLevel="0" collapsed="false">
      <c r="A281" s="13"/>
      <c r="B281" s="28"/>
      <c r="C281" s="13"/>
      <c r="D281" s="13"/>
      <c r="E281" s="13"/>
      <c r="F281" s="14"/>
      <c r="G281" s="14"/>
      <c r="H281" s="15" t="str">
        <f aca="false">IF(OR($F281="",$G281=""),"",$F281*$G281)</f>
        <v/>
      </c>
      <c r="I281" s="13"/>
      <c r="J281" s="13"/>
      <c r="K281" s="13"/>
    </row>
    <row r="282" customFormat="false" ht="15.75" hidden="false" customHeight="true" outlineLevel="0" collapsed="false">
      <c r="A282" s="13"/>
      <c r="B282" s="28"/>
      <c r="C282" s="13"/>
      <c r="D282" s="13"/>
      <c r="E282" s="13"/>
      <c r="F282" s="14"/>
      <c r="G282" s="14"/>
      <c r="H282" s="15" t="str">
        <f aca="false">IF(OR($F282="",$G282=""),"",$F282*$G282)</f>
        <v/>
      </c>
      <c r="I282" s="13"/>
      <c r="J282" s="13"/>
      <c r="K282" s="13"/>
    </row>
    <row r="283" customFormat="false" ht="15.75" hidden="false" customHeight="true" outlineLevel="0" collapsed="false">
      <c r="A283" s="13"/>
      <c r="B283" s="28"/>
      <c r="C283" s="13"/>
      <c r="D283" s="13"/>
      <c r="E283" s="13"/>
      <c r="F283" s="14"/>
      <c r="G283" s="14"/>
      <c r="H283" s="15" t="str">
        <f aca="false">IF(OR($F283="",$G283=""),"",$F283*$G283)</f>
        <v/>
      </c>
      <c r="I283" s="13"/>
      <c r="J283" s="13"/>
      <c r="K283" s="13"/>
    </row>
    <row r="284" customFormat="false" ht="15.75" hidden="false" customHeight="true" outlineLevel="0" collapsed="false">
      <c r="A284" s="13"/>
      <c r="B284" s="28"/>
      <c r="C284" s="13"/>
      <c r="D284" s="13"/>
      <c r="E284" s="13"/>
      <c r="F284" s="14"/>
      <c r="G284" s="14"/>
      <c r="H284" s="15" t="str">
        <f aca="false">IF(OR($F284="",$G284=""),"",$F284*$G284)</f>
        <v/>
      </c>
      <c r="I284" s="13"/>
      <c r="J284" s="13"/>
      <c r="K284" s="13"/>
    </row>
    <row r="285" customFormat="false" ht="15.75" hidden="false" customHeight="true" outlineLevel="0" collapsed="false">
      <c r="A285" s="13"/>
      <c r="B285" s="28"/>
      <c r="C285" s="13"/>
      <c r="D285" s="13"/>
      <c r="E285" s="13"/>
      <c r="F285" s="14"/>
      <c r="G285" s="14"/>
      <c r="H285" s="15" t="str">
        <f aca="false">IF(OR($F285="",$G285=""),"",$F285*$G285)</f>
        <v/>
      </c>
      <c r="I285" s="13"/>
      <c r="J285" s="13"/>
      <c r="K285" s="13"/>
    </row>
    <row r="286" customFormat="false" ht="15.75" hidden="false" customHeight="true" outlineLevel="0" collapsed="false">
      <c r="A286" s="13"/>
      <c r="B286" s="28"/>
      <c r="C286" s="13"/>
      <c r="D286" s="13"/>
      <c r="E286" s="13"/>
      <c r="F286" s="14"/>
      <c r="G286" s="14"/>
      <c r="H286" s="15" t="str">
        <f aca="false">IF(OR($F286="",$G286=""),"",$F286*$G286)</f>
        <v/>
      </c>
      <c r="I286" s="13"/>
      <c r="J286" s="13"/>
      <c r="K286" s="13"/>
    </row>
    <row r="287" customFormat="false" ht="15.75" hidden="false" customHeight="true" outlineLevel="0" collapsed="false">
      <c r="A287" s="13"/>
      <c r="B287" s="28"/>
      <c r="C287" s="13"/>
      <c r="D287" s="13"/>
      <c r="E287" s="13"/>
      <c r="F287" s="14"/>
      <c r="G287" s="14"/>
      <c r="H287" s="15" t="str">
        <f aca="false">IF(OR($F287="",$G287=""),"",$F287*$G287)</f>
        <v/>
      </c>
      <c r="I287" s="13"/>
      <c r="J287" s="13"/>
      <c r="K287" s="13"/>
    </row>
    <row r="288" customFormat="false" ht="15.75" hidden="false" customHeight="true" outlineLevel="0" collapsed="false">
      <c r="A288" s="13"/>
      <c r="B288" s="28"/>
      <c r="C288" s="13"/>
      <c r="D288" s="13"/>
      <c r="E288" s="13"/>
      <c r="F288" s="14"/>
      <c r="G288" s="14"/>
      <c r="H288" s="15" t="str">
        <f aca="false">IF(OR($F288="",$G288=""),"",$F288*$G288)</f>
        <v/>
      </c>
      <c r="I288" s="13"/>
      <c r="J288" s="13"/>
      <c r="K288" s="13"/>
    </row>
    <row r="289" customFormat="false" ht="15.75" hidden="false" customHeight="true" outlineLevel="0" collapsed="false">
      <c r="A289" s="13"/>
      <c r="B289" s="28"/>
      <c r="C289" s="13"/>
      <c r="D289" s="13"/>
      <c r="E289" s="13"/>
      <c r="F289" s="14"/>
      <c r="G289" s="14"/>
      <c r="H289" s="15" t="str">
        <f aca="false">IF(OR($F289="",$G289=""),"",$F289*$G289)</f>
        <v/>
      </c>
      <c r="I289" s="13"/>
      <c r="J289" s="13"/>
      <c r="K289" s="13"/>
    </row>
    <row r="290" customFormat="false" ht="15.75" hidden="false" customHeight="true" outlineLevel="0" collapsed="false">
      <c r="A290" s="13"/>
      <c r="B290" s="28"/>
      <c r="C290" s="13"/>
      <c r="D290" s="13"/>
      <c r="E290" s="13"/>
      <c r="F290" s="14"/>
      <c r="G290" s="14"/>
      <c r="H290" s="15" t="str">
        <f aca="false">IF(OR($F290="",$G290=""),"",$F290*$G290)</f>
        <v/>
      </c>
      <c r="I290" s="13"/>
      <c r="J290" s="13"/>
      <c r="K290" s="13"/>
    </row>
    <row r="291" customFormat="false" ht="15.75" hidden="false" customHeight="true" outlineLevel="0" collapsed="false">
      <c r="A291" s="13"/>
      <c r="B291" s="28"/>
      <c r="C291" s="13"/>
      <c r="D291" s="13"/>
      <c r="E291" s="13"/>
      <c r="F291" s="14"/>
      <c r="G291" s="14"/>
      <c r="H291" s="15" t="str">
        <f aca="false">IF(OR($F291="",$G291=""),"",$F291*$G291)</f>
        <v/>
      </c>
      <c r="I291" s="13"/>
      <c r="J291" s="13"/>
      <c r="K291" s="13"/>
    </row>
    <row r="292" customFormat="false" ht="15.75" hidden="false" customHeight="true" outlineLevel="0" collapsed="false">
      <c r="A292" s="13"/>
      <c r="B292" s="28"/>
      <c r="C292" s="13"/>
      <c r="D292" s="13"/>
      <c r="E292" s="13"/>
      <c r="F292" s="14"/>
      <c r="G292" s="14"/>
      <c r="H292" s="15" t="str">
        <f aca="false">IF(OR($F292="",$G292=""),"",$F292*$G292)</f>
        <v/>
      </c>
      <c r="I292" s="13"/>
      <c r="J292" s="13"/>
      <c r="K292" s="13"/>
    </row>
    <row r="293" customFormat="false" ht="15.75" hidden="false" customHeight="true" outlineLevel="0" collapsed="false">
      <c r="A293" s="13"/>
      <c r="B293" s="28"/>
      <c r="C293" s="13"/>
      <c r="D293" s="13"/>
      <c r="E293" s="13"/>
      <c r="F293" s="14"/>
      <c r="G293" s="14"/>
      <c r="H293" s="15" t="str">
        <f aca="false">IF(OR($F293="",$G293=""),"",$F293*$G293)</f>
        <v/>
      </c>
      <c r="I293" s="13"/>
      <c r="J293" s="13"/>
      <c r="K293" s="13"/>
    </row>
    <row r="294" customFormat="false" ht="15.75" hidden="false" customHeight="true" outlineLevel="0" collapsed="false">
      <c r="A294" s="13"/>
      <c r="B294" s="28"/>
      <c r="C294" s="13"/>
      <c r="D294" s="13"/>
      <c r="E294" s="13"/>
      <c r="F294" s="14"/>
      <c r="G294" s="14"/>
      <c r="H294" s="15" t="str">
        <f aca="false">IF(OR($F294="",$G294=""),"",$F294*$G294)</f>
        <v/>
      </c>
      <c r="I294" s="13"/>
      <c r="J294" s="13"/>
      <c r="K294" s="13"/>
    </row>
    <row r="295" customFormat="false" ht="15.75" hidden="false" customHeight="true" outlineLevel="0" collapsed="false">
      <c r="A295" s="13"/>
      <c r="B295" s="28"/>
      <c r="C295" s="13"/>
      <c r="D295" s="13"/>
      <c r="E295" s="13"/>
      <c r="F295" s="14"/>
      <c r="G295" s="14"/>
      <c r="H295" s="15" t="str">
        <f aca="false">IF(OR($F295="",$G295=""),"",$F295*$G295)</f>
        <v/>
      </c>
      <c r="I295" s="13"/>
      <c r="J295" s="13"/>
      <c r="K295" s="13"/>
    </row>
    <row r="296" customFormat="false" ht="15.75" hidden="false" customHeight="true" outlineLevel="0" collapsed="false">
      <c r="A296" s="13"/>
      <c r="B296" s="28"/>
      <c r="C296" s="13"/>
      <c r="D296" s="13"/>
      <c r="E296" s="13"/>
      <c r="F296" s="14"/>
      <c r="G296" s="14"/>
      <c r="H296" s="15" t="str">
        <f aca="false">IF(OR($F296="",$G296=""),"",$F296*$G296)</f>
        <v/>
      </c>
      <c r="I296" s="13"/>
      <c r="J296" s="13"/>
      <c r="K296" s="13"/>
    </row>
    <row r="297" customFormat="false" ht="15.75" hidden="false" customHeight="true" outlineLevel="0" collapsed="false">
      <c r="A297" s="13"/>
      <c r="B297" s="28"/>
      <c r="C297" s="13"/>
      <c r="D297" s="13"/>
      <c r="E297" s="13"/>
      <c r="F297" s="14"/>
      <c r="G297" s="14"/>
      <c r="H297" s="15" t="str">
        <f aca="false">IF(OR($F297="",$G297=""),"",$F297*$G297)</f>
        <v/>
      </c>
      <c r="I297" s="13"/>
      <c r="J297" s="13"/>
      <c r="K297" s="13"/>
    </row>
    <row r="298" customFormat="false" ht="15.75" hidden="false" customHeight="true" outlineLevel="0" collapsed="false">
      <c r="A298" s="13"/>
      <c r="B298" s="28"/>
      <c r="C298" s="13"/>
      <c r="D298" s="13"/>
      <c r="E298" s="13"/>
      <c r="F298" s="14"/>
      <c r="G298" s="14"/>
      <c r="H298" s="15" t="str">
        <f aca="false">IF(OR($F298="",$G298=""),"",$F298*$G298)</f>
        <v/>
      </c>
      <c r="I298" s="13"/>
      <c r="J298" s="13"/>
      <c r="K298" s="13"/>
    </row>
    <row r="299" customFormat="false" ht="15.75" hidden="false" customHeight="true" outlineLevel="0" collapsed="false">
      <c r="A299" s="13"/>
      <c r="B299" s="28"/>
      <c r="C299" s="13"/>
      <c r="D299" s="13"/>
      <c r="E299" s="13"/>
      <c r="F299" s="14"/>
      <c r="G299" s="14"/>
      <c r="H299" s="15" t="str">
        <f aca="false">IF(OR($F299="",$G299=""),"",$F299*$G299)</f>
        <v/>
      </c>
      <c r="I299" s="13"/>
      <c r="J299" s="13"/>
      <c r="K299" s="13"/>
    </row>
    <row r="300" customFormat="false" ht="15.75" hidden="false" customHeight="true" outlineLevel="0" collapsed="false">
      <c r="A300" s="13"/>
      <c r="B300" s="28"/>
      <c r="C300" s="13"/>
      <c r="D300" s="13"/>
      <c r="E300" s="13"/>
      <c r="F300" s="14"/>
      <c r="G300" s="14"/>
      <c r="H300" s="15" t="str">
        <f aca="false">IF(OR($F300="",$G300=""),"",$F300*$G300)</f>
        <v/>
      </c>
      <c r="I300" s="13"/>
      <c r="J300" s="13"/>
      <c r="K300" s="13"/>
    </row>
    <row r="301" customFormat="false" ht="15.75" hidden="false" customHeight="true" outlineLevel="0" collapsed="false">
      <c r="A301" s="13"/>
      <c r="B301" s="28"/>
      <c r="C301" s="13"/>
      <c r="D301" s="13"/>
      <c r="E301" s="13"/>
      <c r="F301" s="14"/>
      <c r="G301" s="14"/>
      <c r="H301" s="15" t="str">
        <f aca="false">IF(OR($F301="",$G301=""),"",$F301*$G301)</f>
        <v/>
      </c>
      <c r="I301" s="13"/>
      <c r="J301" s="13"/>
      <c r="K301" s="13"/>
    </row>
    <row r="302" customFormat="false" ht="15.75" hidden="false" customHeight="true" outlineLevel="0" collapsed="false">
      <c r="A302" s="13"/>
      <c r="B302" s="28"/>
      <c r="C302" s="13"/>
      <c r="D302" s="13"/>
      <c r="E302" s="13"/>
      <c r="F302" s="14"/>
      <c r="G302" s="14"/>
      <c r="H302" s="15" t="str">
        <f aca="false">IF(OR($F302="",$G302=""),"",$F302*$G302)</f>
        <v/>
      </c>
      <c r="I302" s="13"/>
      <c r="J302" s="13"/>
      <c r="K302" s="13"/>
    </row>
    <row r="303" customFormat="false" ht="15.75" hidden="false" customHeight="true" outlineLevel="0" collapsed="false">
      <c r="A303" s="13"/>
      <c r="B303" s="28"/>
      <c r="C303" s="13"/>
      <c r="D303" s="13"/>
      <c r="E303" s="13"/>
      <c r="F303" s="14"/>
      <c r="G303" s="14"/>
      <c r="H303" s="15" t="str">
        <f aca="false">IF(OR($F303="",$G303=""),"",$F303*$G303)</f>
        <v/>
      </c>
      <c r="I303" s="13"/>
      <c r="J303" s="13"/>
      <c r="K303" s="13"/>
    </row>
    <row r="304" customFormat="false" ht="15.75" hidden="false" customHeight="true" outlineLevel="0" collapsed="false">
      <c r="A304" s="13"/>
      <c r="B304" s="28"/>
      <c r="C304" s="13"/>
      <c r="D304" s="13"/>
      <c r="E304" s="13"/>
      <c r="F304" s="14"/>
      <c r="G304" s="14"/>
      <c r="H304" s="15" t="str">
        <f aca="false">IF(OR($F304="",$G304=""),"",$F304*$G304)</f>
        <v/>
      </c>
      <c r="I304" s="13"/>
      <c r="J304" s="13"/>
      <c r="K304" s="13"/>
    </row>
    <row r="305" customFormat="false" ht="15.75" hidden="false" customHeight="true" outlineLevel="0" collapsed="false">
      <c r="A305" s="13"/>
      <c r="B305" s="28"/>
      <c r="C305" s="13"/>
      <c r="D305" s="13"/>
      <c r="E305" s="13"/>
      <c r="F305" s="14"/>
      <c r="G305" s="14"/>
      <c r="H305" s="15" t="str">
        <f aca="false">IF(OR($F305="",$G305=""),"",$F305*$G305)</f>
        <v/>
      </c>
      <c r="I305" s="13"/>
      <c r="J305" s="13"/>
      <c r="K305" s="13"/>
    </row>
    <row r="306" customFormat="false" ht="15.75" hidden="false" customHeight="true" outlineLevel="0" collapsed="false">
      <c r="A306" s="13"/>
      <c r="B306" s="28"/>
      <c r="C306" s="13"/>
      <c r="D306" s="13"/>
      <c r="E306" s="13"/>
      <c r="F306" s="14"/>
      <c r="G306" s="14"/>
      <c r="H306" s="15" t="str">
        <f aca="false">IF(OR($F306="",$G306=""),"",$F306*$G306)</f>
        <v/>
      </c>
      <c r="I306" s="13"/>
      <c r="J306" s="13"/>
      <c r="K306" s="13"/>
    </row>
    <row r="307" customFormat="false" ht="15.75" hidden="false" customHeight="true" outlineLevel="0" collapsed="false">
      <c r="A307" s="13"/>
      <c r="B307" s="28"/>
      <c r="C307" s="13"/>
      <c r="D307" s="13"/>
      <c r="E307" s="13"/>
      <c r="F307" s="14"/>
      <c r="G307" s="14"/>
      <c r="H307" s="15" t="str">
        <f aca="false">IF(OR($F307="",$G307=""),"",$F307*$G307)</f>
        <v/>
      </c>
      <c r="I307" s="13"/>
      <c r="J307" s="13"/>
      <c r="K307" s="13"/>
    </row>
    <row r="308" customFormat="false" ht="15.75" hidden="false" customHeight="true" outlineLevel="0" collapsed="false">
      <c r="A308" s="13"/>
      <c r="B308" s="28"/>
      <c r="C308" s="13"/>
      <c r="D308" s="13"/>
      <c r="E308" s="13"/>
      <c r="F308" s="14"/>
      <c r="G308" s="14"/>
      <c r="H308" s="15" t="str">
        <f aca="false">IF(OR($F308="",$G308=""),"",$F308*$G308)</f>
        <v/>
      </c>
      <c r="I308" s="13"/>
      <c r="J308" s="13"/>
      <c r="K308" s="13"/>
    </row>
    <row r="309" customFormat="false" ht="15.75" hidden="false" customHeight="true" outlineLevel="0" collapsed="false">
      <c r="A309" s="13"/>
      <c r="B309" s="28"/>
      <c r="C309" s="13"/>
      <c r="D309" s="13"/>
      <c r="E309" s="13"/>
      <c r="F309" s="14"/>
      <c r="G309" s="14"/>
      <c r="H309" s="15" t="str">
        <f aca="false">IF(OR($F309="",$G309=""),"",$F309*$G309)</f>
        <v/>
      </c>
      <c r="I309" s="13"/>
      <c r="J309" s="13"/>
      <c r="K309" s="13"/>
    </row>
    <row r="310" customFormat="false" ht="15.75" hidden="false" customHeight="true" outlineLevel="0" collapsed="false">
      <c r="A310" s="13"/>
      <c r="B310" s="28"/>
      <c r="C310" s="13"/>
      <c r="D310" s="13"/>
      <c r="E310" s="13"/>
      <c r="F310" s="14"/>
      <c r="G310" s="14"/>
      <c r="H310" s="15" t="str">
        <f aca="false">IF(OR($F310="",$G310=""),"",$F310*$G310)</f>
        <v/>
      </c>
      <c r="I310" s="13"/>
      <c r="J310" s="13"/>
      <c r="K310" s="13"/>
    </row>
    <row r="311" customFormat="false" ht="15.75" hidden="false" customHeight="true" outlineLevel="0" collapsed="false">
      <c r="A311" s="13"/>
      <c r="B311" s="28"/>
      <c r="C311" s="13"/>
      <c r="D311" s="13"/>
      <c r="E311" s="13"/>
      <c r="F311" s="14"/>
      <c r="G311" s="14"/>
      <c r="H311" s="15" t="str">
        <f aca="false">IF(OR($F311="",$G311=""),"",$F311*$G311)</f>
        <v/>
      </c>
      <c r="I311" s="13"/>
      <c r="J311" s="13"/>
      <c r="K311" s="13"/>
    </row>
    <row r="312" customFormat="false" ht="15.75" hidden="false" customHeight="true" outlineLevel="0" collapsed="false">
      <c r="A312" s="13"/>
      <c r="B312" s="28"/>
      <c r="C312" s="13"/>
      <c r="D312" s="13"/>
      <c r="E312" s="13"/>
      <c r="F312" s="14"/>
      <c r="G312" s="14"/>
      <c r="H312" s="15" t="str">
        <f aca="false">IF(OR($F312="",$G312=""),"",$F312*$G312)</f>
        <v/>
      </c>
      <c r="I312" s="13"/>
      <c r="J312" s="13"/>
      <c r="K312" s="13"/>
    </row>
    <row r="313" customFormat="false" ht="15.75" hidden="false" customHeight="true" outlineLevel="0" collapsed="false">
      <c r="A313" s="13"/>
      <c r="B313" s="28"/>
      <c r="C313" s="13"/>
      <c r="D313" s="13"/>
      <c r="E313" s="13"/>
      <c r="F313" s="14"/>
      <c r="G313" s="14"/>
      <c r="H313" s="15" t="str">
        <f aca="false">IF(OR($F313="",$G313=""),"",$F313*$G313)</f>
        <v/>
      </c>
      <c r="I313" s="13"/>
      <c r="J313" s="13"/>
      <c r="K313" s="13"/>
    </row>
    <row r="314" customFormat="false" ht="15.75" hidden="false" customHeight="true" outlineLevel="0" collapsed="false">
      <c r="A314" s="13"/>
      <c r="B314" s="28"/>
      <c r="C314" s="13"/>
      <c r="D314" s="13"/>
      <c r="E314" s="13"/>
      <c r="F314" s="14"/>
      <c r="G314" s="14"/>
      <c r="H314" s="15" t="str">
        <f aca="false">IF(OR($F314="",$G314=""),"",$F314*$G314)</f>
        <v/>
      </c>
      <c r="I314" s="13"/>
      <c r="J314" s="13"/>
      <c r="K314" s="13"/>
    </row>
    <row r="315" customFormat="false" ht="15.75" hidden="false" customHeight="true" outlineLevel="0" collapsed="false">
      <c r="A315" s="13"/>
      <c r="B315" s="28"/>
      <c r="C315" s="13"/>
      <c r="D315" s="13"/>
      <c r="E315" s="13"/>
      <c r="F315" s="14"/>
      <c r="G315" s="14"/>
      <c r="H315" s="15" t="str">
        <f aca="false">IF(OR($F315="",$G315=""),"",$F315*$G315)</f>
        <v/>
      </c>
      <c r="I315" s="13"/>
      <c r="J315" s="13"/>
      <c r="K315" s="13"/>
    </row>
    <row r="316" customFormat="false" ht="15.75" hidden="false" customHeight="true" outlineLevel="0" collapsed="false">
      <c r="A316" s="13"/>
      <c r="B316" s="28"/>
      <c r="C316" s="13"/>
      <c r="D316" s="13"/>
      <c r="E316" s="13"/>
      <c r="F316" s="14"/>
      <c r="G316" s="14"/>
      <c r="H316" s="15" t="str">
        <f aca="false">IF(OR($F316="",$G316=""),"",$F316*$G316)</f>
        <v/>
      </c>
      <c r="I316" s="13"/>
      <c r="J316" s="13"/>
      <c r="K316" s="13"/>
    </row>
    <row r="317" customFormat="false" ht="15.75" hidden="false" customHeight="true" outlineLevel="0" collapsed="false">
      <c r="A317" s="13"/>
      <c r="B317" s="28"/>
      <c r="C317" s="13"/>
      <c r="D317" s="13"/>
      <c r="E317" s="13"/>
      <c r="F317" s="14"/>
      <c r="G317" s="14"/>
      <c r="H317" s="15" t="str">
        <f aca="false">IF(OR($F317="",$G317=""),"",$F317*$G317)</f>
        <v/>
      </c>
      <c r="I317" s="13"/>
      <c r="J317" s="13"/>
      <c r="K317" s="13"/>
    </row>
    <row r="318" customFormat="false" ht="15.75" hidden="false" customHeight="true" outlineLevel="0" collapsed="false">
      <c r="A318" s="13"/>
      <c r="B318" s="28"/>
      <c r="C318" s="13"/>
      <c r="D318" s="13"/>
      <c r="E318" s="13"/>
      <c r="F318" s="14"/>
      <c r="G318" s="14"/>
      <c r="H318" s="15" t="str">
        <f aca="false">IF(OR($F318="",$G318=""),"",$F318*$G318)</f>
        <v/>
      </c>
      <c r="I318" s="13"/>
      <c r="J318" s="13"/>
      <c r="K318" s="13"/>
    </row>
    <row r="319" customFormat="false" ht="15.75" hidden="false" customHeight="true" outlineLevel="0" collapsed="false">
      <c r="A319" s="13"/>
      <c r="B319" s="28"/>
      <c r="C319" s="13"/>
      <c r="D319" s="13"/>
      <c r="E319" s="13"/>
      <c r="F319" s="14"/>
      <c r="G319" s="14"/>
      <c r="H319" s="15" t="str">
        <f aca="false">IF(OR($F319="",$G319=""),"",$F319*$G319)</f>
        <v/>
      </c>
      <c r="I319" s="13"/>
      <c r="J319" s="13"/>
      <c r="K319" s="13"/>
    </row>
    <row r="320" customFormat="false" ht="15.75" hidden="false" customHeight="true" outlineLevel="0" collapsed="false">
      <c r="A320" s="13"/>
      <c r="B320" s="28"/>
      <c r="C320" s="13"/>
      <c r="D320" s="13"/>
      <c r="E320" s="13"/>
      <c r="F320" s="14"/>
      <c r="G320" s="14"/>
      <c r="H320" s="15" t="str">
        <f aca="false">IF(OR($F320="",$G320=""),"",$F320*$G320)</f>
        <v/>
      </c>
      <c r="I320" s="13"/>
      <c r="J320" s="13"/>
      <c r="K320" s="13"/>
    </row>
    <row r="321" customFormat="false" ht="15.75" hidden="false" customHeight="true" outlineLevel="0" collapsed="false">
      <c r="A321" s="13"/>
      <c r="B321" s="28"/>
      <c r="C321" s="13"/>
      <c r="D321" s="13"/>
      <c r="E321" s="13"/>
      <c r="F321" s="14"/>
      <c r="G321" s="14"/>
      <c r="H321" s="15" t="str">
        <f aca="false">IF(OR($F321="",$G321=""),"",$F321*$G321)</f>
        <v/>
      </c>
      <c r="I321" s="13"/>
      <c r="J321" s="13"/>
      <c r="K321" s="13"/>
    </row>
    <row r="322" customFormat="false" ht="15.75" hidden="false" customHeight="true" outlineLevel="0" collapsed="false">
      <c r="A322" s="13"/>
      <c r="B322" s="28"/>
      <c r="C322" s="13"/>
      <c r="D322" s="13"/>
      <c r="E322" s="13"/>
      <c r="F322" s="14"/>
      <c r="G322" s="14"/>
      <c r="H322" s="15" t="str">
        <f aca="false">IF(OR($F322="",$G322=""),"",$F322*$G322)</f>
        <v/>
      </c>
      <c r="I322" s="13"/>
      <c r="J322" s="13"/>
      <c r="K322" s="13"/>
    </row>
    <row r="323" customFormat="false" ht="15.75" hidden="false" customHeight="true" outlineLevel="0" collapsed="false">
      <c r="A323" s="13"/>
      <c r="B323" s="28"/>
      <c r="C323" s="13"/>
      <c r="D323" s="13"/>
      <c r="E323" s="13"/>
      <c r="F323" s="14"/>
      <c r="G323" s="14"/>
      <c r="H323" s="15" t="str">
        <f aca="false">IF(OR($F323="",$G323=""),"",$F323*$G323)</f>
        <v/>
      </c>
      <c r="I323" s="13"/>
      <c r="J323" s="13"/>
      <c r="K323" s="13"/>
    </row>
    <row r="324" customFormat="false" ht="15.75" hidden="false" customHeight="true" outlineLevel="0" collapsed="false">
      <c r="A324" s="13"/>
      <c r="B324" s="28"/>
      <c r="C324" s="13"/>
      <c r="D324" s="13"/>
      <c r="E324" s="13"/>
      <c r="F324" s="14"/>
      <c r="G324" s="14"/>
      <c r="H324" s="15" t="str">
        <f aca="false">IF(OR($F324="",$G324=""),"",$F324*$G324)</f>
        <v/>
      </c>
      <c r="I324" s="13"/>
      <c r="J324" s="13"/>
      <c r="K324" s="13"/>
    </row>
    <row r="325" customFormat="false" ht="15.75" hidden="false" customHeight="true" outlineLevel="0" collapsed="false">
      <c r="A325" s="13"/>
      <c r="B325" s="28"/>
      <c r="C325" s="13"/>
      <c r="D325" s="13"/>
      <c r="E325" s="13"/>
      <c r="F325" s="14"/>
      <c r="G325" s="14"/>
      <c r="H325" s="15" t="str">
        <f aca="false">IF(OR($F325="",$G325=""),"",$F325*$G325)</f>
        <v/>
      </c>
      <c r="I325" s="13"/>
      <c r="J325" s="13"/>
      <c r="K325" s="13"/>
    </row>
    <row r="326" customFormat="false" ht="15.75" hidden="false" customHeight="true" outlineLevel="0" collapsed="false">
      <c r="A326" s="13"/>
      <c r="B326" s="28"/>
      <c r="C326" s="13"/>
      <c r="D326" s="13"/>
      <c r="E326" s="13"/>
      <c r="F326" s="14"/>
      <c r="G326" s="14"/>
      <c r="H326" s="15" t="str">
        <f aca="false">IF(OR($F326="",$G326=""),"",$F326*$G326)</f>
        <v/>
      </c>
      <c r="I326" s="13"/>
      <c r="J326" s="13"/>
      <c r="K326" s="13"/>
    </row>
    <row r="327" customFormat="false" ht="15.75" hidden="false" customHeight="true" outlineLevel="0" collapsed="false">
      <c r="A327" s="13"/>
      <c r="B327" s="28"/>
      <c r="C327" s="13"/>
      <c r="D327" s="13"/>
      <c r="E327" s="13"/>
      <c r="F327" s="14"/>
      <c r="G327" s="14"/>
      <c r="H327" s="15" t="str">
        <f aca="false">IF(OR($F327="",$G327=""),"",$F327*$G327)</f>
        <v/>
      </c>
      <c r="I327" s="13"/>
      <c r="J327" s="13"/>
      <c r="K327" s="13"/>
    </row>
    <row r="328" customFormat="false" ht="15.75" hidden="false" customHeight="true" outlineLevel="0" collapsed="false">
      <c r="A328" s="13"/>
      <c r="B328" s="28"/>
      <c r="C328" s="13"/>
      <c r="D328" s="13"/>
      <c r="E328" s="13"/>
      <c r="F328" s="14"/>
      <c r="G328" s="14"/>
      <c r="H328" s="15" t="str">
        <f aca="false">IF(OR($F328="",$G328=""),"",$F328*$G328)</f>
        <v/>
      </c>
      <c r="I328" s="13"/>
      <c r="J328" s="13"/>
      <c r="K328" s="13"/>
    </row>
    <row r="329" customFormat="false" ht="15.75" hidden="false" customHeight="true" outlineLevel="0" collapsed="false">
      <c r="A329" s="13"/>
      <c r="B329" s="28"/>
      <c r="C329" s="13"/>
      <c r="D329" s="13"/>
      <c r="E329" s="13"/>
      <c r="F329" s="14"/>
      <c r="G329" s="14"/>
      <c r="H329" s="15" t="str">
        <f aca="false">IF(OR($F329="",$G329=""),"",$F329*$G329)</f>
        <v/>
      </c>
      <c r="I329" s="13"/>
      <c r="J329" s="13"/>
      <c r="K329" s="13"/>
    </row>
    <row r="330" customFormat="false" ht="15.75" hidden="false" customHeight="true" outlineLevel="0" collapsed="false">
      <c r="A330" s="13"/>
      <c r="B330" s="28"/>
      <c r="C330" s="13"/>
      <c r="D330" s="13"/>
      <c r="E330" s="13"/>
      <c r="F330" s="14"/>
      <c r="G330" s="14"/>
      <c r="H330" s="15" t="str">
        <f aca="false">IF(OR($F330="",$G330=""),"",$F330*$G330)</f>
        <v/>
      </c>
      <c r="I330" s="13"/>
      <c r="J330" s="13"/>
      <c r="K330" s="13"/>
    </row>
    <row r="331" customFormat="false" ht="15.75" hidden="false" customHeight="true" outlineLevel="0" collapsed="false">
      <c r="A331" s="13"/>
      <c r="B331" s="28"/>
      <c r="C331" s="13"/>
      <c r="D331" s="13"/>
      <c r="E331" s="13"/>
      <c r="F331" s="14"/>
      <c r="G331" s="14"/>
      <c r="H331" s="15" t="str">
        <f aca="false">IF(OR($F331="",$G331=""),"",$F331*$G331)</f>
        <v/>
      </c>
      <c r="I331" s="13"/>
      <c r="J331" s="13"/>
      <c r="K331" s="13"/>
    </row>
    <row r="332" customFormat="false" ht="15.75" hidden="false" customHeight="true" outlineLevel="0" collapsed="false">
      <c r="A332" s="13"/>
      <c r="B332" s="28"/>
      <c r="C332" s="13"/>
      <c r="D332" s="13"/>
      <c r="E332" s="13"/>
      <c r="F332" s="14"/>
      <c r="G332" s="14"/>
      <c r="H332" s="15" t="str">
        <f aca="false">IF(OR($F332="",$G332=""),"",$F332*$G332)</f>
        <v/>
      </c>
      <c r="I332" s="13"/>
      <c r="J332" s="13"/>
      <c r="K332" s="13"/>
    </row>
    <row r="333" customFormat="false" ht="15.75" hidden="false" customHeight="true" outlineLevel="0" collapsed="false">
      <c r="A333" s="13"/>
      <c r="B333" s="28"/>
      <c r="C333" s="13"/>
      <c r="D333" s="13"/>
      <c r="E333" s="13"/>
      <c r="F333" s="14"/>
      <c r="G333" s="14"/>
      <c r="H333" s="15" t="str">
        <f aca="false">IF(OR($F333="",$G333=""),"",$F333*$G333)</f>
        <v/>
      </c>
      <c r="I333" s="13"/>
      <c r="J333" s="13"/>
      <c r="K333" s="13"/>
    </row>
    <row r="334" customFormat="false" ht="15.75" hidden="false" customHeight="true" outlineLevel="0" collapsed="false">
      <c r="A334" s="13"/>
      <c r="B334" s="28"/>
      <c r="C334" s="13"/>
      <c r="D334" s="13"/>
      <c r="E334" s="13"/>
      <c r="F334" s="14"/>
      <c r="G334" s="14"/>
      <c r="H334" s="15" t="str">
        <f aca="false">IF(OR($F334="",$G334=""),"",$F334*$G334)</f>
        <v/>
      </c>
      <c r="I334" s="13"/>
      <c r="J334" s="13"/>
      <c r="K334" s="13"/>
    </row>
    <row r="335" customFormat="false" ht="15.75" hidden="false" customHeight="true" outlineLevel="0" collapsed="false">
      <c r="A335" s="13"/>
      <c r="B335" s="28"/>
      <c r="C335" s="13"/>
      <c r="D335" s="13"/>
      <c r="E335" s="13"/>
      <c r="F335" s="14"/>
      <c r="G335" s="14"/>
      <c r="H335" s="15" t="str">
        <f aca="false">IF(OR($F335="",$G335=""),"",$F335*$G335)</f>
        <v/>
      </c>
      <c r="I335" s="13"/>
      <c r="J335" s="13"/>
      <c r="K335" s="13"/>
    </row>
    <row r="336" customFormat="false" ht="15.75" hidden="false" customHeight="true" outlineLevel="0" collapsed="false">
      <c r="A336" s="13"/>
      <c r="B336" s="28"/>
      <c r="C336" s="13"/>
      <c r="D336" s="13"/>
      <c r="E336" s="13"/>
      <c r="F336" s="14"/>
      <c r="G336" s="14"/>
      <c r="H336" s="15" t="str">
        <f aca="false">IF(OR($F336="",$G336=""),"",$F336*$G336)</f>
        <v/>
      </c>
      <c r="I336" s="13"/>
      <c r="J336" s="13"/>
      <c r="K336" s="13"/>
    </row>
    <row r="337" customFormat="false" ht="15.75" hidden="false" customHeight="true" outlineLevel="0" collapsed="false">
      <c r="A337" s="13"/>
      <c r="B337" s="28"/>
      <c r="C337" s="13"/>
      <c r="D337" s="13"/>
      <c r="E337" s="13"/>
      <c r="F337" s="14"/>
      <c r="G337" s="14"/>
      <c r="H337" s="15" t="str">
        <f aca="false">IF(OR($F337="",$G337=""),"",$F337*$G337)</f>
        <v/>
      </c>
      <c r="I337" s="13"/>
      <c r="J337" s="13"/>
      <c r="K337" s="13"/>
    </row>
    <row r="338" customFormat="false" ht="15.75" hidden="false" customHeight="true" outlineLevel="0" collapsed="false">
      <c r="A338" s="13"/>
      <c r="B338" s="28"/>
      <c r="C338" s="13"/>
      <c r="D338" s="13"/>
      <c r="E338" s="13"/>
      <c r="F338" s="14"/>
      <c r="G338" s="14"/>
      <c r="H338" s="15" t="str">
        <f aca="false">IF(OR($F338="",$G338=""),"",$F338*$G338)</f>
        <v/>
      </c>
      <c r="I338" s="13"/>
      <c r="J338" s="13"/>
      <c r="K338" s="13"/>
    </row>
    <row r="339" customFormat="false" ht="15.75" hidden="false" customHeight="true" outlineLevel="0" collapsed="false">
      <c r="A339" s="13"/>
      <c r="B339" s="28"/>
      <c r="C339" s="13"/>
      <c r="D339" s="13"/>
      <c r="E339" s="13"/>
      <c r="F339" s="14"/>
      <c r="G339" s="14"/>
      <c r="H339" s="15" t="str">
        <f aca="false">IF(OR($F339="",$G339=""),"",$F339*$G339)</f>
        <v/>
      </c>
      <c r="I339" s="13"/>
      <c r="J339" s="13"/>
      <c r="K339" s="13"/>
    </row>
    <row r="340" customFormat="false" ht="15.75" hidden="false" customHeight="true" outlineLevel="0" collapsed="false">
      <c r="A340" s="13"/>
      <c r="B340" s="28"/>
      <c r="C340" s="13"/>
      <c r="D340" s="13"/>
      <c r="E340" s="13"/>
      <c r="F340" s="14"/>
      <c r="G340" s="14"/>
      <c r="H340" s="15" t="str">
        <f aca="false">IF(OR($F340="",$G340=""),"",$F340*$G340)</f>
        <v/>
      </c>
      <c r="I340" s="13"/>
      <c r="J340" s="13"/>
      <c r="K340" s="13"/>
    </row>
    <row r="341" customFormat="false" ht="15.75" hidden="false" customHeight="true" outlineLevel="0" collapsed="false">
      <c r="A341" s="13"/>
      <c r="B341" s="28"/>
      <c r="C341" s="13"/>
      <c r="D341" s="13"/>
      <c r="E341" s="13"/>
      <c r="F341" s="14"/>
      <c r="G341" s="14"/>
      <c r="H341" s="15" t="str">
        <f aca="false">IF(OR($F341="",$G341=""),"",$F341*$G341)</f>
        <v/>
      </c>
      <c r="I341" s="13"/>
      <c r="J341" s="13"/>
      <c r="K341" s="13"/>
    </row>
    <row r="342" customFormat="false" ht="15.75" hidden="false" customHeight="true" outlineLevel="0" collapsed="false">
      <c r="A342" s="13"/>
      <c r="B342" s="28"/>
      <c r="C342" s="13"/>
      <c r="D342" s="13"/>
      <c r="E342" s="13"/>
      <c r="F342" s="14"/>
      <c r="G342" s="14"/>
      <c r="H342" s="15" t="str">
        <f aca="false">IF(OR($F342="",$G342=""),"",$F342*$G342)</f>
        <v/>
      </c>
      <c r="I342" s="13"/>
      <c r="J342" s="13"/>
      <c r="K342" s="13"/>
    </row>
    <row r="343" customFormat="false" ht="15.75" hidden="false" customHeight="true" outlineLevel="0" collapsed="false">
      <c r="A343" s="13"/>
      <c r="B343" s="28"/>
      <c r="C343" s="13"/>
      <c r="D343" s="13"/>
      <c r="E343" s="13"/>
      <c r="F343" s="14"/>
      <c r="G343" s="14"/>
      <c r="H343" s="15" t="str">
        <f aca="false">IF(OR($F343="",$G343=""),"",$F343*$G343)</f>
        <v/>
      </c>
      <c r="I343" s="13"/>
      <c r="J343" s="13"/>
      <c r="K343" s="13"/>
    </row>
    <row r="344" customFormat="false" ht="15.75" hidden="false" customHeight="true" outlineLevel="0" collapsed="false">
      <c r="A344" s="13"/>
      <c r="B344" s="28"/>
      <c r="C344" s="13"/>
      <c r="D344" s="13"/>
      <c r="E344" s="13"/>
      <c r="F344" s="14"/>
      <c r="G344" s="14"/>
      <c r="H344" s="15" t="str">
        <f aca="false">IF(OR($F344="",$G344=""),"",$F344*$G344)</f>
        <v/>
      </c>
      <c r="I344" s="13"/>
      <c r="J344" s="13"/>
      <c r="K344" s="13"/>
    </row>
    <row r="345" customFormat="false" ht="15.75" hidden="false" customHeight="true" outlineLevel="0" collapsed="false">
      <c r="A345" s="13"/>
      <c r="B345" s="28"/>
      <c r="C345" s="13"/>
      <c r="D345" s="13"/>
      <c r="E345" s="13"/>
      <c r="F345" s="14"/>
      <c r="G345" s="14"/>
      <c r="H345" s="15" t="str">
        <f aca="false">IF(OR($F345="",$G345=""),"",$F345*$G345)</f>
        <v/>
      </c>
      <c r="I345" s="13"/>
      <c r="J345" s="13"/>
      <c r="K345" s="13"/>
    </row>
    <row r="346" customFormat="false" ht="15.75" hidden="false" customHeight="true" outlineLevel="0" collapsed="false">
      <c r="A346" s="13"/>
      <c r="B346" s="28"/>
      <c r="C346" s="13"/>
      <c r="D346" s="13"/>
      <c r="E346" s="13"/>
      <c r="F346" s="14"/>
      <c r="G346" s="14"/>
      <c r="H346" s="15" t="str">
        <f aca="false">IF(OR($F346="",$G346=""),"",$F346*$G346)</f>
        <v/>
      </c>
      <c r="I346" s="13"/>
      <c r="J346" s="13"/>
      <c r="K346" s="13"/>
    </row>
    <row r="347" customFormat="false" ht="15.75" hidden="false" customHeight="true" outlineLevel="0" collapsed="false">
      <c r="A347" s="13"/>
      <c r="B347" s="28"/>
      <c r="C347" s="13"/>
      <c r="D347" s="13"/>
      <c r="E347" s="13"/>
      <c r="F347" s="14"/>
      <c r="G347" s="14"/>
      <c r="H347" s="15" t="str">
        <f aca="false">IF(OR($F347="",$G347=""),"",$F347*$G347)</f>
        <v/>
      </c>
      <c r="I347" s="13"/>
      <c r="J347" s="13"/>
      <c r="K347" s="13"/>
    </row>
    <row r="348" customFormat="false" ht="15.75" hidden="false" customHeight="true" outlineLevel="0" collapsed="false">
      <c r="A348" s="13"/>
      <c r="B348" s="28"/>
      <c r="C348" s="13"/>
      <c r="D348" s="13"/>
      <c r="E348" s="13"/>
      <c r="F348" s="14"/>
      <c r="G348" s="14"/>
      <c r="H348" s="15" t="str">
        <f aca="false">IF(OR($F348="",$G348=""),"",$F348*$G348)</f>
        <v/>
      </c>
      <c r="I348" s="13"/>
      <c r="J348" s="13"/>
      <c r="K348" s="13"/>
    </row>
    <row r="349" customFormat="false" ht="15.75" hidden="false" customHeight="true" outlineLevel="0" collapsed="false">
      <c r="A349" s="13"/>
      <c r="B349" s="28"/>
      <c r="C349" s="13"/>
      <c r="D349" s="13"/>
      <c r="E349" s="13"/>
      <c r="F349" s="14"/>
      <c r="G349" s="14"/>
      <c r="H349" s="15" t="str">
        <f aca="false">IF(OR($F349="",$G349=""),"",$F349*$G349)</f>
        <v/>
      </c>
      <c r="I349" s="13"/>
      <c r="J349" s="13"/>
      <c r="K349" s="13"/>
    </row>
    <row r="350" customFormat="false" ht="15.75" hidden="false" customHeight="true" outlineLevel="0" collapsed="false">
      <c r="A350" s="13"/>
      <c r="B350" s="28"/>
      <c r="C350" s="13"/>
      <c r="D350" s="13"/>
      <c r="E350" s="13"/>
      <c r="F350" s="14"/>
      <c r="G350" s="14"/>
      <c r="H350" s="15" t="str">
        <f aca="false">IF(OR($F350="",$G350=""),"",$F350*$G350)</f>
        <v/>
      </c>
      <c r="I350" s="13"/>
      <c r="J350" s="13"/>
      <c r="K350" s="13"/>
    </row>
    <row r="351" customFormat="false" ht="15.75" hidden="false" customHeight="true" outlineLevel="0" collapsed="false">
      <c r="A351" s="13"/>
      <c r="B351" s="28"/>
      <c r="C351" s="13"/>
      <c r="D351" s="13"/>
      <c r="E351" s="13"/>
      <c r="F351" s="14"/>
      <c r="G351" s="14"/>
      <c r="H351" s="15" t="str">
        <f aca="false">IF(OR($F351="",$G351=""),"",$F351*$G351)</f>
        <v/>
      </c>
      <c r="I351" s="13"/>
      <c r="J351" s="13"/>
      <c r="K351" s="13"/>
    </row>
    <row r="352" customFormat="false" ht="15.75" hidden="false" customHeight="true" outlineLevel="0" collapsed="false">
      <c r="A352" s="13"/>
      <c r="B352" s="28"/>
      <c r="C352" s="13"/>
      <c r="D352" s="13"/>
      <c r="E352" s="13"/>
      <c r="F352" s="14"/>
      <c r="G352" s="14"/>
      <c r="H352" s="15" t="str">
        <f aca="false">IF(OR($F352="",$G352=""),"",$F352*$G352)</f>
        <v/>
      </c>
      <c r="I352" s="13"/>
      <c r="J352" s="13"/>
      <c r="K352" s="13"/>
    </row>
    <row r="353" customFormat="false" ht="15.75" hidden="false" customHeight="true" outlineLevel="0" collapsed="false">
      <c r="A353" s="13"/>
      <c r="B353" s="28"/>
      <c r="C353" s="13"/>
      <c r="D353" s="13"/>
      <c r="E353" s="13"/>
      <c r="F353" s="14"/>
      <c r="G353" s="14"/>
      <c r="H353" s="15" t="str">
        <f aca="false">IF(OR($F353="",$G353=""),"",$F353*$G353)</f>
        <v/>
      </c>
      <c r="I353" s="13"/>
      <c r="J353" s="13"/>
      <c r="K353" s="13"/>
    </row>
    <row r="354" customFormat="false" ht="15.75" hidden="false" customHeight="true" outlineLevel="0" collapsed="false">
      <c r="A354" s="13"/>
      <c r="B354" s="28"/>
      <c r="C354" s="13"/>
      <c r="D354" s="13"/>
      <c r="E354" s="13"/>
      <c r="F354" s="14"/>
      <c r="G354" s="14"/>
      <c r="H354" s="15" t="str">
        <f aca="false">IF(OR($F354="",$G354=""),"",$F354*$G354)</f>
        <v/>
      </c>
      <c r="I354" s="13"/>
      <c r="J354" s="13"/>
      <c r="K354" s="13"/>
    </row>
    <row r="355" customFormat="false" ht="15.75" hidden="false" customHeight="true" outlineLevel="0" collapsed="false">
      <c r="A355" s="13"/>
      <c r="B355" s="28"/>
      <c r="C355" s="13"/>
      <c r="D355" s="13"/>
      <c r="E355" s="13"/>
      <c r="F355" s="14"/>
      <c r="G355" s="14"/>
      <c r="H355" s="15" t="str">
        <f aca="false">IF(OR($F355="",$G355=""),"",$F355*$G355)</f>
        <v/>
      </c>
      <c r="I355" s="13"/>
      <c r="J355" s="13"/>
      <c r="K355" s="13"/>
    </row>
    <row r="356" customFormat="false" ht="15.75" hidden="false" customHeight="true" outlineLevel="0" collapsed="false">
      <c r="A356" s="13"/>
      <c r="B356" s="28"/>
      <c r="C356" s="13"/>
      <c r="D356" s="13"/>
      <c r="E356" s="13"/>
      <c r="F356" s="14"/>
      <c r="G356" s="14"/>
      <c r="H356" s="15" t="str">
        <f aca="false">IF(OR($F356="",$G356=""),"",$F356*$G356)</f>
        <v/>
      </c>
      <c r="I356" s="13"/>
      <c r="J356" s="13"/>
      <c r="K356" s="13"/>
    </row>
    <row r="357" customFormat="false" ht="15.75" hidden="false" customHeight="true" outlineLevel="0" collapsed="false">
      <c r="A357" s="13"/>
      <c r="B357" s="28"/>
      <c r="C357" s="13"/>
      <c r="D357" s="13"/>
      <c r="E357" s="13"/>
      <c r="F357" s="14"/>
      <c r="G357" s="14"/>
      <c r="H357" s="15" t="str">
        <f aca="false">IF(OR($F357="",$G357=""),"",$F357*$G357)</f>
        <v/>
      </c>
      <c r="I357" s="13"/>
      <c r="J357" s="13"/>
      <c r="K357" s="13"/>
    </row>
    <row r="358" customFormat="false" ht="15.75" hidden="false" customHeight="true" outlineLevel="0" collapsed="false">
      <c r="A358" s="13"/>
      <c r="B358" s="28"/>
      <c r="C358" s="13"/>
      <c r="D358" s="13"/>
      <c r="E358" s="13"/>
      <c r="F358" s="14"/>
      <c r="G358" s="14"/>
      <c r="H358" s="15" t="str">
        <f aca="false">IF(OR($F358="",$G358=""),"",$F358*$G358)</f>
        <v/>
      </c>
      <c r="I358" s="13"/>
      <c r="J358" s="13"/>
      <c r="K358" s="13"/>
    </row>
    <row r="359" customFormat="false" ht="15.75" hidden="false" customHeight="true" outlineLevel="0" collapsed="false">
      <c r="A359" s="13"/>
      <c r="B359" s="28"/>
      <c r="C359" s="13"/>
      <c r="D359" s="13"/>
      <c r="E359" s="13"/>
      <c r="F359" s="14"/>
      <c r="G359" s="14"/>
      <c r="H359" s="15" t="str">
        <f aca="false">IF(OR($F359="",$G359=""),"",$F359*$G359)</f>
        <v/>
      </c>
      <c r="I359" s="13"/>
      <c r="J359" s="13"/>
      <c r="K359" s="13"/>
    </row>
    <row r="360" customFormat="false" ht="15.75" hidden="false" customHeight="true" outlineLevel="0" collapsed="false">
      <c r="A360" s="13"/>
      <c r="B360" s="28"/>
      <c r="C360" s="13"/>
      <c r="D360" s="13"/>
      <c r="E360" s="13"/>
      <c r="F360" s="14"/>
      <c r="G360" s="14"/>
      <c r="H360" s="15" t="str">
        <f aca="false">IF(OR($F360="",$G360=""),"",$F360*$G360)</f>
        <v/>
      </c>
      <c r="I360" s="13"/>
      <c r="J360" s="13"/>
      <c r="K360" s="13"/>
    </row>
    <row r="361" customFormat="false" ht="15.75" hidden="false" customHeight="true" outlineLevel="0" collapsed="false">
      <c r="A361" s="13"/>
      <c r="B361" s="28"/>
      <c r="C361" s="13"/>
      <c r="D361" s="13"/>
      <c r="E361" s="13"/>
      <c r="F361" s="14"/>
      <c r="G361" s="14"/>
      <c r="H361" s="15" t="str">
        <f aca="false">IF(OR($F361="",$G361=""),"",$F361*$G361)</f>
        <v/>
      </c>
      <c r="I361" s="13"/>
      <c r="J361" s="13"/>
      <c r="K361" s="13"/>
    </row>
    <row r="362" customFormat="false" ht="15.75" hidden="false" customHeight="true" outlineLevel="0" collapsed="false">
      <c r="A362" s="13"/>
      <c r="B362" s="28"/>
      <c r="C362" s="13"/>
      <c r="D362" s="13"/>
      <c r="E362" s="13"/>
      <c r="F362" s="14"/>
      <c r="G362" s="14"/>
      <c r="H362" s="15" t="str">
        <f aca="false">IF(OR($F362="",$G362=""),"",$F362*$G362)</f>
        <v/>
      </c>
      <c r="I362" s="13"/>
      <c r="J362" s="13"/>
      <c r="K362" s="13"/>
    </row>
    <row r="363" customFormat="false" ht="15.75" hidden="false" customHeight="true" outlineLevel="0" collapsed="false">
      <c r="A363" s="13"/>
      <c r="B363" s="28"/>
      <c r="C363" s="13"/>
      <c r="D363" s="13"/>
      <c r="E363" s="13"/>
      <c r="F363" s="14"/>
      <c r="G363" s="14"/>
      <c r="H363" s="15" t="str">
        <f aca="false">IF(OR($F363="",$G363=""),"",$F363*$G363)</f>
        <v/>
      </c>
      <c r="I363" s="13"/>
      <c r="J363" s="13"/>
      <c r="K363" s="13"/>
    </row>
    <row r="364" customFormat="false" ht="15.75" hidden="false" customHeight="true" outlineLevel="0" collapsed="false">
      <c r="A364" s="13"/>
      <c r="B364" s="28"/>
      <c r="C364" s="13"/>
      <c r="D364" s="13"/>
      <c r="E364" s="13"/>
      <c r="F364" s="14"/>
      <c r="G364" s="14"/>
      <c r="H364" s="15" t="str">
        <f aca="false">IF(OR($F364="",$G364=""),"",$F364*$G364)</f>
        <v/>
      </c>
      <c r="I364" s="13"/>
      <c r="J364" s="13"/>
      <c r="K364" s="13"/>
    </row>
    <row r="365" customFormat="false" ht="15.75" hidden="false" customHeight="true" outlineLevel="0" collapsed="false">
      <c r="A365" s="13"/>
      <c r="B365" s="28"/>
      <c r="C365" s="13"/>
      <c r="D365" s="13"/>
      <c r="E365" s="13"/>
      <c r="F365" s="14"/>
      <c r="G365" s="14"/>
      <c r="H365" s="15" t="str">
        <f aca="false">IF(OR($F365="",$G365=""),"",$F365*$G365)</f>
        <v/>
      </c>
      <c r="I365" s="13"/>
      <c r="J365" s="13"/>
      <c r="K365" s="13"/>
    </row>
    <row r="366" customFormat="false" ht="15.75" hidden="false" customHeight="true" outlineLevel="0" collapsed="false">
      <c r="A366" s="13"/>
      <c r="B366" s="28"/>
      <c r="C366" s="13"/>
      <c r="D366" s="13"/>
      <c r="E366" s="13"/>
      <c r="F366" s="14"/>
      <c r="G366" s="14"/>
      <c r="H366" s="15" t="str">
        <f aca="false">IF(OR($F366="",$G366=""),"",$F366*$G366)</f>
        <v/>
      </c>
      <c r="I366" s="13"/>
      <c r="J366" s="13"/>
      <c r="K366" s="13"/>
    </row>
    <row r="367" customFormat="false" ht="15.75" hidden="false" customHeight="true" outlineLevel="0" collapsed="false">
      <c r="A367" s="13"/>
      <c r="B367" s="28"/>
      <c r="C367" s="13"/>
      <c r="D367" s="13"/>
      <c r="E367" s="13"/>
      <c r="F367" s="14"/>
      <c r="G367" s="14"/>
      <c r="H367" s="15" t="str">
        <f aca="false">IF(OR($F367="",$G367=""),"",$F367*$G367)</f>
        <v/>
      </c>
      <c r="I367" s="13"/>
      <c r="J367" s="13"/>
      <c r="K367" s="13"/>
    </row>
    <row r="368" customFormat="false" ht="15.75" hidden="false" customHeight="true" outlineLevel="0" collapsed="false">
      <c r="A368" s="13"/>
      <c r="B368" s="28"/>
      <c r="C368" s="13"/>
      <c r="D368" s="13"/>
      <c r="E368" s="13"/>
      <c r="F368" s="14"/>
      <c r="G368" s="14"/>
      <c r="H368" s="15" t="str">
        <f aca="false">IF(OR($F368="",$G368=""),"",$F368*$G368)</f>
        <v/>
      </c>
      <c r="I368" s="13"/>
      <c r="J368" s="13"/>
      <c r="K368" s="13"/>
    </row>
    <row r="369" customFormat="false" ht="15.75" hidden="false" customHeight="true" outlineLevel="0" collapsed="false">
      <c r="A369" s="13"/>
      <c r="B369" s="28"/>
      <c r="C369" s="13"/>
      <c r="D369" s="13"/>
      <c r="E369" s="13"/>
      <c r="F369" s="14"/>
      <c r="G369" s="14"/>
      <c r="H369" s="15" t="str">
        <f aca="false">IF(OR($F369="",$G369=""),"",$F369*$G369)</f>
        <v/>
      </c>
      <c r="I369" s="13"/>
      <c r="J369" s="13"/>
      <c r="K369" s="13"/>
    </row>
    <row r="370" customFormat="false" ht="15.75" hidden="false" customHeight="true" outlineLevel="0" collapsed="false">
      <c r="A370" s="13"/>
      <c r="B370" s="28"/>
      <c r="C370" s="13"/>
      <c r="D370" s="13"/>
      <c r="E370" s="13"/>
      <c r="F370" s="14"/>
      <c r="G370" s="14"/>
      <c r="H370" s="15" t="str">
        <f aca="false">IF(OR($F370="",$G370=""),"",$F370*$G370)</f>
        <v/>
      </c>
      <c r="I370" s="13"/>
      <c r="J370" s="13"/>
      <c r="K370" s="13"/>
    </row>
    <row r="371" customFormat="false" ht="15.75" hidden="false" customHeight="true" outlineLevel="0" collapsed="false">
      <c r="A371" s="13"/>
      <c r="B371" s="28"/>
      <c r="C371" s="13"/>
      <c r="D371" s="13"/>
      <c r="E371" s="13"/>
      <c r="F371" s="14"/>
      <c r="G371" s="14"/>
      <c r="H371" s="15" t="str">
        <f aca="false">IF(OR($F371="",$G371=""),"",$F371*$G371)</f>
        <v/>
      </c>
      <c r="I371" s="13"/>
      <c r="J371" s="13"/>
      <c r="K371" s="13"/>
    </row>
    <row r="372" customFormat="false" ht="15.75" hidden="false" customHeight="true" outlineLevel="0" collapsed="false">
      <c r="A372" s="13"/>
      <c r="B372" s="28"/>
      <c r="C372" s="13"/>
      <c r="D372" s="13"/>
      <c r="E372" s="13"/>
      <c r="F372" s="14"/>
      <c r="G372" s="14"/>
      <c r="H372" s="15" t="str">
        <f aca="false">IF(OR($F372="",$G372=""),"",$F372*$G372)</f>
        <v/>
      </c>
      <c r="I372" s="13"/>
      <c r="J372" s="13"/>
      <c r="K372" s="13"/>
    </row>
    <row r="373" customFormat="false" ht="15.75" hidden="false" customHeight="true" outlineLevel="0" collapsed="false">
      <c r="A373" s="13"/>
      <c r="B373" s="28"/>
      <c r="C373" s="13"/>
      <c r="D373" s="13"/>
      <c r="E373" s="13"/>
      <c r="F373" s="14"/>
      <c r="G373" s="14"/>
      <c r="H373" s="15" t="str">
        <f aca="false">IF(OR($F373="",$G373=""),"",$F373*$G373)</f>
        <v/>
      </c>
      <c r="I373" s="13"/>
      <c r="J373" s="13"/>
      <c r="K373" s="13"/>
    </row>
    <row r="374" customFormat="false" ht="15.75" hidden="false" customHeight="true" outlineLevel="0" collapsed="false">
      <c r="A374" s="13"/>
      <c r="B374" s="28"/>
      <c r="C374" s="13"/>
      <c r="D374" s="13"/>
      <c r="E374" s="13"/>
      <c r="F374" s="14"/>
      <c r="G374" s="14"/>
      <c r="H374" s="15" t="str">
        <f aca="false">IF(OR($F374="",$G374=""),"",$F374*$G374)</f>
        <v/>
      </c>
      <c r="I374" s="13"/>
      <c r="J374" s="13"/>
      <c r="K374" s="13"/>
    </row>
    <row r="375" customFormat="false" ht="15.75" hidden="false" customHeight="true" outlineLevel="0" collapsed="false">
      <c r="A375" s="13"/>
      <c r="B375" s="28"/>
      <c r="C375" s="13"/>
      <c r="D375" s="13"/>
      <c r="E375" s="13"/>
      <c r="F375" s="14"/>
      <c r="G375" s="14"/>
      <c r="H375" s="15" t="str">
        <f aca="false">IF(OR($F375="",$G375=""),"",$F375*$G375)</f>
        <v/>
      </c>
      <c r="I375" s="13"/>
      <c r="J375" s="13"/>
      <c r="K375" s="13"/>
    </row>
    <row r="376" customFormat="false" ht="15.75" hidden="false" customHeight="true" outlineLevel="0" collapsed="false">
      <c r="A376" s="13"/>
      <c r="B376" s="28"/>
      <c r="C376" s="13"/>
      <c r="D376" s="13"/>
      <c r="E376" s="13"/>
      <c r="F376" s="14"/>
      <c r="G376" s="14"/>
      <c r="H376" s="15" t="str">
        <f aca="false">IF(OR($F376="",$G376=""),"",$F376*$G376)</f>
        <v/>
      </c>
      <c r="I376" s="13"/>
      <c r="J376" s="13"/>
      <c r="K376" s="13"/>
    </row>
    <row r="377" customFormat="false" ht="15.75" hidden="false" customHeight="true" outlineLevel="0" collapsed="false">
      <c r="A377" s="13"/>
      <c r="B377" s="28"/>
      <c r="C377" s="13"/>
      <c r="D377" s="13"/>
      <c r="E377" s="13"/>
      <c r="F377" s="14"/>
      <c r="G377" s="14"/>
      <c r="H377" s="15" t="str">
        <f aca="false">IF(OR($F377="",$G377=""),"",$F377*$G377)</f>
        <v/>
      </c>
      <c r="I377" s="13"/>
      <c r="J377" s="13"/>
      <c r="K377" s="13"/>
    </row>
    <row r="378" customFormat="false" ht="15.75" hidden="false" customHeight="true" outlineLevel="0" collapsed="false">
      <c r="A378" s="13"/>
      <c r="B378" s="28"/>
      <c r="C378" s="13"/>
      <c r="D378" s="13"/>
      <c r="E378" s="13"/>
      <c r="F378" s="14"/>
      <c r="G378" s="14"/>
      <c r="H378" s="15" t="str">
        <f aca="false">IF(OR($F378="",$G378=""),"",$F378*$G378)</f>
        <v/>
      </c>
      <c r="I378" s="13"/>
      <c r="J378" s="13"/>
      <c r="K378" s="13"/>
    </row>
    <row r="379" customFormat="false" ht="15.75" hidden="false" customHeight="true" outlineLevel="0" collapsed="false">
      <c r="A379" s="13"/>
      <c r="B379" s="28"/>
      <c r="C379" s="13"/>
      <c r="D379" s="13"/>
      <c r="E379" s="13"/>
      <c r="F379" s="14"/>
      <c r="G379" s="14"/>
      <c r="H379" s="15" t="str">
        <f aca="false">IF(OR($F379="",$G379=""),"",$F379*$G379)</f>
        <v/>
      </c>
      <c r="I379" s="13"/>
      <c r="J379" s="13"/>
      <c r="K379" s="13"/>
    </row>
    <row r="380" customFormat="false" ht="15.75" hidden="false" customHeight="true" outlineLevel="0" collapsed="false">
      <c r="A380" s="13"/>
      <c r="B380" s="28"/>
      <c r="C380" s="13"/>
      <c r="D380" s="13"/>
      <c r="E380" s="13"/>
      <c r="F380" s="14"/>
      <c r="G380" s="14"/>
      <c r="H380" s="15" t="str">
        <f aca="false">IF(OR($F380="",$G380=""),"",$F380*$G380)</f>
        <v/>
      </c>
      <c r="I380" s="13"/>
      <c r="J380" s="13"/>
      <c r="K380" s="13"/>
    </row>
    <row r="381" customFormat="false" ht="15.75" hidden="false" customHeight="true" outlineLevel="0" collapsed="false">
      <c r="A381" s="13"/>
      <c r="B381" s="28"/>
      <c r="C381" s="13"/>
      <c r="D381" s="13"/>
      <c r="E381" s="13"/>
      <c r="F381" s="14"/>
      <c r="G381" s="14"/>
      <c r="H381" s="15" t="str">
        <f aca="false">IF(OR($F381="",$G381=""),"",$F381*$G381)</f>
        <v/>
      </c>
      <c r="I381" s="13"/>
      <c r="J381" s="13"/>
      <c r="K381" s="13"/>
    </row>
    <row r="382" customFormat="false" ht="15.75" hidden="false" customHeight="true" outlineLevel="0" collapsed="false">
      <c r="A382" s="13"/>
      <c r="B382" s="28"/>
      <c r="C382" s="13"/>
      <c r="D382" s="13"/>
      <c r="E382" s="13"/>
      <c r="F382" s="14"/>
      <c r="G382" s="14"/>
      <c r="H382" s="15" t="str">
        <f aca="false">IF(OR($F382="",$G382=""),"",$F382*$G382)</f>
        <v/>
      </c>
      <c r="I382" s="13"/>
      <c r="J382" s="13"/>
      <c r="K382" s="13"/>
    </row>
    <row r="383" customFormat="false" ht="15.75" hidden="false" customHeight="true" outlineLevel="0" collapsed="false">
      <c r="A383" s="13"/>
      <c r="B383" s="28"/>
      <c r="C383" s="13"/>
      <c r="D383" s="13"/>
      <c r="E383" s="13"/>
      <c r="F383" s="14"/>
      <c r="G383" s="14"/>
      <c r="H383" s="15" t="str">
        <f aca="false">IF(OR($F383="",$G383=""),"",$F383*$G383)</f>
        <v/>
      </c>
      <c r="I383" s="13"/>
      <c r="J383" s="13"/>
      <c r="K383" s="13"/>
    </row>
    <row r="384" customFormat="false" ht="15.75" hidden="false" customHeight="true" outlineLevel="0" collapsed="false">
      <c r="A384" s="13"/>
      <c r="B384" s="28"/>
      <c r="C384" s="13"/>
      <c r="D384" s="13"/>
      <c r="E384" s="13"/>
      <c r="F384" s="14"/>
      <c r="G384" s="14"/>
      <c r="H384" s="15" t="str">
        <f aca="false">IF(OR($F384="",$G384=""),"",$F384*$G384)</f>
        <v/>
      </c>
      <c r="I384" s="13"/>
      <c r="J384" s="13"/>
      <c r="K384" s="13"/>
    </row>
    <row r="385" customFormat="false" ht="15.75" hidden="false" customHeight="true" outlineLevel="0" collapsed="false">
      <c r="A385" s="13"/>
      <c r="B385" s="28"/>
      <c r="C385" s="13"/>
      <c r="D385" s="13"/>
      <c r="E385" s="13"/>
      <c r="F385" s="14"/>
      <c r="G385" s="14"/>
      <c r="H385" s="15" t="str">
        <f aca="false">IF(OR($F385="",$G385=""),"",$F385*$G385)</f>
        <v/>
      </c>
      <c r="I385" s="13"/>
      <c r="J385" s="13"/>
      <c r="K385" s="13"/>
    </row>
    <row r="386" customFormat="false" ht="15.75" hidden="false" customHeight="true" outlineLevel="0" collapsed="false">
      <c r="A386" s="13"/>
      <c r="B386" s="28"/>
      <c r="C386" s="13"/>
      <c r="D386" s="13"/>
      <c r="E386" s="13"/>
      <c r="F386" s="14"/>
      <c r="G386" s="14"/>
      <c r="H386" s="15" t="str">
        <f aca="false">IF(OR($F386="",$G386=""),"",$F386*$G386)</f>
        <v/>
      </c>
      <c r="I386" s="13"/>
      <c r="J386" s="13"/>
      <c r="K386" s="13"/>
    </row>
    <row r="387" customFormat="false" ht="15.75" hidden="false" customHeight="true" outlineLevel="0" collapsed="false">
      <c r="A387" s="13"/>
      <c r="B387" s="28"/>
      <c r="C387" s="13"/>
      <c r="D387" s="13"/>
      <c r="E387" s="13"/>
      <c r="F387" s="14"/>
      <c r="G387" s="14"/>
      <c r="H387" s="15" t="str">
        <f aca="false">IF(OR($F387="",$G387=""),"",$F387*$G387)</f>
        <v/>
      </c>
      <c r="I387" s="13"/>
      <c r="J387" s="13"/>
      <c r="K387" s="13"/>
    </row>
    <row r="388" customFormat="false" ht="15.75" hidden="false" customHeight="true" outlineLevel="0" collapsed="false">
      <c r="A388" s="13"/>
      <c r="B388" s="28"/>
      <c r="C388" s="13"/>
      <c r="D388" s="13"/>
      <c r="E388" s="13"/>
      <c r="F388" s="14"/>
      <c r="G388" s="14"/>
      <c r="H388" s="15" t="str">
        <f aca="false">IF(OR($F388="",$G388=""),"",$F388*$G388)</f>
        <v/>
      </c>
      <c r="I388" s="13"/>
      <c r="J388" s="13"/>
      <c r="K388" s="13"/>
    </row>
    <row r="389" customFormat="false" ht="15.75" hidden="false" customHeight="true" outlineLevel="0" collapsed="false">
      <c r="A389" s="13"/>
      <c r="B389" s="28"/>
      <c r="C389" s="13"/>
      <c r="D389" s="13"/>
      <c r="E389" s="13"/>
      <c r="F389" s="14"/>
      <c r="G389" s="14"/>
      <c r="H389" s="15" t="str">
        <f aca="false">IF(OR($F389="",$G389=""),"",$F389*$G389)</f>
        <v/>
      </c>
      <c r="I389" s="13"/>
      <c r="J389" s="13"/>
      <c r="K389" s="13"/>
    </row>
    <row r="390" customFormat="false" ht="15.75" hidden="false" customHeight="true" outlineLevel="0" collapsed="false">
      <c r="A390" s="13"/>
      <c r="B390" s="28"/>
      <c r="C390" s="13"/>
      <c r="D390" s="13"/>
      <c r="E390" s="13"/>
      <c r="F390" s="14"/>
      <c r="G390" s="14"/>
      <c r="H390" s="15" t="str">
        <f aca="false">IF(OR($F390="",$G390=""),"",$F390*$G390)</f>
        <v/>
      </c>
      <c r="I390" s="13"/>
      <c r="J390" s="13"/>
      <c r="K390" s="13"/>
    </row>
    <row r="391" customFormat="false" ht="15.75" hidden="false" customHeight="true" outlineLevel="0" collapsed="false">
      <c r="A391" s="13"/>
      <c r="B391" s="28"/>
      <c r="C391" s="13"/>
      <c r="D391" s="13"/>
      <c r="E391" s="13"/>
      <c r="F391" s="14"/>
      <c r="G391" s="14"/>
      <c r="H391" s="15" t="str">
        <f aca="false">IF(OR($F391="",$G391=""),"",$F391*$G391)</f>
        <v/>
      </c>
      <c r="I391" s="13"/>
      <c r="J391" s="13"/>
      <c r="K391" s="13"/>
    </row>
    <row r="392" customFormat="false" ht="15.75" hidden="false" customHeight="true" outlineLevel="0" collapsed="false">
      <c r="A392" s="13"/>
      <c r="B392" s="28"/>
      <c r="C392" s="13"/>
      <c r="D392" s="13"/>
      <c r="E392" s="13"/>
      <c r="F392" s="14"/>
      <c r="G392" s="14"/>
      <c r="H392" s="15" t="str">
        <f aca="false">IF(OR($F392="",$G392=""),"",$F392*$G392)</f>
        <v/>
      </c>
      <c r="I392" s="13"/>
      <c r="J392" s="13"/>
      <c r="K392" s="13"/>
    </row>
    <row r="393" customFormat="false" ht="15.75" hidden="false" customHeight="true" outlineLevel="0" collapsed="false">
      <c r="A393" s="13"/>
      <c r="B393" s="28"/>
      <c r="C393" s="13"/>
      <c r="D393" s="13"/>
      <c r="E393" s="13"/>
      <c r="F393" s="14"/>
      <c r="G393" s="14"/>
      <c r="H393" s="15" t="str">
        <f aca="false">IF(OR($F393="",$G393=""),"",$F393*$G393)</f>
        <v/>
      </c>
      <c r="I393" s="13"/>
      <c r="J393" s="13"/>
      <c r="K393" s="13"/>
    </row>
    <row r="394" customFormat="false" ht="15.75" hidden="false" customHeight="true" outlineLevel="0" collapsed="false">
      <c r="A394" s="13"/>
      <c r="B394" s="28"/>
      <c r="C394" s="13"/>
      <c r="D394" s="13"/>
      <c r="E394" s="13"/>
      <c r="F394" s="14"/>
      <c r="G394" s="14"/>
      <c r="H394" s="15" t="str">
        <f aca="false">IF(OR($F394="",$G394=""),"",$F394*$G394)</f>
        <v/>
      </c>
      <c r="I394" s="13"/>
      <c r="J394" s="13"/>
      <c r="K394" s="13"/>
    </row>
    <row r="395" customFormat="false" ht="15.75" hidden="false" customHeight="true" outlineLevel="0" collapsed="false">
      <c r="A395" s="13"/>
      <c r="B395" s="28"/>
      <c r="C395" s="13"/>
      <c r="D395" s="13"/>
      <c r="E395" s="13"/>
      <c r="F395" s="14"/>
      <c r="G395" s="14"/>
      <c r="H395" s="15" t="str">
        <f aca="false">IF(OR($F395="",$G395=""),"",$F395*$G395)</f>
        <v/>
      </c>
      <c r="I395" s="13"/>
      <c r="J395" s="13"/>
      <c r="K395" s="13"/>
    </row>
    <row r="396" customFormat="false" ht="15.75" hidden="false" customHeight="true" outlineLevel="0" collapsed="false">
      <c r="A396" s="13"/>
      <c r="B396" s="28"/>
      <c r="C396" s="13"/>
      <c r="D396" s="13"/>
      <c r="E396" s="13"/>
      <c r="F396" s="14"/>
      <c r="G396" s="14"/>
      <c r="H396" s="15" t="str">
        <f aca="false">IF(OR($F396="",$G396=""),"",$F396*$G396)</f>
        <v/>
      </c>
      <c r="I396" s="13"/>
      <c r="J396" s="13"/>
      <c r="K396" s="13"/>
    </row>
    <row r="397" customFormat="false" ht="15.75" hidden="false" customHeight="true" outlineLevel="0" collapsed="false">
      <c r="A397" s="13"/>
      <c r="B397" s="28"/>
      <c r="C397" s="13"/>
      <c r="D397" s="13"/>
      <c r="E397" s="13"/>
      <c r="F397" s="14"/>
      <c r="G397" s="14"/>
      <c r="H397" s="15" t="str">
        <f aca="false">IF(OR($F397="",$G397=""),"",$F397*$G397)</f>
        <v/>
      </c>
      <c r="I397" s="13"/>
      <c r="J397" s="13"/>
      <c r="K397" s="13"/>
    </row>
    <row r="398" customFormat="false" ht="15.75" hidden="false" customHeight="true" outlineLevel="0" collapsed="false">
      <c r="A398" s="13"/>
      <c r="B398" s="28"/>
      <c r="C398" s="13"/>
      <c r="D398" s="13"/>
      <c r="E398" s="13"/>
      <c r="F398" s="14"/>
      <c r="G398" s="14"/>
      <c r="H398" s="15" t="str">
        <f aca="false">IF(OR($F398="",$G398=""),"",$F398*$G398)</f>
        <v/>
      </c>
      <c r="I398" s="13"/>
      <c r="J398" s="13"/>
      <c r="K398" s="13"/>
    </row>
    <row r="399" customFormat="false" ht="15.75" hidden="false" customHeight="true" outlineLevel="0" collapsed="false">
      <c r="A399" s="13"/>
      <c r="B399" s="28"/>
      <c r="C399" s="13"/>
      <c r="D399" s="13"/>
      <c r="E399" s="13"/>
      <c r="F399" s="14"/>
      <c r="G399" s="14"/>
      <c r="H399" s="15" t="str">
        <f aca="false">IF(OR($F399="",$G399=""),"",$F399*$G399)</f>
        <v/>
      </c>
      <c r="I399" s="13"/>
      <c r="J399" s="13"/>
      <c r="K399" s="13"/>
    </row>
    <row r="400" customFormat="false" ht="15.75" hidden="false" customHeight="true" outlineLevel="0" collapsed="false">
      <c r="A400" s="13"/>
      <c r="B400" s="28"/>
      <c r="C400" s="13"/>
      <c r="D400" s="13"/>
      <c r="E400" s="13"/>
      <c r="F400" s="14"/>
      <c r="G400" s="14"/>
      <c r="H400" s="15" t="str">
        <f aca="false">IF(OR($F400="",$G400=""),"",$F400*$G400)</f>
        <v/>
      </c>
      <c r="I400" s="13"/>
      <c r="J400" s="13"/>
      <c r="K400" s="13"/>
    </row>
  </sheetData>
  <dataValidations count="2">
    <dataValidation allowBlank="true" errorStyle="stop" operator="between" showDropDown="false" showErrorMessage="false" showInputMessage="false" sqref="D2:D400" type="list">
      <formula1>Dropdowns!$G$5:$G$10</formula1>
      <formula2>0</formula2>
    </dataValidation>
    <dataValidation allowBlank="true" errorStyle="stop" operator="between" showDropDown="false" showErrorMessage="false" showInputMessage="false" sqref="E2:E400" type="list">
      <formula1>Dropdowns!$H$5:$H$14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6"/>
  </cols>
  <sheetData>
    <row r="1" customFormat="false" ht="19.7" hidden="false" customHeight="false" outlineLevel="0" collapsed="false">
      <c r="A1" s="1" t="s">
        <v>905</v>
      </c>
    </row>
    <row r="2" customFormat="false" ht="15" hidden="false" customHeight="false" outlineLevel="0" collapsed="false">
      <c r="A2" s="2" t="s">
        <v>906</v>
      </c>
    </row>
    <row r="4" customFormat="false" ht="15" hidden="false" customHeight="false" outlineLevel="0" collapsed="false">
      <c r="A4" s="29" t="s">
        <v>907</v>
      </c>
      <c r="B4" s="30"/>
      <c r="C4" s="30"/>
    </row>
    <row r="5" customFormat="false" ht="15" hidden="false" customHeight="false" outlineLevel="0" collapsed="false">
      <c r="A5" s="31" t="s">
        <v>908</v>
      </c>
      <c r="B5" s="21" t="n">
        <f aca="false">COUNTA(Variants!$A$3:$A$476)</f>
        <v>474</v>
      </c>
    </row>
    <row r="6" customFormat="false" ht="15" hidden="false" customHeight="false" outlineLevel="0" collapsed="false">
      <c r="A6" s="31" t="s">
        <v>909</v>
      </c>
      <c r="B6" s="21" t="n">
        <f aca="false">COUNTIF(Variants!$AD$3:$AD$476,"Active")</f>
        <v>474</v>
      </c>
    </row>
    <row r="7" customFormat="false" ht="15" hidden="false" customHeight="false" outlineLevel="0" collapsed="false">
      <c r="A7" s="31" t="s">
        <v>910</v>
      </c>
      <c r="B7" s="21" t="n">
        <f aca="false">SUM(Variants!$O$3:$O$476)</f>
        <v>0</v>
      </c>
    </row>
    <row r="8" customFormat="false" ht="15" hidden="false" customHeight="false" outlineLevel="0" collapsed="false">
      <c r="A8" s="31" t="s">
        <v>911</v>
      </c>
      <c r="B8" s="15" t="n">
        <f aca="false">SUMPRODUCT(Variants!$O$3:$O$476,Variants!$I$3:$I$476)</f>
        <v>0</v>
      </c>
    </row>
    <row r="9" customFormat="false" ht="15" hidden="false" customHeight="false" outlineLevel="0" collapsed="false">
      <c r="A9" s="31" t="s">
        <v>912</v>
      </c>
      <c r="B9" s="15" t="str">
        <f aca="false">IF(SUM(Variants!$M$3:$M$476)=0,"— (add costs)",SUMPRODUCT(Variants!$O$3:$O$476,IF(ISNUMBER(Variants!$M$3:$M$476),Variants!$M$3:$M$476,0)))</f>
        <v>— (add costs)</v>
      </c>
    </row>
    <row r="10" customFormat="false" ht="15" hidden="false" customHeight="false" outlineLevel="0" collapsed="false">
      <c r="A10" s="31" t="s">
        <v>913</v>
      </c>
      <c r="B10" s="21" t="n">
        <f aca="false">COUNTIF(Variants!$S$3:$S$476,"⚠ REORDER")</f>
        <v>474</v>
      </c>
    </row>
    <row r="11" customFormat="false" ht="15" hidden="false" customHeight="false" outlineLevel="0" collapsed="false">
      <c r="A11" s="31" t="s">
        <v>914</v>
      </c>
      <c r="B11" s="21" t="n">
        <f aca="false">COUNTIF(Variants!$O$3:$O$476,0)</f>
        <v>474</v>
      </c>
    </row>
    <row r="13" customFormat="false" ht="15" hidden="false" customHeight="false" outlineLevel="0" collapsed="false">
      <c r="A13" s="32" t="s">
        <v>915</v>
      </c>
      <c r="B13" s="33"/>
      <c r="C13" s="33"/>
    </row>
    <row r="14" customFormat="false" ht="15" hidden="false" customHeight="false" outlineLevel="0" collapsed="false">
      <c r="A14" s="31" t="s">
        <v>916</v>
      </c>
      <c r="B14" s="21" t="n">
        <f aca="false">SUMIF(Transactions!$D:$D,"Sale",Transactions!$F:$F)</f>
        <v>2</v>
      </c>
    </row>
    <row r="15" customFormat="false" ht="15" hidden="false" customHeight="false" outlineLevel="0" collapsed="false">
      <c r="A15" s="31" t="s">
        <v>917</v>
      </c>
      <c r="B15" s="15" t="n">
        <f aca="false">SUMIF(Transactions!$D:$D,"Sale",Transactions!$H:$H)</f>
        <v>46000</v>
      </c>
    </row>
    <row r="16" customFormat="false" ht="15" hidden="false" customHeight="false" outlineLevel="0" collapsed="false">
      <c r="A16" s="31" t="s">
        <v>918</v>
      </c>
      <c r="B16" s="18" t="n">
        <f aca="false">SUMIF(Transactions!$D:$D,"Sale",Transactions!$H:$H)*Dropdowns!$K$5</f>
        <v>119.6</v>
      </c>
    </row>
    <row r="17" customFormat="false" ht="15" hidden="false" customHeight="false" outlineLevel="0" collapsed="false">
      <c r="A17" s="31" t="s">
        <v>919</v>
      </c>
      <c r="B17" s="15" t="n">
        <f aca="false">IFERROR(SUMIF(Transactions!$D:$D,"Sale",Transactions!$H:$H)/COUNTIF(Transactions!$D:$D,"Sale"),0)</f>
        <v>23000</v>
      </c>
    </row>
    <row r="18" customFormat="false" ht="15" hidden="false" customHeight="false" outlineLevel="0" collapsed="false">
      <c r="A18" s="31" t="s">
        <v>920</v>
      </c>
      <c r="B18" s="21" t="n">
        <f aca="false">COUNTIF(Transactions!$D:$D,"Sale")</f>
        <v>2</v>
      </c>
    </row>
    <row r="20" customFormat="false" ht="15" hidden="false" customHeight="false" outlineLevel="0" collapsed="false">
      <c r="A20" s="34" t="s">
        <v>921</v>
      </c>
      <c r="B20" s="35"/>
      <c r="C20" s="35"/>
    </row>
    <row r="21" customFormat="false" ht="15" hidden="false" customHeight="false" outlineLevel="0" collapsed="false">
      <c r="A21" s="31" t="s">
        <v>922</v>
      </c>
      <c r="B21" s="16" t="str">
        <f aca="false">IFERROR(AVERAGEIF(Designs!$AB$3:$AB$165,"&lt;&gt;",Designs!$AB$3:$AB$165),"— (add costs)")</f>
        <v>— (add costs)</v>
      </c>
    </row>
    <row r="22" customFormat="false" ht="15" hidden="false" customHeight="false" outlineLevel="0" collapsed="false">
      <c r="A22" s="31" t="s">
        <v>923</v>
      </c>
      <c r="B22" s="21" t="n">
        <f aca="false">COUNT(Designs!$AA$3:$AA$165)</f>
        <v>0</v>
      </c>
    </row>
    <row r="24" customFormat="false" ht="15" hidden="false" customHeight="false" outlineLevel="0" collapsed="false">
      <c r="A24" s="36" t="s">
        <v>924</v>
      </c>
      <c r="B24" s="37"/>
      <c r="C24" s="37"/>
    </row>
    <row r="25" customFormat="false" ht="15" hidden="false" customHeight="false" outlineLevel="0" collapsed="false">
      <c r="A25" s="31" t="s">
        <v>925</v>
      </c>
      <c r="B25" s="15" t="n">
        <f aca="false">SUMIFS(Transactions!$H:$H,Transactions!$D:$D,"Sale",Transactions!$E:$E,"Website")</f>
        <v>0</v>
      </c>
    </row>
    <row r="26" customFormat="false" ht="15" hidden="false" customHeight="false" outlineLevel="0" collapsed="false">
      <c r="A26" s="31" t="s">
        <v>926</v>
      </c>
      <c r="B26" s="15" t="n">
        <f aca="false">SUMIFS(Transactions!$H:$H,Transactions!$D:$D,"Sale",Transactions!$E:$E,"Instagram DM")</f>
        <v>19000</v>
      </c>
    </row>
    <row r="27" customFormat="false" ht="15" hidden="false" customHeight="false" outlineLevel="0" collapsed="false">
      <c r="A27" s="31" t="s">
        <v>927</v>
      </c>
      <c r="B27" s="15" t="n">
        <f aca="false">SUMIFS(Transactions!$H:$H,Transactions!$D:$D,"Sale",Transactions!$E:$E,"Cafesjian Center")</f>
        <v>27000</v>
      </c>
    </row>
    <row r="28" customFormat="false" ht="15" hidden="false" customHeight="false" outlineLevel="0" collapsed="false">
      <c r="A28" s="31" t="s">
        <v>928</v>
      </c>
      <c r="B28" s="15" t="n">
        <f aca="false">SUMIFS(Transactions!$H:$H,Transactions!$D:$D,"Sale",Transactions!$E:$E,"Made By Armenia")</f>
        <v>0</v>
      </c>
    </row>
    <row r="29" customFormat="false" ht="15" hidden="false" customHeight="false" outlineLevel="0" collapsed="false">
      <c r="A29" s="31" t="s">
        <v>929</v>
      </c>
      <c r="B29" s="15" t="n">
        <f aca="false">SUMIFS(Transactions!$H:$H,Transactions!$D:$D,"Sale",Transactions!$E:$E,"Matenadaran")</f>
        <v>0</v>
      </c>
    </row>
    <row r="30" customFormat="false" ht="15" hidden="false" customHeight="false" outlineLevel="0" collapsed="false">
      <c r="A30" s="31" t="s">
        <v>930</v>
      </c>
      <c r="B30" s="15" t="n">
        <f aca="false">SUMIFS(Transactions!$H:$H,Transactions!$D:$D,"Sale",Transactions!$E:$E,"UMA")</f>
        <v>0</v>
      </c>
    </row>
    <row r="31" customFormat="false" ht="15" hidden="false" customHeight="false" outlineLevel="0" collapsed="false">
      <c r="A31" s="31" t="s">
        <v>931</v>
      </c>
      <c r="B31" s="15" t="n">
        <f aca="false">SUMIFS(Transactions!$H:$H,Transactions!$D:$D,"Sale",Transactions!$E:$E,"Megamall")</f>
        <v>0</v>
      </c>
    </row>
    <row r="32" customFormat="false" ht="15" hidden="false" customHeight="false" outlineLevel="0" collapsed="false">
      <c r="A32" s="31" t="s">
        <v>932</v>
      </c>
      <c r="B32" s="15" t="n">
        <f aca="false">SUMIFS(Transactions!$H:$H,Transactions!$D:$D,"Sale",Transactions!$E:$E,"Etsy")</f>
        <v>0</v>
      </c>
    </row>
    <row r="33" customFormat="false" ht="15" hidden="false" customHeight="false" outlineLevel="0" collapsed="false">
      <c r="A33" s="31" t="s">
        <v>933</v>
      </c>
      <c r="B33" s="15" t="n">
        <f aca="false">SUMIFS(Transactions!$H:$H,Transactions!$D:$D,"Sale",Transactions!$E:$E,"Wholesale")</f>
        <v>0</v>
      </c>
    </row>
    <row r="35" customFormat="false" ht="15" hidden="false" customHeight="false" outlineLevel="0" collapsed="false">
      <c r="A35" s="38" t="s">
        <v>934</v>
      </c>
      <c r="B35" s="39"/>
      <c r="C35" s="39"/>
    </row>
    <row r="36" customFormat="false" ht="15" hidden="false" customHeight="false" outlineLevel="0" collapsed="false">
      <c r="A36" s="40" t="s">
        <v>37</v>
      </c>
      <c r="B36" s="40" t="s">
        <v>935</v>
      </c>
      <c r="C36" s="40" t="s">
        <v>373</v>
      </c>
      <c r="D36" s="40" t="s">
        <v>936</v>
      </c>
    </row>
    <row r="37" customFormat="false" ht="15" hidden="false" customHeight="false" outlineLevel="0" collapsed="false">
      <c r="A37" s="12" t="s">
        <v>78</v>
      </c>
      <c r="B37" s="21" t="n">
        <f aca="false">COUNTIF(Variants!$D$3:$D$476,"Pendant")</f>
        <v>147</v>
      </c>
      <c r="C37" s="21" t="n">
        <f aca="false">SUMPRODUCT((Variants!$D$3:$D$476="Pendant")*Variants!$AE$3:$AE$476)</f>
        <v>1</v>
      </c>
      <c r="D37" s="15" t="n">
        <f aca="false">SUMPRODUCT((Variants!$D$3:$D$476="Pendant")*Variants!$AF$3:$AF$476)</f>
        <v>19000</v>
      </c>
    </row>
    <row r="38" customFormat="false" ht="15" hidden="false" customHeight="false" outlineLevel="0" collapsed="false">
      <c r="A38" s="12" t="s">
        <v>165</v>
      </c>
      <c r="B38" s="21" t="n">
        <f aca="false">COUNTIF(Variants!$D$3:$D$476,"Bracelet")</f>
        <v>114</v>
      </c>
      <c r="C38" s="21" t="n">
        <f aca="false">SUMPRODUCT((Variants!$D$3:$D$476="Bracelet")*Variants!$AE$3:$AE$476)</f>
        <v>0</v>
      </c>
      <c r="D38" s="15" t="n">
        <f aca="false">SUMPRODUCT((Variants!$D$3:$D$476="Bracelet")*Variants!$AF$3:$AF$476)</f>
        <v>0</v>
      </c>
    </row>
    <row r="39" customFormat="false" ht="15" hidden="false" customHeight="false" outlineLevel="0" collapsed="false">
      <c r="A39" s="12" t="s">
        <v>205</v>
      </c>
      <c r="B39" s="21" t="n">
        <f aca="false">COUNTIF(Variants!$D$3:$D$476,"Brooch")</f>
        <v>38</v>
      </c>
      <c r="C39" s="21" t="n">
        <f aca="false">SUMPRODUCT((Variants!$D$3:$D$476="Brooch")*Variants!$AE$3:$AE$476)</f>
        <v>0</v>
      </c>
      <c r="D39" s="15" t="n">
        <f aca="false">SUMPRODUCT((Variants!$D$3:$D$476="Brooch")*Variants!$AF$3:$AF$476)</f>
        <v>0</v>
      </c>
    </row>
    <row r="40" customFormat="false" ht="15" hidden="false" customHeight="false" outlineLevel="0" collapsed="false">
      <c r="A40" s="12" t="s">
        <v>245</v>
      </c>
      <c r="B40" s="21" t="n">
        <f aca="false">COUNTIF(Variants!$D$3:$D$476,"Earring")</f>
        <v>49</v>
      </c>
      <c r="C40" s="21" t="n">
        <f aca="false">SUMPRODUCT((Variants!$D$3:$D$476="Earring")*Variants!$AE$3:$AE$476)</f>
        <v>1</v>
      </c>
      <c r="D40" s="15" t="n">
        <f aca="false">SUMPRODUCT((Variants!$D$3:$D$476="Earring")*Variants!$AF$3:$AF$476)</f>
        <v>27000</v>
      </c>
    </row>
    <row r="41" customFormat="false" ht="15" hidden="false" customHeight="false" outlineLevel="0" collapsed="false">
      <c r="A41" s="12" t="s">
        <v>276</v>
      </c>
      <c r="B41" s="21" t="n">
        <f aca="false">COUNTIF(Variants!$D$3:$D$476,"earrings 2 pcs.")</f>
        <v>17</v>
      </c>
      <c r="C41" s="21" t="n">
        <f aca="false">SUMPRODUCT((Variants!$D$3:$D$476="earrings 2 pcs.")*Variants!$AE$3:$AE$476)</f>
        <v>0</v>
      </c>
      <c r="D41" s="15" t="n">
        <f aca="false">SUMPRODUCT((Variants!$D$3:$D$476="earrings 2 pcs.")*Variants!$AF$3:$AF$476)</f>
        <v>0</v>
      </c>
    </row>
    <row r="42" customFormat="false" ht="15" hidden="false" customHeight="false" outlineLevel="0" collapsed="false">
      <c r="A42" s="12" t="s">
        <v>287</v>
      </c>
      <c r="B42" s="21" t="n">
        <f aca="false">COUNTIF(Variants!$D$3:$D$476,"Ring")</f>
        <v>47</v>
      </c>
      <c r="C42" s="21" t="n">
        <f aca="false">SUMPRODUCT((Variants!$D$3:$D$476="Ring")*Variants!$AE$3:$AE$476)</f>
        <v>0</v>
      </c>
      <c r="D42" s="15" t="n">
        <f aca="false">SUMPRODUCT((Variants!$D$3:$D$476="Ring")*Variants!$AF$3:$AF$476)</f>
        <v>0</v>
      </c>
    </row>
    <row r="43" customFormat="false" ht="15" hidden="false" customHeight="false" outlineLevel="0" collapsed="false">
      <c r="A43" s="12" t="s">
        <v>297</v>
      </c>
      <c r="B43" s="21" t="n">
        <f aca="false">COUNTIF(Variants!$D$3:$D$476,"ring twin")</f>
        <v>12</v>
      </c>
      <c r="C43" s="21" t="n">
        <f aca="false">SUMPRODUCT((Variants!$D$3:$D$476="ring twin")*Variants!$AE$3:$AE$476)</f>
        <v>0</v>
      </c>
      <c r="D43" s="15" t="n">
        <f aca="false">SUMPRODUCT((Variants!$D$3:$D$476="ring twin")*Variants!$AF$3:$AF$476)</f>
        <v>0</v>
      </c>
    </row>
    <row r="44" customFormat="false" ht="15" hidden="false" customHeight="false" outlineLevel="0" collapsed="false">
      <c r="A44" s="12" t="s">
        <v>323</v>
      </c>
      <c r="B44" s="21" t="n">
        <f aca="false">COUNTIF(Variants!$D$3:$D$476,"chain necklace")</f>
        <v>25</v>
      </c>
      <c r="C44" s="21" t="n">
        <f aca="false">SUMPRODUCT((Variants!$D$3:$D$476="chain necklace")*Variants!$AE$3:$AE$476)</f>
        <v>0</v>
      </c>
      <c r="D44" s="15" t="n">
        <f aca="false">SUMPRODUCT((Variants!$D$3:$D$476="chain necklace")*Variants!$AF$3:$AF$476)</f>
        <v>0</v>
      </c>
    </row>
    <row r="45" customFormat="false" ht="15" hidden="false" customHeight="false" outlineLevel="0" collapsed="false">
      <c r="A45" s="12" t="s">
        <v>333</v>
      </c>
      <c r="B45" s="21" t="n">
        <f aca="false">COUNTIF(Variants!$D$3:$D$476,"chain bracelet")</f>
        <v>25</v>
      </c>
      <c r="C45" s="21" t="n">
        <f aca="false">SUMPRODUCT((Variants!$D$3:$D$476="chain bracelet")*Variants!$AE$3:$AE$476)</f>
        <v>0</v>
      </c>
      <c r="D45" s="15" t="n">
        <f aca="false">SUMPRODUCT((Variants!$D$3:$D$476="chain bracelet")*Variants!$AF$3:$AF$476)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22"/>
  </cols>
  <sheetData>
    <row r="1" customFormat="false" ht="30" hidden="false" customHeight="true" outlineLevel="0" collapsed="false">
      <c r="A1" s="23" t="s">
        <v>937</v>
      </c>
      <c r="B1" s="23" t="s">
        <v>938</v>
      </c>
      <c r="C1" s="23" t="s">
        <v>939</v>
      </c>
      <c r="D1" s="23" t="s">
        <v>940</v>
      </c>
      <c r="E1" s="23" t="s">
        <v>941</v>
      </c>
      <c r="F1" s="23" t="s">
        <v>887</v>
      </c>
      <c r="G1" s="23" t="s">
        <v>942</v>
      </c>
      <c r="H1" s="23" t="s">
        <v>943</v>
      </c>
      <c r="I1" s="23" t="s">
        <v>944</v>
      </c>
      <c r="J1" s="23" t="s">
        <v>945</v>
      </c>
      <c r="K1" s="23" t="s">
        <v>946</v>
      </c>
      <c r="L1" s="23" t="s">
        <v>947</v>
      </c>
      <c r="M1" s="23" t="s">
        <v>948</v>
      </c>
      <c r="N1" s="23" t="s">
        <v>949</v>
      </c>
      <c r="O1" s="23" t="s">
        <v>950</v>
      </c>
      <c r="P1" s="23" t="s">
        <v>951</v>
      </c>
      <c r="Q1" s="23" t="s">
        <v>952</v>
      </c>
      <c r="R1" s="23" t="s">
        <v>953</v>
      </c>
      <c r="S1" s="23" t="s">
        <v>954</v>
      </c>
      <c r="T1" s="23" t="s">
        <v>955</v>
      </c>
      <c r="U1" s="23" t="s">
        <v>63</v>
      </c>
    </row>
    <row r="2" customFormat="false" ht="15.75" hidden="false" customHeight="true" outlineLevel="0" collapsed="false">
      <c r="A2" s="21" t="str">
        <f aca="false">IF(Variants!$B3="","",LOWER(Variants!$B3))</f>
        <v>dsgn-pend-alpha-ayb</v>
      </c>
      <c r="B2" s="21" t="str">
        <f aca="false">IF(Variants!$B3="","",Variants!$C3&amp;IF(Variants!$F3="",""," "&amp;Variants!$F3))</f>
        <v>Bird Letter Pendant Ա</v>
      </c>
      <c r="C2" s="21" t="str">
        <f aca="false">IFERROR(IF(Variants!$B3="","","&lt;p&gt;"&amp;VLOOKUP(Variants!$B3,Designs!$A$3:$AP$165,9,FALSE())&amp;"&lt;/p&gt;"),"")</f>
        <v>&lt;p&gt;Bird letters are an ornamental medieval Armenian script where each letter is formed from stylised birds, used in illuminated manuscripts.&lt;/p&gt;</v>
      </c>
      <c r="D2" s="21" t="str">
        <f aca="false">IF(Variants!$B3="","","Karni Jewellery")</f>
        <v>Karni Jewellery</v>
      </c>
      <c r="E2" s="21" t="str">
        <f aca="false">IF(Variants!$B3="","","Apparel &amp; Accessories &gt; Jewelry")</f>
        <v>Apparel &amp; Accessories &gt; Jewelry</v>
      </c>
      <c r="F2" s="21" t="str">
        <f aca="false">IF(Variants!$D3="","",Variants!$D3)</f>
        <v>Pendant</v>
      </c>
      <c r="G2" s="21" t="str">
        <f aca="false">IF(Variants!$E3="","",Variants!$E3&amp;", Armenian jewellery, handmade")</f>
        <v>Alphabet, Armenian jewellery, handmade</v>
      </c>
      <c r="H2" s="21" t="str">
        <f aca="false">IF(Variants!$AD3="Active","TRUE","FALSE")</f>
        <v>TRUE</v>
      </c>
      <c r="I2" s="21" t="str">
        <f aca="false">IF(Variants!$H3="","","Color")</f>
        <v>Color</v>
      </c>
      <c r="J2" s="21" t="str">
        <f aca="false">IF(Variants!$H3="","",Variants!$H3)</f>
        <v>red</v>
      </c>
      <c r="K2" s="21" t="str">
        <f aca="false">IF(Variants!$G3="","","Size")</f>
        <v/>
      </c>
      <c r="L2" s="21" t="str">
        <f aca="false">IF(Variants!$G3="","",Variants!$G3)</f>
        <v/>
      </c>
      <c r="M2" s="21" t="str">
        <f aca="false">Variants!$A3</f>
        <v>KARNI-PEND-ALPHA-AYB-RED</v>
      </c>
      <c r="N2" s="21" t="str">
        <f aca="false">IF(Variants!$X3="","",Variants!$X3)</f>
        <v/>
      </c>
      <c r="O2" s="21" t="n">
        <f aca="false">IF(Variants!$O3="","",Variants!$O3)</f>
        <v>0</v>
      </c>
      <c r="P2" s="18" t="n">
        <f aca="false">IF(Variants!$J3="","",Variants!$J3)</f>
        <v>49.4</v>
      </c>
      <c r="Q2" s="21" t="str">
        <f aca="false">IF(Variants!$U3="","",Variants!$U3)</f>
        <v/>
      </c>
      <c r="R2" s="21" t="str">
        <f aca="false">IF(Variants!$Y3="","",Variants!$Y3)</f>
        <v/>
      </c>
      <c r="S2" s="21" t="n">
        <f aca="false">IFERROR(VLOOKUP(Variants!$B3,Designs!$A$3:$AP$165,37,FALSE()),"")</f>
        <v>0</v>
      </c>
      <c r="T2" s="21" t="str">
        <f aca="false">IFERROR(VLOOKUP(Variants!$B3,Designs!$A$3:$AP$165,38,FALSE()),"")</f>
        <v>No</v>
      </c>
      <c r="U2" s="21" t="str">
        <f aca="false">IF(Variants!$AD3="Active","active","draft")</f>
        <v>active</v>
      </c>
    </row>
    <row r="3" customFormat="false" ht="15.75" hidden="false" customHeight="true" outlineLevel="0" collapsed="false">
      <c r="A3" s="21" t="str">
        <f aca="false">IF(Variants!$B4="","",LOWER(Variants!$B4))</f>
        <v>dsgn-pend-alpha-ayb</v>
      </c>
      <c r="B3" s="21" t="str">
        <f aca="false">IF(Variants!$B4="","",Variants!$C4&amp;IF(Variants!$F4="",""," "&amp;Variants!$F4))</f>
        <v>Bird Letter Pendant Ա</v>
      </c>
      <c r="C3" s="21" t="str">
        <f aca="false">IFERROR(IF(Variants!$B4="","","&lt;p&gt;"&amp;VLOOKUP(Variants!$B4,Designs!$A$3:$AP$165,9,FALSE())&amp;"&lt;/p&gt;"),"")</f>
        <v>&lt;p&gt;Bird letters are an ornamental medieval Armenian script where each letter is formed from stylised birds, used in illuminated manuscripts.&lt;/p&gt;</v>
      </c>
      <c r="D3" s="21" t="str">
        <f aca="false">IF(Variants!$B4="","","Karni Jewellery")</f>
        <v>Karni Jewellery</v>
      </c>
      <c r="E3" s="21" t="str">
        <f aca="false">IF(Variants!$B4="","","Apparel &amp; Accessories &gt; Jewelry")</f>
        <v>Apparel &amp; Accessories &gt; Jewelry</v>
      </c>
      <c r="F3" s="21" t="str">
        <f aca="false">IF(Variants!$D4="","",Variants!$D4)</f>
        <v>Pendant</v>
      </c>
      <c r="G3" s="21" t="str">
        <f aca="false">IF(Variants!$E4="","",Variants!$E4&amp;", Armenian jewellery, handmade")</f>
        <v>Alphabet, Armenian jewellery, handmade</v>
      </c>
      <c r="H3" s="21" t="str">
        <f aca="false">IF(Variants!$AD4="Active","TRUE","FALSE")</f>
        <v>TRUE</v>
      </c>
      <c r="I3" s="21" t="str">
        <f aca="false">IF(Variants!$H4="","","Color")</f>
        <v>Color</v>
      </c>
      <c r="J3" s="21" t="str">
        <f aca="false">IF(Variants!$H4="","",Variants!$H4)</f>
        <v>turquoise</v>
      </c>
      <c r="K3" s="21" t="str">
        <f aca="false">IF(Variants!$G4="","","Size")</f>
        <v/>
      </c>
      <c r="L3" s="21" t="str">
        <f aca="false">IF(Variants!$G4="","",Variants!$G4)</f>
        <v/>
      </c>
      <c r="M3" s="21" t="str">
        <f aca="false">Variants!$A4</f>
        <v>KARNI-PEND-ALPHA-AYB-TURQUOISE</v>
      </c>
      <c r="N3" s="21" t="str">
        <f aca="false">IF(Variants!$X4="","",Variants!$X4)</f>
        <v/>
      </c>
      <c r="O3" s="21" t="n">
        <f aca="false">IF(Variants!$O4="","",Variants!$O4)</f>
        <v>0</v>
      </c>
      <c r="P3" s="18" t="n">
        <f aca="false">IF(Variants!$J4="","",Variants!$J4)</f>
        <v>49.4</v>
      </c>
      <c r="Q3" s="21" t="str">
        <f aca="false">IF(Variants!$U4="","",Variants!$U4)</f>
        <v/>
      </c>
      <c r="R3" s="21" t="str">
        <f aca="false">IF(Variants!$Y4="","",Variants!$Y4)</f>
        <v/>
      </c>
      <c r="S3" s="21" t="n">
        <f aca="false">IFERROR(VLOOKUP(Variants!$B4,Designs!$A$3:$AP$165,37,FALSE()),"")</f>
        <v>0</v>
      </c>
      <c r="T3" s="21" t="str">
        <f aca="false">IFERROR(VLOOKUP(Variants!$B4,Designs!$A$3:$AP$165,38,FALSE()),"")</f>
        <v>No</v>
      </c>
      <c r="U3" s="21" t="str">
        <f aca="false">IF(Variants!$AD4="Active","active","draft")</f>
        <v>active</v>
      </c>
    </row>
    <row r="4" customFormat="false" ht="15.75" hidden="false" customHeight="true" outlineLevel="0" collapsed="false">
      <c r="A4" s="21" t="str">
        <f aca="false">IF(Variants!$B5="","",LOWER(Variants!$B5))</f>
        <v>dsgn-pend-alpha-ayb</v>
      </c>
      <c r="B4" s="21" t="str">
        <f aca="false">IF(Variants!$B5="","",Variants!$C5&amp;IF(Variants!$F5="",""," "&amp;Variants!$F5))</f>
        <v>Bird Letter Pendant Ա</v>
      </c>
      <c r="C4" s="21" t="str">
        <f aca="false">IFERROR(IF(Variants!$B5="","","&lt;p&gt;"&amp;VLOOKUP(Variants!$B5,Designs!$A$3:$AP$165,9,FALSE())&amp;"&lt;/p&gt;"),"")</f>
        <v>&lt;p&gt;Bird letters are an ornamental medieval Armenian script where each letter is formed from stylised birds, used in illuminated manuscripts.&lt;/p&gt;</v>
      </c>
      <c r="D4" s="21" t="str">
        <f aca="false">IF(Variants!$B5="","","Karni Jewellery")</f>
        <v>Karni Jewellery</v>
      </c>
      <c r="E4" s="21" t="str">
        <f aca="false">IF(Variants!$B5="","","Apparel &amp; Accessories &gt; Jewelry")</f>
        <v>Apparel &amp; Accessories &gt; Jewelry</v>
      </c>
      <c r="F4" s="21" t="str">
        <f aca="false">IF(Variants!$D5="","",Variants!$D5)</f>
        <v>Pendant</v>
      </c>
      <c r="G4" s="21" t="str">
        <f aca="false">IF(Variants!$E5="","",Variants!$E5&amp;", Armenian jewellery, handmade")</f>
        <v>Alphabet, Armenian jewellery, handmade</v>
      </c>
      <c r="H4" s="21" t="str">
        <f aca="false">IF(Variants!$AD5="Active","TRUE","FALSE")</f>
        <v>TRUE</v>
      </c>
      <c r="I4" s="21" t="str">
        <f aca="false">IF(Variants!$H5="","","Color")</f>
        <v>Color</v>
      </c>
      <c r="J4" s="21" t="str">
        <f aca="false">IF(Variants!$H5="","",Variants!$H5)</f>
        <v>white</v>
      </c>
      <c r="K4" s="21" t="str">
        <f aca="false">IF(Variants!$G5="","","Size")</f>
        <v/>
      </c>
      <c r="L4" s="21" t="str">
        <f aca="false">IF(Variants!$G5="","",Variants!$G5)</f>
        <v/>
      </c>
      <c r="M4" s="21" t="str">
        <f aca="false">Variants!$A5</f>
        <v>KARNI-PEND-ALPHA-AYB-WHITE</v>
      </c>
      <c r="N4" s="21" t="str">
        <f aca="false">IF(Variants!$X5="","",Variants!$X5)</f>
        <v/>
      </c>
      <c r="O4" s="21" t="n">
        <f aca="false">IF(Variants!$O5="","",Variants!$O5)</f>
        <v>0</v>
      </c>
      <c r="P4" s="18" t="n">
        <f aca="false">IF(Variants!$J5="","",Variants!$J5)</f>
        <v>49.4</v>
      </c>
      <c r="Q4" s="21" t="str">
        <f aca="false">IF(Variants!$U5="","",Variants!$U5)</f>
        <v/>
      </c>
      <c r="R4" s="21" t="str">
        <f aca="false">IF(Variants!$Y5="","",Variants!$Y5)</f>
        <v/>
      </c>
      <c r="S4" s="21" t="n">
        <f aca="false">IFERROR(VLOOKUP(Variants!$B5,Designs!$A$3:$AP$165,37,FALSE()),"")</f>
        <v>0</v>
      </c>
      <c r="T4" s="21" t="str">
        <f aca="false">IFERROR(VLOOKUP(Variants!$B5,Designs!$A$3:$AP$165,38,FALSE()),"")</f>
        <v>No</v>
      </c>
      <c r="U4" s="21" t="str">
        <f aca="false">IF(Variants!$AD5="Active","active","draft")</f>
        <v>active</v>
      </c>
    </row>
    <row r="5" customFormat="false" ht="15.75" hidden="false" customHeight="true" outlineLevel="0" collapsed="false">
      <c r="A5" s="21" t="str">
        <f aca="false">IF(Variants!$B6="","",LOWER(Variants!$B6))</f>
        <v>dsgn-pend-alpha-ben</v>
      </c>
      <c r="B5" s="21" t="str">
        <f aca="false">IF(Variants!$B6="","",Variants!$C6&amp;IF(Variants!$F6="",""," "&amp;Variants!$F6))</f>
        <v>Bird Letter Pendant Բ</v>
      </c>
      <c r="C5" s="21" t="str">
        <f aca="false">IFERROR(IF(Variants!$B6="","","&lt;p&gt;"&amp;VLOOKUP(Variants!$B6,Designs!$A$3:$AP$165,9,FALSE())&amp;"&lt;/p&gt;"),"")</f>
        <v>&lt;p&gt;Bird letters are an ornamental medieval Armenian script where each letter is formed from stylised birds, used in illuminated manuscripts.&lt;/p&gt;</v>
      </c>
      <c r="D5" s="21" t="str">
        <f aca="false">IF(Variants!$B6="","","Karni Jewellery")</f>
        <v>Karni Jewellery</v>
      </c>
      <c r="E5" s="21" t="str">
        <f aca="false">IF(Variants!$B6="","","Apparel &amp; Accessories &gt; Jewelry")</f>
        <v>Apparel &amp; Accessories &gt; Jewelry</v>
      </c>
      <c r="F5" s="21" t="str">
        <f aca="false">IF(Variants!$D6="","",Variants!$D6)</f>
        <v>Pendant</v>
      </c>
      <c r="G5" s="21" t="str">
        <f aca="false">IF(Variants!$E6="","",Variants!$E6&amp;", Armenian jewellery, handmade")</f>
        <v>Alphabet, Armenian jewellery, handmade</v>
      </c>
      <c r="H5" s="21" t="str">
        <f aca="false">IF(Variants!$AD6="Active","TRUE","FALSE")</f>
        <v>TRUE</v>
      </c>
      <c r="I5" s="21" t="str">
        <f aca="false">IF(Variants!$H6="","","Color")</f>
        <v>Color</v>
      </c>
      <c r="J5" s="21" t="str">
        <f aca="false">IF(Variants!$H6="","",Variants!$H6)</f>
        <v>red</v>
      </c>
      <c r="K5" s="21" t="str">
        <f aca="false">IF(Variants!$G6="","","Size")</f>
        <v/>
      </c>
      <c r="L5" s="21" t="str">
        <f aca="false">IF(Variants!$G6="","",Variants!$G6)</f>
        <v/>
      </c>
      <c r="M5" s="21" t="str">
        <f aca="false">Variants!$A6</f>
        <v>KARNI-PEND-ALPHA-BEN-RED</v>
      </c>
      <c r="N5" s="21" t="str">
        <f aca="false">IF(Variants!$X6="","",Variants!$X6)</f>
        <v/>
      </c>
      <c r="O5" s="21" t="n">
        <f aca="false">IF(Variants!$O6="","",Variants!$O6)</f>
        <v>0</v>
      </c>
      <c r="P5" s="18" t="n">
        <f aca="false">IF(Variants!$J6="","",Variants!$J6)</f>
        <v>49.4</v>
      </c>
      <c r="Q5" s="21" t="str">
        <f aca="false">IF(Variants!$U6="","",Variants!$U6)</f>
        <v/>
      </c>
      <c r="R5" s="21" t="str">
        <f aca="false">IF(Variants!$Y6="","",Variants!$Y6)</f>
        <v/>
      </c>
      <c r="S5" s="21" t="n">
        <f aca="false">IFERROR(VLOOKUP(Variants!$B6,Designs!$A$3:$AP$165,37,FALSE()),"")</f>
        <v>0</v>
      </c>
      <c r="T5" s="21" t="str">
        <f aca="false">IFERROR(VLOOKUP(Variants!$B6,Designs!$A$3:$AP$165,38,FALSE()),"")</f>
        <v>No</v>
      </c>
      <c r="U5" s="21" t="str">
        <f aca="false">IF(Variants!$AD6="Active","active","draft")</f>
        <v>active</v>
      </c>
    </row>
    <row r="6" customFormat="false" ht="15.75" hidden="false" customHeight="true" outlineLevel="0" collapsed="false">
      <c r="A6" s="21" t="str">
        <f aca="false">IF(Variants!$B7="","",LOWER(Variants!$B7))</f>
        <v>dsgn-pend-alpha-ben</v>
      </c>
      <c r="B6" s="21" t="str">
        <f aca="false">IF(Variants!$B7="","",Variants!$C7&amp;IF(Variants!$F7="",""," "&amp;Variants!$F7))</f>
        <v>Bird Letter Pendant Բ</v>
      </c>
      <c r="C6" s="21" t="str">
        <f aca="false">IFERROR(IF(Variants!$B7="","","&lt;p&gt;"&amp;VLOOKUP(Variants!$B7,Designs!$A$3:$AP$165,9,FALSE())&amp;"&lt;/p&gt;"),"")</f>
        <v>&lt;p&gt;Bird letters are an ornamental medieval Armenian script where each letter is formed from stylised birds, used in illuminated manuscripts.&lt;/p&gt;</v>
      </c>
      <c r="D6" s="21" t="str">
        <f aca="false">IF(Variants!$B7="","","Karni Jewellery")</f>
        <v>Karni Jewellery</v>
      </c>
      <c r="E6" s="21" t="str">
        <f aca="false">IF(Variants!$B7="","","Apparel &amp; Accessories &gt; Jewelry")</f>
        <v>Apparel &amp; Accessories &gt; Jewelry</v>
      </c>
      <c r="F6" s="21" t="str">
        <f aca="false">IF(Variants!$D7="","",Variants!$D7)</f>
        <v>Pendant</v>
      </c>
      <c r="G6" s="21" t="str">
        <f aca="false">IF(Variants!$E7="","",Variants!$E7&amp;", Armenian jewellery, handmade")</f>
        <v>Alphabet, Armenian jewellery, handmade</v>
      </c>
      <c r="H6" s="21" t="str">
        <f aca="false">IF(Variants!$AD7="Active","TRUE","FALSE")</f>
        <v>TRUE</v>
      </c>
      <c r="I6" s="21" t="str">
        <f aca="false">IF(Variants!$H7="","","Color")</f>
        <v>Color</v>
      </c>
      <c r="J6" s="21" t="str">
        <f aca="false">IF(Variants!$H7="","",Variants!$H7)</f>
        <v>turquoise</v>
      </c>
      <c r="K6" s="21" t="str">
        <f aca="false">IF(Variants!$G7="","","Size")</f>
        <v/>
      </c>
      <c r="L6" s="21" t="str">
        <f aca="false">IF(Variants!$G7="","",Variants!$G7)</f>
        <v/>
      </c>
      <c r="M6" s="21" t="str">
        <f aca="false">Variants!$A7</f>
        <v>KARNI-PEND-ALPHA-BEN-TURQUOISE</v>
      </c>
      <c r="N6" s="21" t="str">
        <f aca="false">IF(Variants!$X7="","",Variants!$X7)</f>
        <v/>
      </c>
      <c r="O6" s="21" t="n">
        <f aca="false">IF(Variants!$O7="","",Variants!$O7)</f>
        <v>0</v>
      </c>
      <c r="P6" s="18" t="n">
        <f aca="false">IF(Variants!$J7="","",Variants!$J7)</f>
        <v>49.4</v>
      </c>
      <c r="Q6" s="21" t="str">
        <f aca="false">IF(Variants!$U7="","",Variants!$U7)</f>
        <v/>
      </c>
      <c r="R6" s="21" t="str">
        <f aca="false">IF(Variants!$Y7="","",Variants!$Y7)</f>
        <v/>
      </c>
      <c r="S6" s="21" t="n">
        <f aca="false">IFERROR(VLOOKUP(Variants!$B7,Designs!$A$3:$AP$165,37,FALSE()),"")</f>
        <v>0</v>
      </c>
      <c r="T6" s="21" t="str">
        <f aca="false">IFERROR(VLOOKUP(Variants!$B7,Designs!$A$3:$AP$165,38,FALSE()),"")</f>
        <v>No</v>
      </c>
      <c r="U6" s="21" t="str">
        <f aca="false">IF(Variants!$AD7="Active","active","draft")</f>
        <v>active</v>
      </c>
    </row>
    <row r="7" customFormat="false" ht="15.75" hidden="false" customHeight="true" outlineLevel="0" collapsed="false">
      <c r="A7" s="21" t="str">
        <f aca="false">IF(Variants!$B8="","",LOWER(Variants!$B8))</f>
        <v>dsgn-pend-alpha-ben</v>
      </c>
      <c r="B7" s="21" t="str">
        <f aca="false">IF(Variants!$B8="","",Variants!$C8&amp;IF(Variants!$F8="",""," "&amp;Variants!$F8))</f>
        <v>Bird Letter Pendant Բ</v>
      </c>
      <c r="C7" s="21" t="str">
        <f aca="false">IFERROR(IF(Variants!$B8="","","&lt;p&gt;"&amp;VLOOKUP(Variants!$B8,Designs!$A$3:$AP$165,9,FALSE())&amp;"&lt;/p&gt;"),"")</f>
        <v>&lt;p&gt;Bird letters are an ornamental medieval Armenian script where each letter is formed from stylised birds, used in illuminated manuscripts.&lt;/p&gt;</v>
      </c>
      <c r="D7" s="21" t="str">
        <f aca="false">IF(Variants!$B8="","","Karni Jewellery")</f>
        <v>Karni Jewellery</v>
      </c>
      <c r="E7" s="21" t="str">
        <f aca="false">IF(Variants!$B8="","","Apparel &amp; Accessories &gt; Jewelry")</f>
        <v>Apparel &amp; Accessories &gt; Jewelry</v>
      </c>
      <c r="F7" s="21" t="str">
        <f aca="false">IF(Variants!$D8="","",Variants!$D8)</f>
        <v>Pendant</v>
      </c>
      <c r="G7" s="21" t="str">
        <f aca="false">IF(Variants!$E8="","",Variants!$E8&amp;", Armenian jewellery, handmade")</f>
        <v>Alphabet, Armenian jewellery, handmade</v>
      </c>
      <c r="H7" s="21" t="str">
        <f aca="false">IF(Variants!$AD8="Active","TRUE","FALSE")</f>
        <v>TRUE</v>
      </c>
      <c r="I7" s="21" t="str">
        <f aca="false">IF(Variants!$H8="","","Color")</f>
        <v>Color</v>
      </c>
      <c r="J7" s="21" t="str">
        <f aca="false">IF(Variants!$H8="","",Variants!$H8)</f>
        <v>white</v>
      </c>
      <c r="K7" s="21" t="str">
        <f aca="false">IF(Variants!$G8="","","Size")</f>
        <v/>
      </c>
      <c r="L7" s="21" t="str">
        <f aca="false">IF(Variants!$G8="","",Variants!$G8)</f>
        <v/>
      </c>
      <c r="M7" s="21" t="str">
        <f aca="false">Variants!$A8</f>
        <v>KARNI-PEND-ALPHA-BEN-WHITE</v>
      </c>
      <c r="N7" s="21" t="str">
        <f aca="false">IF(Variants!$X8="","",Variants!$X8)</f>
        <v/>
      </c>
      <c r="O7" s="21" t="n">
        <f aca="false">IF(Variants!$O8="","",Variants!$O8)</f>
        <v>0</v>
      </c>
      <c r="P7" s="18" t="n">
        <f aca="false">IF(Variants!$J8="","",Variants!$J8)</f>
        <v>49.4</v>
      </c>
      <c r="Q7" s="21" t="str">
        <f aca="false">IF(Variants!$U8="","",Variants!$U8)</f>
        <v/>
      </c>
      <c r="R7" s="21" t="str">
        <f aca="false">IF(Variants!$Y8="","",Variants!$Y8)</f>
        <v/>
      </c>
      <c r="S7" s="21" t="n">
        <f aca="false">IFERROR(VLOOKUP(Variants!$B8,Designs!$A$3:$AP$165,37,FALSE()),"")</f>
        <v>0</v>
      </c>
      <c r="T7" s="21" t="str">
        <f aca="false">IFERROR(VLOOKUP(Variants!$B8,Designs!$A$3:$AP$165,38,FALSE()),"")</f>
        <v>No</v>
      </c>
      <c r="U7" s="21" t="str">
        <f aca="false">IF(Variants!$AD8="Active","active","draft")</f>
        <v>active</v>
      </c>
    </row>
    <row r="8" customFormat="false" ht="15.75" hidden="false" customHeight="true" outlineLevel="0" collapsed="false">
      <c r="A8" s="21" t="str">
        <f aca="false">IF(Variants!$B9="","",LOWER(Variants!$B9))</f>
        <v>dsgn-pend-alpha-gim</v>
      </c>
      <c r="B8" s="21" t="str">
        <f aca="false">IF(Variants!$B9="","",Variants!$C9&amp;IF(Variants!$F9="",""," "&amp;Variants!$F9))</f>
        <v>Bird Letter Pendant Գ</v>
      </c>
      <c r="C8" s="21" t="str">
        <f aca="false">IFERROR(IF(Variants!$B9="","","&lt;p&gt;"&amp;VLOOKUP(Variants!$B9,Designs!$A$3:$AP$165,9,FALSE())&amp;"&lt;/p&gt;"),"")</f>
        <v>&lt;p&gt;Bird letters are an ornamental medieval Armenian script where each letter is formed from stylised birds, used in illuminated manuscripts.&lt;/p&gt;</v>
      </c>
      <c r="D8" s="21" t="str">
        <f aca="false">IF(Variants!$B9="","","Karni Jewellery")</f>
        <v>Karni Jewellery</v>
      </c>
      <c r="E8" s="21" t="str">
        <f aca="false">IF(Variants!$B9="","","Apparel &amp; Accessories &gt; Jewelry")</f>
        <v>Apparel &amp; Accessories &gt; Jewelry</v>
      </c>
      <c r="F8" s="21" t="str">
        <f aca="false">IF(Variants!$D9="","",Variants!$D9)</f>
        <v>Pendant</v>
      </c>
      <c r="G8" s="21" t="str">
        <f aca="false">IF(Variants!$E9="","",Variants!$E9&amp;", Armenian jewellery, handmade")</f>
        <v>Alphabet, Armenian jewellery, handmade</v>
      </c>
      <c r="H8" s="21" t="str">
        <f aca="false">IF(Variants!$AD9="Active","TRUE","FALSE")</f>
        <v>TRUE</v>
      </c>
      <c r="I8" s="21" t="str">
        <f aca="false">IF(Variants!$H9="","","Color")</f>
        <v>Color</v>
      </c>
      <c r="J8" s="21" t="str">
        <f aca="false">IF(Variants!$H9="","",Variants!$H9)</f>
        <v>red</v>
      </c>
      <c r="K8" s="21" t="str">
        <f aca="false">IF(Variants!$G9="","","Size")</f>
        <v/>
      </c>
      <c r="L8" s="21" t="str">
        <f aca="false">IF(Variants!$G9="","",Variants!$G9)</f>
        <v/>
      </c>
      <c r="M8" s="21" t="str">
        <f aca="false">Variants!$A9</f>
        <v>KARNI-PEND-ALPHA-GIM-RED</v>
      </c>
      <c r="N8" s="21" t="str">
        <f aca="false">IF(Variants!$X9="","",Variants!$X9)</f>
        <v/>
      </c>
      <c r="O8" s="21" t="n">
        <f aca="false">IF(Variants!$O9="","",Variants!$O9)</f>
        <v>0</v>
      </c>
      <c r="P8" s="18" t="n">
        <f aca="false">IF(Variants!$J9="","",Variants!$J9)</f>
        <v>49.4</v>
      </c>
      <c r="Q8" s="21" t="str">
        <f aca="false">IF(Variants!$U9="","",Variants!$U9)</f>
        <v/>
      </c>
      <c r="R8" s="21" t="str">
        <f aca="false">IF(Variants!$Y9="","",Variants!$Y9)</f>
        <v/>
      </c>
      <c r="S8" s="21" t="n">
        <f aca="false">IFERROR(VLOOKUP(Variants!$B9,Designs!$A$3:$AP$165,37,FALSE()),"")</f>
        <v>0</v>
      </c>
      <c r="T8" s="21" t="str">
        <f aca="false">IFERROR(VLOOKUP(Variants!$B9,Designs!$A$3:$AP$165,38,FALSE()),"")</f>
        <v>No</v>
      </c>
      <c r="U8" s="21" t="str">
        <f aca="false">IF(Variants!$AD9="Active","active","draft")</f>
        <v>active</v>
      </c>
    </row>
    <row r="9" customFormat="false" ht="15.75" hidden="false" customHeight="true" outlineLevel="0" collapsed="false">
      <c r="A9" s="21" t="str">
        <f aca="false">IF(Variants!$B10="","",LOWER(Variants!$B10))</f>
        <v>dsgn-pend-alpha-gim</v>
      </c>
      <c r="B9" s="21" t="str">
        <f aca="false">IF(Variants!$B10="","",Variants!$C10&amp;IF(Variants!$F10="",""," "&amp;Variants!$F10))</f>
        <v>Bird Letter Pendant Գ</v>
      </c>
      <c r="C9" s="21" t="str">
        <f aca="false">IFERROR(IF(Variants!$B10="","","&lt;p&gt;"&amp;VLOOKUP(Variants!$B10,Designs!$A$3:$AP$165,9,FALSE())&amp;"&lt;/p&gt;"),"")</f>
        <v>&lt;p&gt;Bird letters are an ornamental medieval Armenian script where each letter is formed from stylised birds, used in illuminated manuscripts.&lt;/p&gt;</v>
      </c>
      <c r="D9" s="21" t="str">
        <f aca="false">IF(Variants!$B10="","","Karni Jewellery")</f>
        <v>Karni Jewellery</v>
      </c>
      <c r="E9" s="21" t="str">
        <f aca="false">IF(Variants!$B10="","","Apparel &amp; Accessories &gt; Jewelry")</f>
        <v>Apparel &amp; Accessories &gt; Jewelry</v>
      </c>
      <c r="F9" s="21" t="str">
        <f aca="false">IF(Variants!$D10="","",Variants!$D10)</f>
        <v>Pendant</v>
      </c>
      <c r="G9" s="21" t="str">
        <f aca="false">IF(Variants!$E10="","",Variants!$E10&amp;", Armenian jewellery, handmade")</f>
        <v>Alphabet, Armenian jewellery, handmade</v>
      </c>
      <c r="H9" s="21" t="str">
        <f aca="false">IF(Variants!$AD10="Active","TRUE","FALSE")</f>
        <v>TRUE</v>
      </c>
      <c r="I9" s="21" t="str">
        <f aca="false">IF(Variants!$H10="","","Color")</f>
        <v>Color</v>
      </c>
      <c r="J9" s="21" t="str">
        <f aca="false">IF(Variants!$H10="","",Variants!$H10)</f>
        <v>turquoise</v>
      </c>
      <c r="K9" s="21" t="str">
        <f aca="false">IF(Variants!$G10="","","Size")</f>
        <v/>
      </c>
      <c r="L9" s="21" t="str">
        <f aca="false">IF(Variants!$G10="","",Variants!$G10)</f>
        <v/>
      </c>
      <c r="M9" s="21" t="str">
        <f aca="false">Variants!$A10</f>
        <v>KARNI-PEND-ALPHA-GIM-TURQUOISE</v>
      </c>
      <c r="N9" s="21" t="str">
        <f aca="false">IF(Variants!$X10="","",Variants!$X10)</f>
        <v/>
      </c>
      <c r="O9" s="21" t="n">
        <f aca="false">IF(Variants!$O10="","",Variants!$O10)</f>
        <v>0</v>
      </c>
      <c r="P9" s="18" t="n">
        <f aca="false">IF(Variants!$J10="","",Variants!$J10)</f>
        <v>49.4</v>
      </c>
      <c r="Q9" s="21" t="str">
        <f aca="false">IF(Variants!$U10="","",Variants!$U10)</f>
        <v/>
      </c>
      <c r="R9" s="21" t="str">
        <f aca="false">IF(Variants!$Y10="","",Variants!$Y10)</f>
        <v/>
      </c>
      <c r="S9" s="21" t="n">
        <f aca="false">IFERROR(VLOOKUP(Variants!$B10,Designs!$A$3:$AP$165,37,FALSE()),"")</f>
        <v>0</v>
      </c>
      <c r="T9" s="21" t="str">
        <f aca="false">IFERROR(VLOOKUP(Variants!$B10,Designs!$A$3:$AP$165,38,FALSE()),"")</f>
        <v>No</v>
      </c>
      <c r="U9" s="21" t="str">
        <f aca="false">IF(Variants!$AD10="Active","active","draft")</f>
        <v>active</v>
      </c>
    </row>
    <row r="10" customFormat="false" ht="15.75" hidden="false" customHeight="true" outlineLevel="0" collapsed="false">
      <c r="A10" s="21" t="str">
        <f aca="false">IF(Variants!$B11="","",LOWER(Variants!$B11))</f>
        <v>dsgn-pend-alpha-gim</v>
      </c>
      <c r="B10" s="21" t="str">
        <f aca="false">IF(Variants!$B11="","",Variants!$C11&amp;IF(Variants!$F11="",""," "&amp;Variants!$F11))</f>
        <v>Bird Letter Pendant Գ</v>
      </c>
      <c r="C10" s="21" t="str">
        <f aca="false">IFERROR(IF(Variants!$B11="","","&lt;p&gt;"&amp;VLOOKUP(Variants!$B11,Designs!$A$3:$AP$165,9,FALSE())&amp;"&lt;/p&gt;"),"")</f>
        <v>&lt;p&gt;Bird letters are an ornamental medieval Armenian script where each letter is formed from stylised birds, used in illuminated manuscripts.&lt;/p&gt;</v>
      </c>
      <c r="D10" s="21" t="str">
        <f aca="false">IF(Variants!$B11="","","Karni Jewellery")</f>
        <v>Karni Jewellery</v>
      </c>
      <c r="E10" s="21" t="str">
        <f aca="false">IF(Variants!$B11="","","Apparel &amp; Accessories &gt; Jewelry")</f>
        <v>Apparel &amp; Accessories &gt; Jewelry</v>
      </c>
      <c r="F10" s="21" t="str">
        <f aca="false">IF(Variants!$D11="","",Variants!$D11)</f>
        <v>Pendant</v>
      </c>
      <c r="G10" s="21" t="str">
        <f aca="false">IF(Variants!$E11="","",Variants!$E11&amp;", Armenian jewellery, handmade")</f>
        <v>Alphabet, Armenian jewellery, handmade</v>
      </c>
      <c r="H10" s="21" t="str">
        <f aca="false">IF(Variants!$AD11="Active","TRUE","FALSE")</f>
        <v>TRUE</v>
      </c>
      <c r="I10" s="21" t="str">
        <f aca="false">IF(Variants!$H11="","","Color")</f>
        <v>Color</v>
      </c>
      <c r="J10" s="21" t="str">
        <f aca="false">IF(Variants!$H11="","",Variants!$H11)</f>
        <v>white</v>
      </c>
      <c r="K10" s="21" t="str">
        <f aca="false">IF(Variants!$G11="","","Size")</f>
        <v/>
      </c>
      <c r="L10" s="21" t="str">
        <f aca="false">IF(Variants!$G11="","",Variants!$G11)</f>
        <v/>
      </c>
      <c r="M10" s="21" t="str">
        <f aca="false">Variants!$A11</f>
        <v>KARNI-PEND-ALPHA-GIM-WHITE</v>
      </c>
      <c r="N10" s="21" t="str">
        <f aca="false">IF(Variants!$X11="","",Variants!$X11)</f>
        <v/>
      </c>
      <c r="O10" s="21" t="n">
        <f aca="false">IF(Variants!$O11="","",Variants!$O11)</f>
        <v>0</v>
      </c>
      <c r="P10" s="18" t="n">
        <f aca="false">IF(Variants!$J11="","",Variants!$J11)</f>
        <v>49.4</v>
      </c>
      <c r="Q10" s="21" t="str">
        <f aca="false">IF(Variants!$U11="","",Variants!$U11)</f>
        <v/>
      </c>
      <c r="R10" s="21" t="str">
        <f aca="false">IF(Variants!$Y11="","",Variants!$Y11)</f>
        <v/>
      </c>
      <c r="S10" s="21" t="n">
        <f aca="false">IFERROR(VLOOKUP(Variants!$B11,Designs!$A$3:$AP$165,37,FALSE()),"")</f>
        <v>0</v>
      </c>
      <c r="T10" s="21" t="str">
        <f aca="false">IFERROR(VLOOKUP(Variants!$B11,Designs!$A$3:$AP$165,38,FALSE()),"")</f>
        <v>No</v>
      </c>
      <c r="U10" s="21" t="str">
        <f aca="false">IF(Variants!$AD11="Active","active","draft")</f>
        <v>active</v>
      </c>
    </row>
    <row r="11" customFormat="false" ht="15.75" hidden="false" customHeight="true" outlineLevel="0" collapsed="false">
      <c r="A11" s="21" t="str">
        <f aca="false">IF(Variants!$B12="","",LOWER(Variants!$B12))</f>
        <v>dsgn-pend-alpha-da</v>
      </c>
      <c r="B11" s="21" t="str">
        <f aca="false">IF(Variants!$B12="","",Variants!$C12&amp;IF(Variants!$F12="",""," "&amp;Variants!$F12))</f>
        <v>Bird Letter Pendant Դ</v>
      </c>
      <c r="C11" s="21" t="str">
        <f aca="false">IFERROR(IF(Variants!$B12="","","&lt;p&gt;"&amp;VLOOKUP(Variants!$B12,Designs!$A$3:$AP$165,9,FALSE())&amp;"&lt;/p&gt;"),"")</f>
        <v>&lt;p&gt;Bird letters are an ornamental medieval Armenian script where each letter is formed from stylised birds, used in illuminated manuscripts.&lt;/p&gt;</v>
      </c>
      <c r="D11" s="21" t="str">
        <f aca="false">IF(Variants!$B12="","","Karni Jewellery")</f>
        <v>Karni Jewellery</v>
      </c>
      <c r="E11" s="21" t="str">
        <f aca="false">IF(Variants!$B12="","","Apparel &amp; Accessories &gt; Jewelry")</f>
        <v>Apparel &amp; Accessories &gt; Jewelry</v>
      </c>
      <c r="F11" s="21" t="str">
        <f aca="false">IF(Variants!$D12="","",Variants!$D12)</f>
        <v>Pendant</v>
      </c>
      <c r="G11" s="21" t="str">
        <f aca="false">IF(Variants!$E12="","",Variants!$E12&amp;", Armenian jewellery, handmade")</f>
        <v>Alphabet, Armenian jewellery, handmade</v>
      </c>
      <c r="H11" s="21" t="str">
        <f aca="false">IF(Variants!$AD12="Active","TRUE","FALSE")</f>
        <v>TRUE</v>
      </c>
      <c r="I11" s="21" t="str">
        <f aca="false">IF(Variants!$H12="","","Color")</f>
        <v>Color</v>
      </c>
      <c r="J11" s="21" t="str">
        <f aca="false">IF(Variants!$H12="","",Variants!$H12)</f>
        <v>red</v>
      </c>
      <c r="K11" s="21" t="str">
        <f aca="false">IF(Variants!$G12="","","Size")</f>
        <v/>
      </c>
      <c r="L11" s="21" t="str">
        <f aca="false">IF(Variants!$G12="","",Variants!$G12)</f>
        <v/>
      </c>
      <c r="M11" s="21" t="str">
        <f aca="false">Variants!$A12</f>
        <v>KARNI-PEND-ALPHA-DA-RED</v>
      </c>
      <c r="N11" s="21" t="str">
        <f aca="false">IF(Variants!$X12="","",Variants!$X12)</f>
        <v/>
      </c>
      <c r="O11" s="21" t="n">
        <f aca="false">IF(Variants!$O12="","",Variants!$O12)</f>
        <v>0</v>
      </c>
      <c r="P11" s="18" t="n">
        <f aca="false">IF(Variants!$J12="","",Variants!$J12)</f>
        <v>49.4</v>
      </c>
      <c r="Q11" s="21" t="str">
        <f aca="false">IF(Variants!$U12="","",Variants!$U12)</f>
        <v/>
      </c>
      <c r="R11" s="21" t="str">
        <f aca="false">IF(Variants!$Y12="","",Variants!$Y12)</f>
        <v/>
      </c>
      <c r="S11" s="21" t="n">
        <f aca="false">IFERROR(VLOOKUP(Variants!$B12,Designs!$A$3:$AP$165,37,FALSE()),"")</f>
        <v>0</v>
      </c>
      <c r="T11" s="21" t="str">
        <f aca="false">IFERROR(VLOOKUP(Variants!$B12,Designs!$A$3:$AP$165,38,FALSE()),"")</f>
        <v>No</v>
      </c>
      <c r="U11" s="21" t="str">
        <f aca="false">IF(Variants!$AD12="Active","active","draft")</f>
        <v>active</v>
      </c>
    </row>
    <row r="12" customFormat="false" ht="15.75" hidden="false" customHeight="true" outlineLevel="0" collapsed="false">
      <c r="A12" s="21" t="str">
        <f aca="false">IF(Variants!$B13="","",LOWER(Variants!$B13))</f>
        <v>dsgn-pend-alpha-da</v>
      </c>
      <c r="B12" s="21" t="str">
        <f aca="false">IF(Variants!$B13="","",Variants!$C13&amp;IF(Variants!$F13="",""," "&amp;Variants!$F13))</f>
        <v>Bird Letter Pendant Դ</v>
      </c>
      <c r="C12" s="21" t="str">
        <f aca="false">IFERROR(IF(Variants!$B13="","","&lt;p&gt;"&amp;VLOOKUP(Variants!$B13,Designs!$A$3:$AP$165,9,FALSE())&amp;"&lt;/p&gt;"),"")</f>
        <v>&lt;p&gt;Bird letters are an ornamental medieval Armenian script where each letter is formed from stylised birds, used in illuminated manuscripts.&lt;/p&gt;</v>
      </c>
      <c r="D12" s="21" t="str">
        <f aca="false">IF(Variants!$B13="","","Karni Jewellery")</f>
        <v>Karni Jewellery</v>
      </c>
      <c r="E12" s="21" t="str">
        <f aca="false">IF(Variants!$B13="","","Apparel &amp; Accessories &gt; Jewelry")</f>
        <v>Apparel &amp; Accessories &gt; Jewelry</v>
      </c>
      <c r="F12" s="21" t="str">
        <f aca="false">IF(Variants!$D13="","",Variants!$D13)</f>
        <v>Pendant</v>
      </c>
      <c r="G12" s="21" t="str">
        <f aca="false">IF(Variants!$E13="","",Variants!$E13&amp;", Armenian jewellery, handmade")</f>
        <v>Alphabet, Armenian jewellery, handmade</v>
      </c>
      <c r="H12" s="21" t="str">
        <f aca="false">IF(Variants!$AD13="Active","TRUE","FALSE")</f>
        <v>TRUE</v>
      </c>
      <c r="I12" s="21" t="str">
        <f aca="false">IF(Variants!$H13="","","Color")</f>
        <v>Color</v>
      </c>
      <c r="J12" s="21" t="str">
        <f aca="false">IF(Variants!$H13="","",Variants!$H13)</f>
        <v>turquoise</v>
      </c>
      <c r="K12" s="21" t="str">
        <f aca="false">IF(Variants!$G13="","","Size")</f>
        <v/>
      </c>
      <c r="L12" s="21" t="str">
        <f aca="false">IF(Variants!$G13="","",Variants!$G13)</f>
        <v/>
      </c>
      <c r="M12" s="21" t="str">
        <f aca="false">Variants!$A13</f>
        <v>KARNI-PEND-ALPHA-DA-TURQUOISE</v>
      </c>
      <c r="N12" s="21" t="str">
        <f aca="false">IF(Variants!$X13="","",Variants!$X13)</f>
        <v/>
      </c>
      <c r="O12" s="21" t="n">
        <f aca="false">IF(Variants!$O13="","",Variants!$O13)</f>
        <v>0</v>
      </c>
      <c r="P12" s="18" t="n">
        <f aca="false">IF(Variants!$J13="","",Variants!$J13)</f>
        <v>49.4</v>
      </c>
      <c r="Q12" s="21" t="str">
        <f aca="false">IF(Variants!$U13="","",Variants!$U13)</f>
        <v/>
      </c>
      <c r="R12" s="21" t="str">
        <f aca="false">IF(Variants!$Y13="","",Variants!$Y13)</f>
        <v/>
      </c>
      <c r="S12" s="21" t="n">
        <f aca="false">IFERROR(VLOOKUP(Variants!$B13,Designs!$A$3:$AP$165,37,FALSE()),"")</f>
        <v>0</v>
      </c>
      <c r="T12" s="21" t="str">
        <f aca="false">IFERROR(VLOOKUP(Variants!$B13,Designs!$A$3:$AP$165,38,FALSE()),"")</f>
        <v>No</v>
      </c>
      <c r="U12" s="21" t="str">
        <f aca="false">IF(Variants!$AD13="Active","active","draft")</f>
        <v>active</v>
      </c>
    </row>
    <row r="13" customFormat="false" ht="15.75" hidden="false" customHeight="true" outlineLevel="0" collapsed="false">
      <c r="A13" s="21" t="str">
        <f aca="false">IF(Variants!$B14="","",LOWER(Variants!$B14))</f>
        <v>dsgn-pend-alpha-da</v>
      </c>
      <c r="B13" s="21" t="str">
        <f aca="false">IF(Variants!$B14="","",Variants!$C14&amp;IF(Variants!$F14="",""," "&amp;Variants!$F14))</f>
        <v>Bird Letter Pendant Դ</v>
      </c>
      <c r="C13" s="21" t="str">
        <f aca="false">IFERROR(IF(Variants!$B14="","","&lt;p&gt;"&amp;VLOOKUP(Variants!$B14,Designs!$A$3:$AP$165,9,FALSE())&amp;"&lt;/p&gt;"),"")</f>
        <v>&lt;p&gt;Bird letters are an ornamental medieval Armenian script where each letter is formed from stylised birds, used in illuminated manuscripts.&lt;/p&gt;</v>
      </c>
      <c r="D13" s="21" t="str">
        <f aca="false">IF(Variants!$B14="","","Karni Jewellery")</f>
        <v>Karni Jewellery</v>
      </c>
      <c r="E13" s="21" t="str">
        <f aca="false">IF(Variants!$B14="","","Apparel &amp; Accessories &gt; Jewelry")</f>
        <v>Apparel &amp; Accessories &gt; Jewelry</v>
      </c>
      <c r="F13" s="21" t="str">
        <f aca="false">IF(Variants!$D14="","",Variants!$D14)</f>
        <v>Pendant</v>
      </c>
      <c r="G13" s="21" t="str">
        <f aca="false">IF(Variants!$E14="","",Variants!$E14&amp;", Armenian jewellery, handmade")</f>
        <v>Alphabet, Armenian jewellery, handmade</v>
      </c>
      <c r="H13" s="21" t="str">
        <f aca="false">IF(Variants!$AD14="Active","TRUE","FALSE")</f>
        <v>TRUE</v>
      </c>
      <c r="I13" s="21" t="str">
        <f aca="false">IF(Variants!$H14="","","Color")</f>
        <v>Color</v>
      </c>
      <c r="J13" s="21" t="str">
        <f aca="false">IF(Variants!$H14="","",Variants!$H14)</f>
        <v>white</v>
      </c>
      <c r="K13" s="21" t="str">
        <f aca="false">IF(Variants!$G14="","","Size")</f>
        <v/>
      </c>
      <c r="L13" s="21" t="str">
        <f aca="false">IF(Variants!$G14="","",Variants!$G14)</f>
        <v/>
      </c>
      <c r="M13" s="21" t="str">
        <f aca="false">Variants!$A14</f>
        <v>KARNI-PEND-ALPHA-DA-WHITE</v>
      </c>
      <c r="N13" s="21" t="str">
        <f aca="false">IF(Variants!$X14="","",Variants!$X14)</f>
        <v/>
      </c>
      <c r="O13" s="21" t="n">
        <f aca="false">IF(Variants!$O14="","",Variants!$O14)</f>
        <v>0</v>
      </c>
      <c r="P13" s="18" t="n">
        <f aca="false">IF(Variants!$J14="","",Variants!$J14)</f>
        <v>49.4</v>
      </c>
      <c r="Q13" s="21" t="str">
        <f aca="false">IF(Variants!$U14="","",Variants!$U14)</f>
        <v/>
      </c>
      <c r="R13" s="21" t="str">
        <f aca="false">IF(Variants!$Y14="","",Variants!$Y14)</f>
        <v/>
      </c>
      <c r="S13" s="21" t="n">
        <f aca="false">IFERROR(VLOOKUP(Variants!$B14,Designs!$A$3:$AP$165,37,FALSE()),"")</f>
        <v>0</v>
      </c>
      <c r="T13" s="21" t="str">
        <f aca="false">IFERROR(VLOOKUP(Variants!$B14,Designs!$A$3:$AP$165,38,FALSE()),"")</f>
        <v>No</v>
      </c>
      <c r="U13" s="21" t="str">
        <f aca="false">IF(Variants!$AD14="Active","active","draft")</f>
        <v>active</v>
      </c>
    </row>
    <row r="14" customFormat="false" ht="15.75" hidden="false" customHeight="true" outlineLevel="0" collapsed="false">
      <c r="A14" s="21" t="str">
        <f aca="false">IF(Variants!$B15="","",LOWER(Variants!$B15))</f>
        <v>dsgn-pend-alpha-yech</v>
      </c>
      <c r="B14" s="21" t="str">
        <f aca="false">IF(Variants!$B15="","",Variants!$C15&amp;IF(Variants!$F15="",""," "&amp;Variants!$F15))</f>
        <v>Bird Letter Pendant Ե</v>
      </c>
      <c r="C14" s="21" t="str">
        <f aca="false">IFERROR(IF(Variants!$B15="","","&lt;p&gt;"&amp;VLOOKUP(Variants!$B15,Designs!$A$3:$AP$165,9,FALSE())&amp;"&lt;/p&gt;"),"")</f>
        <v>&lt;p&gt;Bird letters are an ornamental medieval Armenian script where each letter is formed from stylised birds, used in illuminated manuscripts.&lt;/p&gt;</v>
      </c>
      <c r="D14" s="21" t="str">
        <f aca="false">IF(Variants!$B15="","","Karni Jewellery")</f>
        <v>Karni Jewellery</v>
      </c>
      <c r="E14" s="21" t="str">
        <f aca="false">IF(Variants!$B15="","","Apparel &amp; Accessories &gt; Jewelry")</f>
        <v>Apparel &amp; Accessories &gt; Jewelry</v>
      </c>
      <c r="F14" s="21" t="str">
        <f aca="false">IF(Variants!$D15="","",Variants!$D15)</f>
        <v>Pendant</v>
      </c>
      <c r="G14" s="21" t="str">
        <f aca="false">IF(Variants!$E15="","",Variants!$E15&amp;", Armenian jewellery, handmade")</f>
        <v>Alphabet, Armenian jewellery, handmade</v>
      </c>
      <c r="H14" s="21" t="str">
        <f aca="false">IF(Variants!$AD15="Active","TRUE","FALSE")</f>
        <v>TRUE</v>
      </c>
      <c r="I14" s="21" t="str">
        <f aca="false">IF(Variants!$H15="","","Color")</f>
        <v>Color</v>
      </c>
      <c r="J14" s="21" t="str">
        <f aca="false">IF(Variants!$H15="","",Variants!$H15)</f>
        <v>red</v>
      </c>
      <c r="K14" s="21" t="str">
        <f aca="false">IF(Variants!$G15="","","Size")</f>
        <v/>
      </c>
      <c r="L14" s="21" t="str">
        <f aca="false">IF(Variants!$G15="","",Variants!$G15)</f>
        <v/>
      </c>
      <c r="M14" s="21" t="str">
        <f aca="false">Variants!$A15</f>
        <v>KARNI-PEND-ALPHA-YECH-RED</v>
      </c>
      <c r="N14" s="21" t="str">
        <f aca="false">IF(Variants!$X15="","",Variants!$X15)</f>
        <v/>
      </c>
      <c r="O14" s="21" t="n">
        <f aca="false">IF(Variants!$O15="","",Variants!$O15)</f>
        <v>0</v>
      </c>
      <c r="P14" s="18" t="n">
        <f aca="false">IF(Variants!$J15="","",Variants!$J15)</f>
        <v>49.4</v>
      </c>
      <c r="Q14" s="21" t="str">
        <f aca="false">IF(Variants!$U15="","",Variants!$U15)</f>
        <v/>
      </c>
      <c r="R14" s="21" t="str">
        <f aca="false">IF(Variants!$Y15="","",Variants!$Y15)</f>
        <v/>
      </c>
      <c r="S14" s="21" t="n">
        <f aca="false">IFERROR(VLOOKUP(Variants!$B15,Designs!$A$3:$AP$165,37,FALSE()),"")</f>
        <v>0</v>
      </c>
      <c r="T14" s="21" t="str">
        <f aca="false">IFERROR(VLOOKUP(Variants!$B15,Designs!$A$3:$AP$165,38,FALSE()),"")</f>
        <v>No</v>
      </c>
      <c r="U14" s="21" t="str">
        <f aca="false">IF(Variants!$AD15="Active","active","draft")</f>
        <v>active</v>
      </c>
    </row>
    <row r="15" customFormat="false" ht="15.75" hidden="false" customHeight="true" outlineLevel="0" collapsed="false">
      <c r="A15" s="21" t="str">
        <f aca="false">IF(Variants!$B16="","",LOWER(Variants!$B16))</f>
        <v>dsgn-pend-alpha-yech</v>
      </c>
      <c r="B15" s="21" t="str">
        <f aca="false">IF(Variants!$B16="","",Variants!$C16&amp;IF(Variants!$F16="",""," "&amp;Variants!$F16))</f>
        <v>Bird Letter Pendant Ե</v>
      </c>
      <c r="C15" s="21" t="str">
        <f aca="false">IFERROR(IF(Variants!$B16="","","&lt;p&gt;"&amp;VLOOKUP(Variants!$B16,Designs!$A$3:$AP$165,9,FALSE())&amp;"&lt;/p&gt;"),"")</f>
        <v>&lt;p&gt;Bird letters are an ornamental medieval Armenian script where each letter is formed from stylised birds, used in illuminated manuscripts.&lt;/p&gt;</v>
      </c>
      <c r="D15" s="21" t="str">
        <f aca="false">IF(Variants!$B16="","","Karni Jewellery")</f>
        <v>Karni Jewellery</v>
      </c>
      <c r="E15" s="21" t="str">
        <f aca="false">IF(Variants!$B16="","","Apparel &amp; Accessories &gt; Jewelry")</f>
        <v>Apparel &amp; Accessories &gt; Jewelry</v>
      </c>
      <c r="F15" s="21" t="str">
        <f aca="false">IF(Variants!$D16="","",Variants!$D16)</f>
        <v>Pendant</v>
      </c>
      <c r="G15" s="21" t="str">
        <f aca="false">IF(Variants!$E16="","",Variants!$E16&amp;", Armenian jewellery, handmade")</f>
        <v>Alphabet, Armenian jewellery, handmade</v>
      </c>
      <c r="H15" s="21" t="str">
        <f aca="false">IF(Variants!$AD16="Active","TRUE","FALSE")</f>
        <v>TRUE</v>
      </c>
      <c r="I15" s="21" t="str">
        <f aca="false">IF(Variants!$H16="","","Color")</f>
        <v>Color</v>
      </c>
      <c r="J15" s="21" t="str">
        <f aca="false">IF(Variants!$H16="","",Variants!$H16)</f>
        <v>turquoise</v>
      </c>
      <c r="K15" s="21" t="str">
        <f aca="false">IF(Variants!$G16="","","Size")</f>
        <v/>
      </c>
      <c r="L15" s="21" t="str">
        <f aca="false">IF(Variants!$G16="","",Variants!$G16)</f>
        <v/>
      </c>
      <c r="M15" s="21" t="str">
        <f aca="false">Variants!$A16</f>
        <v>KARNI-PEND-ALPHA-YECH-TURQUOISE</v>
      </c>
      <c r="N15" s="21" t="str">
        <f aca="false">IF(Variants!$X16="","",Variants!$X16)</f>
        <v/>
      </c>
      <c r="O15" s="21" t="n">
        <f aca="false">IF(Variants!$O16="","",Variants!$O16)</f>
        <v>0</v>
      </c>
      <c r="P15" s="18" t="n">
        <f aca="false">IF(Variants!$J16="","",Variants!$J16)</f>
        <v>49.4</v>
      </c>
      <c r="Q15" s="21" t="str">
        <f aca="false">IF(Variants!$U16="","",Variants!$U16)</f>
        <v/>
      </c>
      <c r="R15" s="21" t="str">
        <f aca="false">IF(Variants!$Y16="","",Variants!$Y16)</f>
        <v/>
      </c>
      <c r="S15" s="21" t="n">
        <f aca="false">IFERROR(VLOOKUP(Variants!$B16,Designs!$A$3:$AP$165,37,FALSE()),"")</f>
        <v>0</v>
      </c>
      <c r="T15" s="21" t="str">
        <f aca="false">IFERROR(VLOOKUP(Variants!$B16,Designs!$A$3:$AP$165,38,FALSE()),"")</f>
        <v>No</v>
      </c>
      <c r="U15" s="21" t="str">
        <f aca="false">IF(Variants!$AD16="Active","active","draft")</f>
        <v>active</v>
      </c>
    </row>
    <row r="16" customFormat="false" ht="15.75" hidden="false" customHeight="true" outlineLevel="0" collapsed="false">
      <c r="A16" s="21" t="str">
        <f aca="false">IF(Variants!$B17="","",LOWER(Variants!$B17))</f>
        <v>dsgn-pend-alpha-yech</v>
      </c>
      <c r="B16" s="21" t="str">
        <f aca="false">IF(Variants!$B17="","",Variants!$C17&amp;IF(Variants!$F17="",""," "&amp;Variants!$F17))</f>
        <v>Bird Letter Pendant Ե</v>
      </c>
      <c r="C16" s="21" t="str">
        <f aca="false">IFERROR(IF(Variants!$B17="","","&lt;p&gt;"&amp;VLOOKUP(Variants!$B17,Designs!$A$3:$AP$165,9,FALSE())&amp;"&lt;/p&gt;"),"")</f>
        <v>&lt;p&gt;Bird letters are an ornamental medieval Armenian script where each letter is formed from stylised birds, used in illuminated manuscripts.&lt;/p&gt;</v>
      </c>
      <c r="D16" s="21" t="str">
        <f aca="false">IF(Variants!$B17="","","Karni Jewellery")</f>
        <v>Karni Jewellery</v>
      </c>
      <c r="E16" s="21" t="str">
        <f aca="false">IF(Variants!$B17="","","Apparel &amp; Accessories &gt; Jewelry")</f>
        <v>Apparel &amp; Accessories &gt; Jewelry</v>
      </c>
      <c r="F16" s="21" t="str">
        <f aca="false">IF(Variants!$D17="","",Variants!$D17)</f>
        <v>Pendant</v>
      </c>
      <c r="G16" s="21" t="str">
        <f aca="false">IF(Variants!$E17="","",Variants!$E17&amp;", Armenian jewellery, handmade")</f>
        <v>Alphabet, Armenian jewellery, handmade</v>
      </c>
      <c r="H16" s="21" t="str">
        <f aca="false">IF(Variants!$AD17="Active","TRUE","FALSE")</f>
        <v>TRUE</v>
      </c>
      <c r="I16" s="21" t="str">
        <f aca="false">IF(Variants!$H17="","","Color")</f>
        <v>Color</v>
      </c>
      <c r="J16" s="21" t="str">
        <f aca="false">IF(Variants!$H17="","",Variants!$H17)</f>
        <v>white</v>
      </c>
      <c r="K16" s="21" t="str">
        <f aca="false">IF(Variants!$G17="","","Size")</f>
        <v/>
      </c>
      <c r="L16" s="21" t="str">
        <f aca="false">IF(Variants!$G17="","",Variants!$G17)</f>
        <v/>
      </c>
      <c r="M16" s="21" t="str">
        <f aca="false">Variants!$A17</f>
        <v>KARNI-PEND-ALPHA-YECH-WHITE</v>
      </c>
      <c r="N16" s="21" t="str">
        <f aca="false">IF(Variants!$X17="","",Variants!$X17)</f>
        <v/>
      </c>
      <c r="O16" s="21" t="n">
        <f aca="false">IF(Variants!$O17="","",Variants!$O17)</f>
        <v>0</v>
      </c>
      <c r="P16" s="18" t="n">
        <f aca="false">IF(Variants!$J17="","",Variants!$J17)</f>
        <v>49.4</v>
      </c>
      <c r="Q16" s="21" t="str">
        <f aca="false">IF(Variants!$U17="","",Variants!$U17)</f>
        <v/>
      </c>
      <c r="R16" s="21" t="str">
        <f aca="false">IF(Variants!$Y17="","",Variants!$Y17)</f>
        <v/>
      </c>
      <c r="S16" s="21" t="n">
        <f aca="false">IFERROR(VLOOKUP(Variants!$B17,Designs!$A$3:$AP$165,37,FALSE()),"")</f>
        <v>0</v>
      </c>
      <c r="T16" s="21" t="str">
        <f aca="false">IFERROR(VLOOKUP(Variants!$B17,Designs!$A$3:$AP$165,38,FALSE()),"")</f>
        <v>No</v>
      </c>
      <c r="U16" s="21" t="str">
        <f aca="false">IF(Variants!$AD17="Active","active","draft")</f>
        <v>active</v>
      </c>
    </row>
    <row r="17" customFormat="false" ht="15.75" hidden="false" customHeight="true" outlineLevel="0" collapsed="false">
      <c r="A17" s="21" t="str">
        <f aca="false">IF(Variants!$B18="","",LOWER(Variants!$B18))</f>
        <v>dsgn-pend-alpha-za</v>
      </c>
      <c r="B17" s="21" t="str">
        <f aca="false">IF(Variants!$B18="","",Variants!$C18&amp;IF(Variants!$F18="",""," "&amp;Variants!$F18))</f>
        <v>Bird Letter Pendant Զ</v>
      </c>
      <c r="C17" s="21" t="str">
        <f aca="false">IFERROR(IF(Variants!$B18="","","&lt;p&gt;"&amp;VLOOKUP(Variants!$B18,Designs!$A$3:$AP$165,9,FALSE())&amp;"&lt;/p&gt;"),"")</f>
        <v>&lt;p&gt;Bird letters are an ornamental medieval Armenian script where each letter is formed from stylised birds, used in illuminated manuscripts.&lt;/p&gt;</v>
      </c>
      <c r="D17" s="21" t="str">
        <f aca="false">IF(Variants!$B18="","","Karni Jewellery")</f>
        <v>Karni Jewellery</v>
      </c>
      <c r="E17" s="21" t="str">
        <f aca="false">IF(Variants!$B18="","","Apparel &amp; Accessories &gt; Jewelry")</f>
        <v>Apparel &amp; Accessories &gt; Jewelry</v>
      </c>
      <c r="F17" s="21" t="str">
        <f aca="false">IF(Variants!$D18="","",Variants!$D18)</f>
        <v>Pendant</v>
      </c>
      <c r="G17" s="21" t="str">
        <f aca="false">IF(Variants!$E18="","",Variants!$E18&amp;", Armenian jewellery, handmade")</f>
        <v>Alphabet, Armenian jewellery, handmade</v>
      </c>
      <c r="H17" s="21" t="str">
        <f aca="false">IF(Variants!$AD18="Active","TRUE","FALSE")</f>
        <v>TRUE</v>
      </c>
      <c r="I17" s="21" t="str">
        <f aca="false">IF(Variants!$H18="","","Color")</f>
        <v>Color</v>
      </c>
      <c r="J17" s="21" t="str">
        <f aca="false">IF(Variants!$H18="","",Variants!$H18)</f>
        <v>red</v>
      </c>
      <c r="K17" s="21" t="str">
        <f aca="false">IF(Variants!$G18="","","Size")</f>
        <v/>
      </c>
      <c r="L17" s="21" t="str">
        <f aca="false">IF(Variants!$G18="","",Variants!$G18)</f>
        <v/>
      </c>
      <c r="M17" s="21" t="str">
        <f aca="false">Variants!$A18</f>
        <v>KARNI-PEND-ALPHA-ZA-RED</v>
      </c>
      <c r="N17" s="21" t="str">
        <f aca="false">IF(Variants!$X18="","",Variants!$X18)</f>
        <v/>
      </c>
      <c r="O17" s="21" t="n">
        <f aca="false">IF(Variants!$O18="","",Variants!$O18)</f>
        <v>0</v>
      </c>
      <c r="P17" s="18" t="n">
        <f aca="false">IF(Variants!$J18="","",Variants!$J18)</f>
        <v>49.4</v>
      </c>
      <c r="Q17" s="21" t="str">
        <f aca="false">IF(Variants!$U18="","",Variants!$U18)</f>
        <v/>
      </c>
      <c r="R17" s="21" t="str">
        <f aca="false">IF(Variants!$Y18="","",Variants!$Y18)</f>
        <v/>
      </c>
      <c r="S17" s="21" t="n">
        <f aca="false">IFERROR(VLOOKUP(Variants!$B18,Designs!$A$3:$AP$165,37,FALSE()),"")</f>
        <v>0</v>
      </c>
      <c r="T17" s="21" t="str">
        <f aca="false">IFERROR(VLOOKUP(Variants!$B18,Designs!$A$3:$AP$165,38,FALSE()),"")</f>
        <v>No</v>
      </c>
      <c r="U17" s="21" t="str">
        <f aca="false">IF(Variants!$AD18="Active","active","draft")</f>
        <v>active</v>
      </c>
    </row>
    <row r="18" customFormat="false" ht="15.75" hidden="false" customHeight="true" outlineLevel="0" collapsed="false">
      <c r="A18" s="21" t="str">
        <f aca="false">IF(Variants!$B19="","",LOWER(Variants!$B19))</f>
        <v>dsgn-pend-alpha-za</v>
      </c>
      <c r="B18" s="21" t="str">
        <f aca="false">IF(Variants!$B19="","",Variants!$C19&amp;IF(Variants!$F19="",""," "&amp;Variants!$F19))</f>
        <v>Bird Letter Pendant Զ</v>
      </c>
      <c r="C18" s="21" t="str">
        <f aca="false">IFERROR(IF(Variants!$B19="","","&lt;p&gt;"&amp;VLOOKUP(Variants!$B19,Designs!$A$3:$AP$165,9,FALSE())&amp;"&lt;/p&gt;"),"")</f>
        <v>&lt;p&gt;Bird letters are an ornamental medieval Armenian script where each letter is formed from stylised birds, used in illuminated manuscripts.&lt;/p&gt;</v>
      </c>
      <c r="D18" s="21" t="str">
        <f aca="false">IF(Variants!$B19="","","Karni Jewellery")</f>
        <v>Karni Jewellery</v>
      </c>
      <c r="E18" s="21" t="str">
        <f aca="false">IF(Variants!$B19="","","Apparel &amp; Accessories &gt; Jewelry")</f>
        <v>Apparel &amp; Accessories &gt; Jewelry</v>
      </c>
      <c r="F18" s="21" t="str">
        <f aca="false">IF(Variants!$D19="","",Variants!$D19)</f>
        <v>Pendant</v>
      </c>
      <c r="G18" s="21" t="str">
        <f aca="false">IF(Variants!$E19="","",Variants!$E19&amp;", Armenian jewellery, handmade")</f>
        <v>Alphabet, Armenian jewellery, handmade</v>
      </c>
      <c r="H18" s="21" t="str">
        <f aca="false">IF(Variants!$AD19="Active","TRUE","FALSE")</f>
        <v>TRUE</v>
      </c>
      <c r="I18" s="21" t="str">
        <f aca="false">IF(Variants!$H19="","","Color")</f>
        <v>Color</v>
      </c>
      <c r="J18" s="21" t="str">
        <f aca="false">IF(Variants!$H19="","",Variants!$H19)</f>
        <v>turquoise</v>
      </c>
      <c r="K18" s="21" t="str">
        <f aca="false">IF(Variants!$G19="","","Size")</f>
        <v/>
      </c>
      <c r="L18" s="21" t="str">
        <f aca="false">IF(Variants!$G19="","",Variants!$G19)</f>
        <v/>
      </c>
      <c r="M18" s="21" t="str">
        <f aca="false">Variants!$A19</f>
        <v>KARNI-PEND-ALPHA-ZA-TURQUOISE</v>
      </c>
      <c r="N18" s="21" t="str">
        <f aca="false">IF(Variants!$X19="","",Variants!$X19)</f>
        <v/>
      </c>
      <c r="O18" s="21" t="n">
        <f aca="false">IF(Variants!$O19="","",Variants!$O19)</f>
        <v>0</v>
      </c>
      <c r="P18" s="18" t="n">
        <f aca="false">IF(Variants!$J19="","",Variants!$J19)</f>
        <v>49.4</v>
      </c>
      <c r="Q18" s="21" t="str">
        <f aca="false">IF(Variants!$U19="","",Variants!$U19)</f>
        <v/>
      </c>
      <c r="R18" s="21" t="str">
        <f aca="false">IF(Variants!$Y19="","",Variants!$Y19)</f>
        <v/>
      </c>
      <c r="S18" s="21" t="n">
        <f aca="false">IFERROR(VLOOKUP(Variants!$B19,Designs!$A$3:$AP$165,37,FALSE()),"")</f>
        <v>0</v>
      </c>
      <c r="T18" s="21" t="str">
        <f aca="false">IFERROR(VLOOKUP(Variants!$B19,Designs!$A$3:$AP$165,38,FALSE()),"")</f>
        <v>No</v>
      </c>
      <c r="U18" s="21" t="str">
        <f aca="false">IF(Variants!$AD19="Active","active","draft")</f>
        <v>active</v>
      </c>
    </row>
    <row r="19" customFormat="false" ht="15.75" hidden="false" customHeight="true" outlineLevel="0" collapsed="false">
      <c r="A19" s="21" t="str">
        <f aca="false">IF(Variants!$B20="","",LOWER(Variants!$B20))</f>
        <v>dsgn-pend-alpha-za</v>
      </c>
      <c r="B19" s="21" t="str">
        <f aca="false">IF(Variants!$B20="","",Variants!$C20&amp;IF(Variants!$F20="",""," "&amp;Variants!$F20))</f>
        <v>Bird Letter Pendant Զ</v>
      </c>
      <c r="C19" s="21" t="str">
        <f aca="false">IFERROR(IF(Variants!$B20="","","&lt;p&gt;"&amp;VLOOKUP(Variants!$B20,Designs!$A$3:$AP$165,9,FALSE())&amp;"&lt;/p&gt;"),"")</f>
        <v>&lt;p&gt;Bird letters are an ornamental medieval Armenian script where each letter is formed from stylised birds, used in illuminated manuscripts.&lt;/p&gt;</v>
      </c>
      <c r="D19" s="21" t="str">
        <f aca="false">IF(Variants!$B20="","","Karni Jewellery")</f>
        <v>Karni Jewellery</v>
      </c>
      <c r="E19" s="21" t="str">
        <f aca="false">IF(Variants!$B20="","","Apparel &amp; Accessories &gt; Jewelry")</f>
        <v>Apparel &amp; Accessories &gt; Jewelry</v>
      </c>
      <c r="F19" s="21" t="str">
        <f aca="false">IF(Variants!$D20="","",Variants!$D20)</f>
        <v>Pendant</v>
      </c>
      <c r="G19" s="21" t="str">
        <f aca="false">IF(Variants!$E20="","",Variants!$E20&amp;", Armenian jewellery, handmade")</f>
        <v>Alphabet, Armenian jewellery, handmade</v>
      </c>
      <c r="H19" s="21" t="str">
        <f aca="false">IF(Variants!$AD20="Active","TRUE","FALSE")</f>
        <v>TRUE</v>
      </c>
      <c r="I19" s="21" t="str">
        <f aca="false">IF(Variants!$H20="","","Color")</f>
        <v>Color</v>
      </c>
      <c r="J19" s="21" t="str">
        <f aca="false">IF(Variants!$H20="","",Variants!$H20)</f>
        <v>white</v>
      </c>
      <c r="K19" s="21" t="str">
        <f aca="false">IF(Variants!$G20="","","Size")</f>
        <v/>
      </c>
      <c r="L19" s="21" t="str">
        <f aca="false">IF(Variants!$G20="","",Variants!$G20)</f>
        <v/>
      </c>
      <c r="M19" s="21" t="str">
        <f aca="false">Variants!$A20</f>
        <v>KARNI-PEND-ALPHA-ZA-WHITE</v>
      </c>
      <c r="N19" s="21" t="str">
        <f aca="false">IF(Variants!$X20="","",Variants!$X20)</f>
        <v/>
      </c>
      <c r="O19" s="21" t="n">
        <f aca="false">IF(Variants!$O20="","",Variants!$O20)</f>
        <v>0</v>
      </c>
      <c r="P19" s="18" t="n">
        <f aca="false">IF(Variants!$J20="","",Variants!$J20)</f>
        <v>49.4</v>
      </c>
      <c r="Q19" s="21" t="str">
        <f aca="false">IF(Variants!$U20="","",Variants!$U20)</f>
        <v/>
      </c>
      <c r="R19" s="21" t="str">
        <f aca="false">IF(Variants!$Y20="","",Variants!$Y20)</f>
        <v/>
      </c>
      <c r="S19" s="21" t="n">
        <f aca="false">IFERROR(VLOOKUP(Variants!$B20,Designs!$A$3:$AP$165,37,FALSE()),"")</f>
        <v>0</v>
      </c>
      <c r="T19" s="21" t="str">
        <f aca="false">IFERROR(VLOOKUP(Variants!$B20,Designs!$A$3:$AP$165,38,FALSE()),"")</f>
        <v>No</v>
      </c>
      <c r="U19" s="21" t="str">
        <f aca="false">IF(Variants!$AD20="Active","active","draft")</f>
        <v>active</v>
      </c>
    </row>
    <row r="20" customFormat="false" ht="15.75" hidden="false" customHeight="true" outlineLevel="0" collapsed="false">
      <c r="A20" s="21" t="str">
        <f aca="false">IF(Variants!$B21="","",LOWER(Variants!$B21))</f>
        <v>dsgn-pend-alpha-e</v>
      </c>
      <c r="B20" s="21" t="str">
        <f aca="false">IF(Variants!$B21="","",Variants!$C21&amp;IF(Variants!$F21="",""," "&amp;Variants!$F21))</f>
        <v>Bird Letter Pendant Է</v>
      </c>
      <c r="C20" s="21" t="str">
        <f aca="false">IFERROR(IF(Variants!$B21="","","&lt;p&gt;"&amp;VLOOKUP(Variants!$B21,Designs!$A$3:$AP$165,9,FALSE())&amp;"&lt;/p&gt;"),"")</f>
        <v>&lt;p&gt;Bird letters are an ornamental medieval Armenian script where each letter is formed from stylised birds, used in illuminated manuscripts.&lt;/p&gt;</v>
      </c>
      <c r="D20" s="21" t="str">
        <f aca="false">IF(Variants!$B21="","","Karni Jewellery")</f>
        <v>Karni Jewellery</v>
      </c>
      <c r="E20" s="21" t="str">
        <f aca="false">IF(Variants!$B21="","","Apparel &amp; Accessories &gt; Jewelry")</f>
        <v>Apparel &amp; Accessories &gt; Jewelry</v>
      </c>
      <c r="F20" s="21" t="str">
        <f aca="false">IF(Variants!$D21="","",Variants!$D21)</f>
        <v>Pendant</v>
      </c>
      <c r="G20" s="21" t="str">
        <f aca="false">IF(Variants!$E21="","",Variants!$E21&amp;", Armenian jewellery, handmade")</f>
        <v>Alphabet, Armenian jewellery, handmade</v>
      </c>
      <c r="H20" s="21" t="str">
        <f aca="false">IF(Variants!$AD21="Active","TRUE","FALSE")</f>
        <v>TRUE</v>
      </c>
      <c r="I20" s="21" t="str">
        <f aca="false">IF(Variants!$H21="","","Color")</f>
        <v>Color</v>
      </c>
      <c r="J20" s="21" t="str">
        <f aca="false">IF(Variants!$H21="","",Variants!$H21)</f>
        <v>red</v>
      </c>
      <c r="K20" s="21" t="str">
        <f aca="false">IF(Variants!$G21="","","Size")</f>
        <v/>
      </c>
      <c r="L20" s="21" t="str">
        <f aca="false">IF(Variants!$G21="","",Variants!$G21)</f>
        <v/>
      </c>
      <c r="M20" s="21" t="str">
        <f aca="false">Variants!$A21</f>
        <v>KARNI-PEND-ALPHA-E-RED</v>
      </c>
      <c r="N20" s="21" t="str">
        <f aca="false">IF(Variants!$X21="","",Variants!$X21)</f>
        <v/>
      </c>
      <c r="O20" s="21" t="n">
        <f aca="false">IF(Variants!$O21="","",Variants!$O21)</f>
        <v>0</v>
      </c>
      <c r="P20" s="18" t="n">
        <f aca="false">IF(Variants!$J21="","",Variants!$J21)</f>
        <v>49.4</v>
      </c>
      <c r="Q20" s="21" t="str">
        <f aca="false">IF(Variants!$U21="","",Variants!$U21)</f>
        <v/>
      </c>
      <c r="R20" s="21" t="str">
        <f aca="false">IF(Variants!$Y21="","",Variants!$Y21)</f>
        <v/>
      </c>
      <c r="S20" s="21" t="n">
        <f aca="false">IFERROR(VLOOKUP(Variants!$B21,Designs!$A$3:$AP$165,37,FALSE()),"")</f>
        <v>0</v>
      </c>
      <c r="T20" s="21" t="str">
        <f aca="false">IFERROR(VLOOKUP(Variants!$B21,Designs!$A$3:$AP$165,38,FALSE()),"")</f>
        <v>No</v>
      </c>
      <c r="U20" s="21" t="str">
        <f aca="false">IF(Variants!$AD21="Active","active","draft")</f>
        <v>active</v>
      </c>
    </row>
    <row r="21" customFormat="false" ht="15.75" hidden="false" customHeight="true" outlineLevel="0" collapsed="false">
      <c r="A21" s="21" t="str">
        <f aca="false">IF(Variants!$B22="","",LOWER(Variants!$B22))</f>
        <v>dsgn-pend-alpha-e</v>
      </c>
      <c r="B21" s="21" t="str">
        <f aca="false">IF(Variants!$B22="","",Variants!$C22&amp;IF(Variants!$F22="",""," "&amp;Variants!$F22))</f>
        <v>Bird Letter Pendant Է</v>
      </c>
      <c r="C21" s="21" t="str">
        <f aca="false">IFERROR(IF(Variants!$B22="","","&lt;p&gt;"&amp;VLOOKUP(Variants!$B22,Designs!$A$3:$AP$165,9,FALSE())&amp;"&lt;/p&gt;"),"")</f>
        <v>&lt;p&gt;Bird letters are an ornamental medieval Armenian script where each letter is formed from stylised birds, used in illuminated manuscripts.&lt;/p&gt;</v>
      </c>
      <c r="D21" s="21" t="str">
        <f aca="false">IF(Variants!$B22="","","Karni Jewellery")</f>
        <v>Karni Jewellery</v>
      </c>
      <c r="E21" s="21" t="str">
        <f aca="false">IF(Variants!$B22="","","Apparel &amp; Accessories &gt; Jewelry")</f>
        <v>Apparel &amp; Accessories &gt; Jewelry</v>
      </c>
      <c r="F21" s="21" t="str">
        <f aca="false">IF(Variants!$D22="","",Variants!$D22)</f>
        <v>Pendant</v>
      </c>
      <c r="G21" s="21" t="str">
        <f aca="false">IF(Variants!$E22="","",Variants!$E22&amp;", Armenian jewellery, handmade")</f>
        <v>Alphabet, Armenian jewellery, handmade</v>
      </c>
      <c r="H21" s="21" t="str">
        <f aca="false">IF(Variants!$AD22="Active","TRUE","FALSE")</f>
        <v>TRUE</v>
      </c>
      <c r="I21" s="21" t="str">
        <f aca="false">IF(Variants!$H22="","","Color")</f>
        <v>Color</v>
      </c>
      <c r="J21" s="21" t="str">
        <f aca="false">IF(Variants!$H22="","",Variants!$H22)</f>
        <v>turquoise</v>
      </c>
      <c r="K21" s="21" t="str">
        <f aca="false">IF(Variants!$G22="","","Size")</f>
        <v/>
      </c>
      <c r="L21" s="21" t="str">
        <f aca="false">IF(Variants!$G22="","",Variants!$G22)</f>
        <v/>
      </c>
      <c r="M21" s="21" t="str">
        <f aca="false">Variants!$A22</f>
        <v>KARNI-PEND-ALPHA-E-TURQUOISE</v>
      </c>
      <c r="N21" s="21" t="str">
        <f aca="false">IF(Variants!$X22="","",Variants!$X22)</f>
        <v/>
      </c>
      <c r="O21" s="21" t="n">
        <f aca="false">IF(Variants!$O22="","",Variants!$O22)</f>
        <v>0</v>
      </c>
      <c r="P21" s="18" t="n">
        <f aca="false">IF(Variants!$J22="","",Variants!$J22)</f>
        <v>49.4</v>
      </c>
      <c r="Q21" s="21" t="str">
        <f aca="false">IF(Variants!$U22="","",Variants!$U22)</f>
        <v/>
      </c>
      <c r="R21" s="21" t="str">
        <f aca="false">IF(Variants!$Y22="","",Variants!$Y22)</f>
        <v/>
      </c>
      <c r="S21" s="21" t="n">
        <f aca="false">IFERROR(VLOOKUP(Variants!$B22,Designs!$A$3:$AP$165,37,FALSE()),"")</f>
        <v>0</v>
      </c>
      <c r="T21" s="21" t="str">
        <f aca="false">IFERROR(VLOOKUP(Variants!$B22,Designs!$A$3:$AP$165,38,FALSE()),"")</f>
        <v>No</v>
      </c>
      <c r="U21" s="21" t="str">
        <f aca="false">IF(Variants!$AD22="Active","active","draft")</f>
        <v>active</v>
      </c>
    </row>
    <row r="22" customFormat="false" ht="15.75" hidden="false" customHeight="true" outlineLevel="0" collapsed="false">
      <c r="A22" s="21" t="str">
        <f aca="false">IF(Variants!$B23="","",LOWER(Variants!$B23))</f>
        <v>dsgn-pend-alpha-e</v>
      </c>
      <c r="B22" s="21" t="str">
        <f aca="false">IF(Variants!$B23="","",Variants!$C23&amp;IF(Variants!$F23="",""," "&amp;Variants!$F23))</f>
        <v>Bird Letter Pendant Է</v>
      </c>
      <c r="C22" s="21" t="str">
        <f aca="false">IFERROR(IF(Variants!$B23="","","&lt;p&gt;"&amp;VLOOKUP(Variants!$B23,Designs!$A$3:$AP$165,9,FALSE())&amp;"&lt;/p&gt;"),"")</f>
        <v>&lt;p&gt;Bird letters are an ornamental medieval Armenian script where each letter is formed from stylised birds, used in illuminated manuscripts.&lt;/p&gt;</v>
      </c>
      <c r="D22" s="21" t="str">
        <f aca="false">IF(Variants!$B23="","","Karni Jewellery")</f>
        <v>Karni Jewellery</v>
      </c>
      <c r="E22" s="21" t="str">
        <f aca="false">IF(Variants!$B23="","","Apparel &amp; Accessories &gt; Jewelry")</f>
        <v>Apparel &amp; Accessories &gt; Jewelry</v>
      </c>
      <c r="F22" s="21" t="str">
        <f aca="false">IF(Variants!$D23="","",Variants!$D23)</f>
        <v>Pendant</v>
      </c>
      <c r="G22" s="21" t="str">
        <f aca="false">IF(Variants!$E23="","",Variants!$E23&amp;", Armenian jewellery, handmade")</f>
        <v>Alphabet, Armenian jewellery, handmade</v>
      </c>
      <c r="H22" s="21" t="str">
        <f aca="false">IF(Variants!$AD23="Active","TRUE","FALSE")</f>
        <v>TRUE</v>
      </c>
      <c r="I22" s="21" t="str">
        <f aca="false">IF(Variants!$H23="","","Color")</f>
        <v>Color</v>
      </c>
      <c r="J22" s="21" t="str">
        <f aca="false">IF(Variants!$H23="","",Variants!$H23)</f>
        <v>white</v>
      </c>
      <c r="K22" s="21" t="str">
        <f aca="false">IF(Variants!$G23="","","Size")</f>
        <v/>
      </c>
      <c r="L22" s="21" t="str">
        <f aca="false">IF(Variants!$G23="","",Variants!$G23)</f>
        <v/>
      </c>
      <c r="M22" s="21" t="str">
        <f aca="false">Variants!$A23</f>
        <v>KARNI-PEND-ALPHA-E-WHITE</v>
      </c>
      <c r="N22" s="21" t="str">
        <f aca="false">IF(Variants!$X23="","",Variants!$X23)</f>
        <v/>
      </c>
      <c r="O22" s="21" t="n">
        <f aca="false">IF(Variants!$O23="","",Variants!$O23)</f>
        <v>0</v>
      </c>
      <c r="P22" s="18" t="n">
        <f aca="false">IF(Variants!$J23="","",Variants!$J23)</f>
        <v>49.4</v>
      </c>
      <c r="Q22" s="21" t="str">
        <f aca="false">IF(Variants!$U23="","",Variants!$U23)</f>
        <v/>
      </c>
      <c r="R22" s="21" t="str">
        <f aca="false">IF(Variants!$Y23="","",Variants!$Y23)</f>
        <v/>
      </c>
      <c r="S22" s="21" t="n">
        <f aca="false">IFERROR(VLOOKUP(Variants!$B23,Designs!$A$3:$AP$165,37,FALSE()),"")</f>
        <v>0</v>
      </c>
      <c r="T22" s="21" t="str">
        <f aca="false">IFERROR(VLOOKUP(Variants!$B23,Designs!$A$3:$AP$165,38,FALSE()),"")</f>
        <v>No</v>
      </c>
      <c r="U22" s="21" t="str">
        <f aca="false">IF(Variants!$AD23="Active","active","draft")</f>
        <v>active</v>
      </c>
    </row>
    <row r="23" customFormat="false" ht="15.75" hidden="false" customHeight="true" outlineLevel="0" collapsed="false">
      <c r="A23" s="21" t="str">
        <f aca="false">IF(Variants!$B24="","",LOWER(Variants!$B24))</f>
        <v>dsgn-pend-alpha-yt</v>
      </c>
      <c r="B23" s="21" t="str">
        <f aca="false">IF(Variants!$B24="","",Variants!$C24&amp;IF(Variants!$F24="",""," "&amp;Variants!$F24))</f>
        <v>Bird Letter Pendant Ը</v>
      </c>
      <c r="C23" s="21" t="str">
        <f aca="false">IFERROR(IF(Variants!$B24="","","&lt;p&gt;"&amp;VLOOKUP(Variants!$B24,Designs!$A$3:$AP$165,9,FALSE())&amp;"&lt;/p&gt;"),"")</f>
        <v>&lt;p&gt;Bird letters are an ornamental medieval Armenian script where each letter is formed from stylised birds, used in illuminated manuscripts.&lt;/p&gt;</v>
      </c>
      <c r="D23" s="21" t="str">
        <f aca="false">IF(Variants!$B24="","","Karni Jewellery")</f>
        <v>Karni Jewellery</v>
      </c>
      <c r="E23" s="21" t="str">
        <f aca="false">IF(Variants!$B24="","","Apparel &amp; Accessories &gt; Jewelry")</f>
        <v>Apparel &amp; Accessories &gt; Jewelry</v>
      </c>
      <c r="F23" s="21" t="str">
        <f aca="false">IF(Variants!$D24="","",Variants!$D24)</f>
        <v>Pendant</v>
      </c>
      <c r="G23" s="21" t="str">
        <f aca="false">IF(Variants!$E24="","",Variants!$E24&amp;", Armenian jewellery, handmade")</f>
        <v>Alphabet, Armenian jewellery, handmade</v>
      </c>
      <c r="H23" s="21" t="str">
        <f aca="false">IF(Variants!$AD24="Active","TRUE","FALSE")</f>
        <v>TRUE</v>
      </c>
      <c r="I23" s="21" t="str">
        <f aca="false">IF(Variants!$H24="","","Color")</f>
        <v>Color</v>
      </c>
      <c r="J23" s="21" t="str">
        <f aca="false">IF(Variants!$H24="","",Variants!$H24)</f>
        <v>red</v>
      </c>
      <c r="K23" s="21" t="str">
        <f aca="false">IF(Variants!$G24="","","Size")</f>
        <v/>
      </c>
      <c r="L23" s="21" t="str">
        <f aca="false">IF(Variants!$G24="","",Variants!$G24)</f>
        <v/>
      </c>
      <c r="M23" s="21" t="str">
        <f aca="false">Variants!$A24</f>
        <v>KARNI-PEND-ALPHA-YT-RED</v>
      </c>
      <c r="N23" s="21" t="str">
        <f aca="false">IF(Variants!$X24="","",Variants!$X24)</f>
        <v/>
      </c>
      <c r="O23" s="21" t="n">
        <f aca="false">IF(Variants!$O24="","",Variants!$O24)</f>
        <v>0</v>
      </c>
      <c r="P23" s="18" t="n">
        <f aca="false">IF(Variants!$J24="","",Variants!$J24)</f>
        <v>49.4</v>
      </c>
      <c r="Q23" s="21" t="str">
        <f aca="false">IF(Variants!$U24="","",Variants!$U24)</f>
        <v/>
      </c>
      <c r="R23" s="21" t="str">
        <f aca="false">IF(Variants!$Y24="","",Variants!$Y24)</f>
        <v/>
      </c>
      <c r="S23" s="21" t="n">
        <f aca="false">IFERROR(VLOOKUP(Variants!$B24,Designs!$A$3:$AP$165,37,FALSE()),"")</f>
        <v>0</v>
      </c>
      <c r="T23" s="21" t="str">
        <f aca="false">IFERROR(VLOOKUP(Variants!$B24,Designs!$A$3:$AP$165,38,FALSE()),"")</f>
        <v>No</v>
      </c>
      <c r="U23" s="21" t="str">
        <f aca="false">IF(Variants!$AD24="Active","active","draft")</f>
        <v>active</v>
      </c>
    </row>
    <row r="24" customFormat="false" ht="15.75" hidden="false" customHeight="true" outlineLevel="0" collapsed="false">
      <c r="A24" s="21" t="str">
        <f aca="false">IF(Variants!$B25="","",LOWER(Variants!$B25))</f>
        <v>dsgn-pend-alpha-yt</v>
      </c>
      <c r="B24" s="21" t="str">
        <f aca="false">IF(Variants!$B25="","",Variants!$C25&amp;IF(Variants!$F25="",""," "&amp;Variants!$F25))</f>
        <v>Bird Letter Pendant Ը</v>
      </c>
      <c r="C24" s="21" t="str">
        <f aca="false">IFERROR(IF(Variants!$B25="","","&lt;p&gt;"&amp;VLOOKUP(Variants!$B25,Designs!$A$3:$AP$165,9,FALSE())&amp;"&lt;/p&gt;"),"")</f>
        <v>&lt;p&gt;Bird letters are an ornamental medieval Armenian script where each letter is formed from stylised birds, used in illuminated manuscripts.&lt;/p&gt;</v>
      </c>
      <c r="D24" s="21" t="str">
        <f aca="false">IF(Variants!$B25="","","Karni Jewellery")</f>
        <v>Karni Jewellery</v>
      </c>
      <c r="E24" s="21" t="str">
        <f aca="false">IF(Variants!$B25="","","Apparel &amp; Accessories &gt; Jewelry")</f>
        <v>Apparel &amp; Accessories &gt; Jewelry</v>
      </c>
      <c r="F24" s="21" t="str">
        <f aca="false">IF(Variants!$D25="","",Variants!$D25)</f>
        <v>Pendant</v>
      </c>
      <c r="G24" s="21" t="str">
        <f aca="false">IF(Variants!$E25="","",Variants!$E25&amp;", Armenian jewellery, handmade")</f>
        <v>Alphabet, Armenian jewellery, handmade</v>
      </c>
      <c r="H24" s="21" t="str">
        <f aca="false">IF(Variants!$AD25="Active","TRUE","FALSE")</f>
        <v>TRUE</v>
      </c>
      <c r="I24" s="21" t="str">
        <f aca="false">IF(Variants!$H25="","","Color")</f>
        <v>Color</v>
      </c>
      <c r="J24" s="21" t="str">
        <f aca="false">IF(Variants!$H25="","",Variants!$H25)</f>
        <v>turquoise</v>
      </c>
      <c r="K24" s="21" t="str">
        <f aca="false">IF(Variants!$G25="","","Size")</f>
        <v/>
      </c>
      <c r="L24" s="21" t="str">
        <f aca="false">IF(Variants!$G25="","",Variants!$G25)</f>
        <v/>
      </c>
      <c r="M24" s="21" t="str">
        <f aca="false">Variants!$A25</f>
        <v>KARNI-PEND-ALPHA-YT-TURQUOISE</v>
      </c>
      <c r="N24" s="21" t="str">
        <f aca="false">IF(Variants!$X25="","",Variants!$X25)</f>
        <v/>
      </c>
      <c r="O24" s="21" t="n">
        <f aca="false">IF(Variants!$O25="","",Variants!$O25)</f>
        <v>0</v>
      </c>
      <c r="P24" s="18" t="n">
        <f aca="false">IF(Variants!$J25="","",Variants!$J25)</f>
        <v>49.4</v>
      </c>
      <c r="Q24" s="21" t="str">
        <f aca="false">IF(Variants!$U25="","",Variants!$U25)</f>
        <v/>
      </c>
      <c r="R24" s="21" t="str">
        <f aca="false">IF(Variants!$Y25="","",Variants!$Y25)</f>
        <v/>
      </c>
      <c r="S24" s="21" t="n">
        <f aca="false">IFERROR(VLOOKUP(Variants!$B25,Designs!$A$3:$AP$165,37,FALSE()),"")</f>
        <v>0</v>
      </c>
      <c r="T24" s="21" t="str">
        <f aca="false">IFERROR(VLOOKUP(Variants!$B25,Designs!$A$3:$AP$165,38,FALSE()),"")</f>
        <v>No</v>
      </c>
      <c r="U24" s="21" t="str">
        <f aca="false">IF(Variants!$AD25="Active","active","draft")</f>
        <v>active</v>
      </c>
    </row>
    <row r="25" customFormat="false" ht="15.75" hidden="false" customHeight="true" outlineLevel="0" collapsed="false">
      <c r="A25" s="21" t="str">
        <f aca="false">IF(Variants!$B26="","",LOWER(Variants!$B26))</f>
        <v>dsgn-pend-alpha-yt</v>
      </c>
      <c r="B25" s="21" t="str">
        <f aca="false">IF(Variants!$B26="","",Variants!$C26&amp;IF(Variants!$F26="",""," "&amp;Variants!$F26))</f>
        <v>Bird Letter Pendant Ը</v>
      </c>
      <c r="C25" s="21" t="str">
        <f aca="false">IFERROR(IF(Variants!$B26="","","&lt;p&gt;"&amp;VLOOKUP(Variants!$B26,Designs!$A$3:$AP$165,9,FALSE())&amp;"&lt;/p&gt;"),"")</f>
        <v>&lt;p&gt;Bird letters are an ornamental medieval Armenian script where each letter is formed from stylised birds, used in illuminated manuscripts.&lt;/p&gt;</v>
      </c>
      <c r="D25" s="21" t="str">
        <f aca="false">IF(Variants!$B26="","","Karni Jewellery")</f>
        <v>Karni Jewellery</v>
      </c>
      <c r="E25" s="21" t="str">
        <f aca="false">IF(Variants!$B26="","","Apparel &amp; Accessories &gt; Jewelry")</f>
        <v>Apparel &amp; Accessories &gt; Jewelry</v>
      </c>
      <c r="F25" s="21" t="str">
        <f aca="false">IF(Variants!$D26="","",Variants!$D26)</f>
        <v>Pendant</v>
      </c>
      <c r="G25" s="21" t="str">
        <f aca="false">IF(Variants!$E26="","",Variants!$E26&amp;", Armenian jewellery, handmade")</f>
        <v>Alphabet, Armenian jewellery, handmade</v>
      </c>
      <c r="H25" s="21" t="str">
        <f aca="false">IF(Variants!$AD26="Active","TRUE","FALSE")</f>
        <v>TRUE</v>
      </c>
      <c r="I25" s="21" t="str">
        <f aca="false">IF(Variants!$H26="","","Color")</f>
        <v>Color</v>
      </c>
      <c r="J25" s="21" t="str">
        <f aca="false">IF(Variants!$H26="","",Variants!$H26)</f>
        <v>white</v>
      </c>
      <c r="K25" s="21" t="str">
        <f aca="false">IF(Variants!$G26="","","Size")</f>
        <v/>
      </c>
      <c r="L25" s="21" t="str">
        <f aca="false">IF(Variants!$G26="","",Variants!$G26)</f>
        <v/>
      </c>
      <c r="M25" s="21" t="str">
        <f aca="false">Variants!$A26</f>
        <v>KARNI-PEND-ALPHA-YT-WHITE</v>
      </c>
      <c r="N25" s="21" t="str">
        <f aca="false">IF(Variants!$X26="","",Variants!$X26)</f>
        <v/>
      </c>
      <c r="O25" s="21" t="n">
        <f aca="false">IF(Variants!$O26="","",Variants!$O26)</f>
        <v>0</v>
      </c>
      <c r="P25" s="18" t="n">
        <f aca="false">IF(Variants!$J26="","",Variants!$J26)</f>
        <v>49.4</v>
      </c>
      <c r="Q25" s="21" t="str">
        <f aca="false">IF(Variants!$U26="","",Variants!$U26)</f>
        <v/>
      </c>
      <c r="R25" s="21" t="str">
        <f aca="false">IF(Variants!$Y26="","",Variants!$Y26)</f>
        <v/>
      </c>
      <c r="S25" s="21" t="n">
        <f aca="false">IFERROR(VLOOKUP(Variants!$B26,Designs!$A$3:$AP$165,37,FALSE()),"")</f>
        <v>0</v>
      </c>
      <c r="T25" s="21" t="str">
        <f aca="false">IFERROR(VLOOKUP(Variants!$B26,Designs!$A$3:$AP$165,38,FALSE()),"")</f>
        <v>No</v>
      </c>
      <c r="U25" s="21" t="str">
        <f aca="false">IF(Variants!$AD26="Active","active","draft")</f>
        <v>active</v>
      </c>
    </row>
    <row r="26" customFormat="false" ht="15.75" hidden="false" customHeight="true" outlineLevel="0" collapsed="false">
      <c r="A26" s="21" t="str">
        <f aca="false">IF(Variants!$B27="","",LOWER(Variants!$B27))</f>
        <v>dsgn-pend-alpha-to</v>
      </c>
      <c r="B26" s="21" t="str">
        <f aca="false">IF(Variants!$B27="","",Variants!$C27&amp;IF(Variants!$F27="",""," "&amp;Variants!$F27))</f>
        <v>Bird Letter Pendant Թ</v>
      </c>
      <c r="C26" s="21" t="str">
        <f aca="false">IFERROR(IF(Variants!$B27="","","&lt;p&gt;"&amp;VLOOKUP(Variants!$B27,Designs!$A$3:$AP$165,9,FALSE())&amp;"&lt;/p&gt;"),"")</f>
        <v>&lt;p&gt;Bird letters are an ornamental medieval Armenian script where each letter is formed from stylised birds, used in illuminated manuscripts.&lt;/p&gt;</v>
      </c>
      <c r="D26" s="21" t="str">
        <f aca="false">IF(Variants!$B27="","","Karni Jewellery")</f>
        <v>Karni Jewellery</v>
      </c>
      <c r="E26" s="21" t="str">
        <f aca="false">IF(Variants!$B27="","","Apparel &amp; Accessories &gt; Jewelry")</f>
        <v>Apparel &amp; Accessories &gt; Jewelry</v>
      </c>
      <c r="F26" s="21" t="str">
        <f aca="false">IF(Variants!$D27="","",Variants!$D27)</f>
        <v>Pendant</v>
      </c>
      <c r="G26" s="21" t="str">
        <f aca="false">IF(Variants!$E27="","",Variants!$E27&amp;", Armenian jewellery, handmade")</f>
        <v>Alphabet, Armenian jewellery, handmade</v>
      </c>
      <c r="H26" s="21" t="str">
        <f aca="false">IF(Variants!$AD27="Active","TRUE","FALSE")</f>
        <v>TRUE</v>
      </c>
      <c r="I26" s="21" t="str">
        <f aca="false">IF(Variants!$H27="","","Color")</f>
        <v>Color</v>
      </c>
      <c r="J26" s="21" t="str">
        <f aca="false">IF(Variants!$H27="","",Variants!$H27)</f>
        <v>red</v>
      </c>
      <c r="K26" s="21" t="str">
        <f aca="false">IF(Variants!$G27="","","Size")</f>
        <v/>
      </c>
      <c r="L26" s="21" t="str">
        <f aca="false">IF(Variants!$G27="","",Variants!$G27)</f>
        <v/>
      </c>
      <c r="M26" s="21" t="str">
        <f aca="false">Variants!$A27</f>
        <v>KARNI-PEND-ALPHA-TO-RED</v>
      </c>
      <c r="N26" s="21" t="str">
        <f aca="false">IF(Variants!$X27="","",Variants!$X27)</f>
        <v/>
      </c>
      <c r="O26" s="21" t="n">
        <f aca="false">IF(Variants!$O27="","",Variants!$O27)</f>
        <v>0</v>
      </c>
      <c r="P26" s="18" t="n">
        <f aca="false">IF(Variants!$J27="","",Variants!$J27)</f>
        <v>49.4</v>
      </c>
      <c r="Q26" s="21" t="str">
        <f aca="false">IF(Variants!$U27="","",Variants!$U27)</f>
        <v/>
      </c>
      <c r="R26" s="21" t="str">
        <f aca="false">IF(Variants!$Y27="","",Variants!$Y27)</f>
        <v/>
      </c>
      <c r="S26" s="21" t="n">
        <f aca="false">IFERROR(VLOOKUP(Variants!$B27,Designs!$A$3:$AP$165,37,FALSE()),"")</f>
        <v>0</v>
      </c>
      <c r="T26" s="21" t="str">
        <f aca="false">IFERROR(VLOOKUP(Variants!$B27,Designs!$A$3:$AP$165,38,FALSE()),"")</f>
        <v>No</v>
      </c>
      <c r="U26" s="21" t="str">
        <f aca="false">IF(Variants!$AD27="Active","active","draft")</f>
        <v>active</v>
      </c>
    </row>
    <row r="27" customFormat="false" ht="15.75" hidden="false" customHeight="true" outlineLevel="0" collapsed="false">
      <c r="A27" s="21" t="str">
        <f aca="false">IF(Variants!$B28="","",LOWER(Variants!$B28))</f>
        <v>dsgn-pend-alpha-to</v>
      </c>
      <c r="B27" s="21" t="str">
        <f aca="false">IF(Variants!$B28="","",Variants!$C28&amp;IF(Variants!$F28="",""," "&amp;Variants!$F28))</f>
        <v>Bird Letter Pendant Թ</v>
      </c>
      <c r="C27" s="21" t="str">
        <f aca="false">IFERROR(IF(Variants!$B28="","","&lt;p&gt;"&amp;VLOOKUP(Variants!$B28,Designs!$A$3:$AP$165,9,FALSE())&amp;"&lt;/p&gt;"),"")</f>
        <v>&lt;p&gt;Bird letters are an ornamental medieval Armenian script where each letter is formed from stylised birds, used in illuminated manuscripts.&lt;/p&gt;</v>
      </c>
      <c r="D27" s="21" t="str">
        <f aca="false">IF(Variants!$B28="","","Karni Jewellery")</f>
        <v>Karni Jewellery</v>
      </c>
      <c r="E27" s="21" t="str">
        <f aca="false">IF(Variants!$B28="","","Apparel &amp; Accessories &gt; Jewelry")</f>
        <v>Apparel &amp; Accessories &gt; Jewelry</v>
      </c>
      <c r="F27" s="21" t="str">
        <f aca="false">IF(Variants!$D28="","",Variants!$D28)</f>
        <v>Pendant</v>
      </c>
      <c r="G27" s="21" t="str">
        <f aca="false">IF(Variants!$E28="","",Variants!$E28&amp;", Armenian jewellery, handmade")</f>
        <v>Alphabet, Armenian jewellery, handmade</v>
      </c>
      <c r="H27" s="21" t="str">
        <f aca="false">IF(Variants!$AD28="Active","TRUE","FALSE")</f>
        <v>TRUE</v>
      </c>
      <c r="I27" s="21" t="str">
        <f aca="false">IF(Variants!$H28="","","Color")</f>
        <v>Color</v>
      </c>
      <c r="J27" s="21" t="str">
        <f aca="false">IF(Variants!$H28="","",Variants!$H28)</f>
        <v>turquoise</v>
      </c>
      <c r="K27" s="21" t="str">
        <f aca="false">IF(Variants!$G28="","","Size")</f>
        <v/>
      </c>
      <c r="L27" s="21" t="str">
        <f aca="false">IF(Variants!$G28="","",Variants!$G28)</f>
        <v/>
      </c>
      <c r="M27" s="21" t="str">
        <f aca="false">Variants!$A28</f>
        <v>KARNI-PEND-ALPHA-TO-TURQUOISE</v>
      </c>
      <c r="N27" s="21" t="str">
        <f aca="false">IF(Variants!$X28="","",Variants!$X28)</f>
        <v/>
      </c>
      <c r="O27" s="21" t="n">
        <f aca="false">IF(Variants!$O28="","",Variants!$O28)</f>
        <v>0</v>
      </c>
      <c r="P27" s="18" t="n">
        <f aca="false">IF(Variants!$J28="","",Variants!$J28)</f>
        <v>49.4</v>
      </c>
      <c r="Q27" s="21" t="str">
        <f aca="false">IF(Variants!$U28="","",Variants!$U28)</f>
        <v/>
      </c>
      <c r="R27" s="21" t="str">
        <f aca="false">IF(Variants!$Y28="","",Variants!$Y28)</f>
        <v/>
      </c>
      <c r="S27" s="21" t="n">
        <f aca="false">IFERROR(VLOOKUP(Variants!$B28,Designs!$A$3:$AP$165,37,FALSE()),"")</f>
        <v>0</v>
      </c>
      <c r="T27" s="21" t="str">
        <f aca="false">IFERROR(VLOOKUP(Variants!$B28,Designs!$A$3:$AP$165,38,FALSE()),"")</f>
        <v>No</v>
      </c>
      <c r="U27" s="21" t="str">
        <f aca="false">IF(Variants!$AD28="Active","active","draft")</f>
        <v>active</v>
      </c>
    </row>
    <row r="28" customFormat="false" ht="15.75" hidden="false" customHeight="true" outlineLevel="0" collapsed="false">
      <c r="A28" s="21" t="str">
        <f aca="false">IF(Variants!$B29="","",LOWER(Variants!$B29))</f>
        <v>dsgn-pend-alpha-to</v>
      </c>
      <c r="B28" s="21" t="str">
        <f aca="false">IF(Variants!$B29="","",Variants!$C29&amp;IF(Variants!$F29="",""," "&amp;Variants!$F29))</f>
        <v>Bird Letter Pendant Թ</v>
      </c>
      <c r="C28" s="21" t="str">
        <f aca="false">IFERROR(IF(Variants!$B29="","","&lt;p&gt;"&amp;VLOOKUP(Variants!$B29,Designs!$A$3:$AP$165,9,FALSE())&amp;"&lt;/p&gt;"),"")</f>
        <v>&lt;p&gt;Bird letters are an ornamental medieval Armenian script where each letter is formed from stylised birds, used in illuminated manuscripts.&lt;/p&gt;</v>
      </c>
      <c r="D28" s="21" t="str">
        <f aca="false">IF(Variants!$B29="","","Karni Jewellery")</f>
        <v>Karni Jewellery</v>
      </c>
      <c r="E28" s="21" t="str">
        <f aca="false">IF(Variants!$B29="","","Apparel &amp; Accessories &gt; Jewelry")</f>
        <v>Apparel &amp; Accessories &gt; Jewelry</v>
      </c>
      <c r="F28" s="21" t="str">
        <f aca="false">IF(Variants!$D29="","",Variants!$D29)</f>
        <v>Pendant</v>
      </c>
      <c r="G28" s="21" t="str">
        <f aca="false">IF(Variants!$E29="","",Variants!$E29&amp;", Armenian jewellery, handmade")</f>
        <v>Alphabet, Armenian jewellery, handmade</v>
      </c>
      <c r="H28" s="21" t="str">
        <f aca="false">IF(Variants!$AD29="Active","TRUE","FALSE")</f>
        <v>TRUE</v>
      </c>
      <c r="I28" s="21" t="str">
        <f aca="false">IF(Variants!$H29="","","Color")</f>
        <v>Color</v>
      </c>
      <c r="J28" s="21" t="str">
        <f aca="false">IF(Variants!$H29="","",Variants!$H29)</f>
        <v>white</v>
      </c>
      <c r="K28" s="21" t="str">
        <f aca="false">IF(Variants!$G29="","","Size")</f>
        <v/>
      </c>
      <c r="L28" s="21" t="str">
        <f aca="false">IF(Variants!$G29="","",Variants!$G29)</f>
        <v/>
      </c>
      <c r="M28" s="21" t="str">
        <f aca="false">Variants!$A29</f>
        <v>KARNI-PEND-ALPHA-TO-WHITE</v>
      </c>
      <c r="N28" s="21" t="str">
        <f aca="false">IF(Variants!$X29="","",Variants!$X29)</f>
        <v/>
      </c>
      <c r="O28" s="21" t="n">
        <f aca="false">IF(Variants!$O29="","",Variants!$O29)</f>
        <v>0</v>
      </c>
      <c r="P28" s="18" t="n">
        <f aca="false">IF(Variants!$J29="","",Variants!$J29)</f>
        <v>49.4</v>
      </c>
      <c r="Q28" s="21" t="str">
        <f aca="false">IF(Variants!$U29="","",Variants!$U29)</f>
        <v/>
      </c>
      <c r="R28" s="21" t="str">
        <f aca="false">IF(Variants!$Y29="","",Variants!$Y29)</f>
        <v/>
      </c>
      <c r="S28" s="21" t="n">
        <f aca="false">IFERROR(VLOOKUP(Variants!$B29,Designs!$A$3:$AP$165,37,FALSE()),"")</f>
        <v>0</v>
      </c>
      <c r="T28" s="21" t="str">
        <f aca="false">IFERROR(VLOOKUP(Variants!$B29,Designs!$A$3:$AP$165,38,FALSE()),"")</f>
        <v>No</v>
      </c>
      <c r="U28" s="21" t="str">
        <f aca="false">IF(Variants!$AD29="Active","active","draft")</f>
        <v>active</v>
      </c>
    </row>
    <row r="29" customFormat="false" ht="15.75" hidden="false" customHeight="true" outlineLevel="0" collapsed="false">
      <c r="A29" s="21" t="str">
        <f aca="false">IF(Variants!$B30="","",LOWER(Variants!$B30))</f>
        <v>dsgn-pend-alpha-zhe</v>
      </c>
      <c r="B29" s="21" t="str">
        <f aca="false">IF(Variants!$B30="","",Variants!$C30&amp;IF(Variants!$F30="",""," "&amp;Variants!$F30))</f>
        <v>Bird Letter Pendant Ժ</v>
      </c>
      <c r="C29" s="21" t="str">
        <f aca="false">IFERROR(IF(Variants!$B30="","","&lt;p&gt;"&amp;VLOOKUP(Variants!$B30,Designs!$A$3:$AP$165,9,FALSE())&amp;"&lt;/p&gt;"),"")</f>
        <v>&lt;p&gt;Bird letters are an ornamental medieval Armenian script where each letter is formed from stylised birds, used in illuminated manuscripts.&lt;/p&gt;</v>
      </c>
      <c r="D29" s="21" t="str">
        <f aca="false">IF(Variants!$B30="","","Karni Jewellery")</f>
        <v>Karni Jewellery</v>
      </c>
      <c r="E29" s="21" t="str">
        <f aca="false">IF(Variants!$B30="","","Apparel &amp; Accessories &gt; Jewelry")</f>
        <v>Apparel &amp; Accessories &gt; Jewelry</v>
      </c>
      <c r="F29" s="21" t="str">
        <f aca="false">IF(Variants!$D30="","",Variants!$D30)</f>
        <v>Pendant</v>
      </c>
      <c r="G29" s="21" t="str">
        <f aca="false">IF(Variants!$E30="","",Variants!$E30&amp;", Armenian jewellery, handmade")</f>
        <v>Alphabet, Armenian jewellery, handmade</v>
      </c>
      <c r="H29" s="21" t="str">
        <f aca="false">IF(Variants!$AD30="Active","TRUE","FALSE")</f>
        <v>TRUE</v>
      </c>
      <c r="I29" s="21" t="str">
        <f aca="false">IF(Variants!$H30="","","Color")</f>
        <v>Color</v>
      </c>
      <c r="J29" s="21" t="str">
        <f aca="false">IF(Variants!$H30="","",Variants!$H30)</f>
        <v>red</v>
      </c>
      <c r="K29" s="21" t="str">
        <f aca="false">IF(Variants!$G30="","","Size")</f>
        <v/>
      </c>
      <c r="L29" s="21" t="str">
        <f aca="false">IF(Variants!$G30="","",Variants!$G30)</f>
        <v/>
      </c>
      <c r="M29" s="21" t="str">
        <f aca="false">Variants!$A30</f>
        <v>KARNI-PEND-ALPHA-ZHE-RED</v>
      </c>
      <c r="N29" s="21" t="str">
        <f aca="false">IF(Variants!$X30="","",Variants!$X30)</f>
        <v/>
      </c>
      <c r="O29" s="21" t="n">
        <f aca="false">IF(Variants!$O30="","",Variants!$O30)</f>
        <v>0</v>
      </c>
      <c r="P29" s="18" t="n">
        <f aca="false">IF(Variants!$J30="","",Variants!$J30)</f>
        <v>49.4</v>
      </c>
      <c r="Q29" s="21" t="str">
        <f aca="false">IF(Variants!$U30="","",Variants!$U30)</f>
        <v/>
      </c>
      <c r="R29" s="21" t="str">
        <f aca="false">IF(Variants!$Y30="","",Variants!$Y30)</f>
        <v/>
      </c>
      <c r="S29" s="21" t="n">
        <f aca="false">IFERROR(VLOOKUP(Variants!$B30,Designs!$A$3:$AP$165,37,FALSE()),"")</f>
        <v>0</v>
      </c>
      <c r="T29" s="21" t="str">
        <f aca="false">IFERROR(VLOOKUP(Variants!$B30,Designs!$A$3:$AP$165,38,FALSE()),"")</f>
        <v>No</v>
      </c>
      <c r="U29" s="21" t="str">
        <f aca="false">IF(Variants!$AD30="Active","active","draft")</f>
        <v>active</v>
      </c>
    </row>
    <row r="30" customFormat="false" ht="15.75" hidden="false" customHeight="true" outlineLevel="0" collapsed="false">
      <c r="A30" s="21" t="str">
        <f aca="false">IF(Variants!$B31="","",LOWER(Variants!$B31))</f>
        <v>dsgn-pend-alpha-zhe</v>
      </c>
      <c r="B30" s="21" t="str">
        <f aca="false">IF(Variants!$B31="","",Variants!$C31&amp;IF(Variants!$F31="",""," "&amp;Variants!$F31))</f>
        <v>Bird Letter Pendant Ժ</v>
      </c>
      <c r="C30" s="21" t="str">
        <f aca="false">IFERROR(IF(Variants!$B31="","","&lt;p&gt;"&amp;VLOOKUP(Variants!$B31,Designs!$A$3:$AP$165,9,FALSE())&amp;"&lt;/p&gt;"),"")</f>
        <v>&lt;p&gt;Bird letters are an ornamental medieval Armenian script where each letter is formed from stylised birds, used in illuminated manuscripts.&lt;/p&gt;</v>
      </c>
      <c r="D30" s="21" t="str">
        <f aca="false">IF(Variants!$B31="","","Karni Jewellery")</f>
        <v>Karni Jewellery</v>
      </c>
      <c r="E30" s="21" t="str">
        <f aca="false">IF(Variants!$B31="","","Apparel &amp; Accessories &gt; Jewelry")</f>
        <v>Apparel &amp; Accessories &gt; Jewelry</v>
      </c>
      <c r="F30" s="21" t="str">
        <f aca="false">IF(Variants!$D31="","",Variants!$D31)</f>
        <v>Pendant</v>
      </c>
      <c r="G30" s="21" t="str">
        <f aca="false">IF(Variants!$E31="","",Variants!$E31&amp;", Armenian jewellery, handmade")</f>
        <v>Alphabet, Armenian jewellery, handmade</v>
      </c>
      <c r="H30" s="21" t="str">
        <f aca="false">IF(Variants!$AD31="Active","TRUE","FALSE")</f>
        <v>TRUE</v>
      </c>
      <c r="I30" s="21" t="str">
        <f aca="false">IF(Variants!$H31="","","Color")</f>
        <v>Color</v>
      </c>
      <c r="J30" s="21" t="str">
        <f aca="false">IF(Variants!$H31="","",Variants!$H31)</f>
        <v>turquoise</v>
      </c>
      <c r="K30" s="21" t="str">
        <f aca="false">IF(Variants!$G31="","","Size")</f>
        <v/>
      </c>
      <c r="L30" s="21" t="str">
        <f aca="false">IF(Variants!$G31="","",Variants!$G31)</f>
        <v/>
      </c>
      <c r="M30" s="21" t="str">
        <f aca="false">Variants!$A31</f>
        <v>KARNI-PEND-ALPHA-ZHE-TURQUOISE</v>
      </c>
      <c r="N30" s="21" t="str">
        <f aca="false">IF(Variants!$X31="","",Variants!$X31)</f>
        <v/>
      </c>
      <c r="O30" s="21" t="n">
        <f aca="false">IF(Variants!$O31="","",Variants!$O31)</f>
        <v>0</v>
      </c>
      <c r="P30" s="18" t="n">
        <f aca="false">IF(Variants!$J31="","",Variants!$J31)</f>
        <v>49.4</v>
      </c>
      <c r="Q30" s="21" t="str">
        <f aca="false">IF(Variants!$U31="","",Variants!$U31)</f>
        <v/>
      </c>
      <c r="R30" s="21" t="str">
        <f aca="false">IF(Variants!$Y31="","",Variants!$Y31)</f>
        <v/>
      </c>
      <c r="S30" s="21" t="n">
        <f aca="false">IFERROR(VLOOKUP(Variants!$B31,Designs!$A$3:$AP$165,37,FALSE()),"")</f>
        <v>0</v>
      </c>
      <c r="T30" s="21" t="str">
        <f aca="false">IFERROR(VLOOKUP(Variants!$B31,Designs!$A$3:$AP$165,38,FALSE()),"")</f>
        <v>No</v>
      </c>
      <c r="U30" s="21" t="str">
        <f aca="false">IF(Variants!$AD31="Active","active","draft")</f>
        <v>active</v>
      </c>
    </row>
    <row r="31" customFormat="false" ht="15.75" hidden="false" customHeight="true" outlineLevel="0" collapsed="false">
      <c r="A31" s="21" t="str">
        <f aca="false">IF(Variants!$B32="","",LOWER(Variants!$B32))</f>
        <v>dsgn-pend-alpha-zhe</v>
      </c>
      <c r="B31" s="21" t="str">
        <f aca="false">IF(Variants!$B32="","",Variants!$C32&amp;IF(Variants!$F32="",""," "&amp;Variants!$F32))</f>
        <v>Bird Letter Pendant Ժ</v>
      </c>
      <c r="C31" s="21" t="str">
        <f aca="false">IFERROR(IF(Variants!$B32="","","&lt;p&gt;"&amp;VLOOKUP(Variants!$B32,Designs!$A$3:$AP$165,9,FALSE())&amp;"&lt;/p&gt;"),"")</f>
        <v>&lt;p&gt;Bird letters are an ornamental medieval Armenian script where each letter is formed from stylised birds, used in illuminated manuscripts.&lt;/p&gt;</v>
      </c>
      <c r="D31" s="21" t="str">
        <f aca="false">IF(Variants!$B32="","","Karni Jewellery")</f>
        <v>Karni Jewellery</v>
      </c>
      <c r="E31" s="21" t="str">
        <f aca="false">IF(Variants!$B32="","","Apparel &amp; Accessories &gt; Jewelry")</f>
        <v>Apparel &amp; Accessories &gt; Jewelry</v>
      </c>
      <c r="F31" s="21" t="str">
        <f aca="false">IF(Variants!$D32="","",Variants!$D32)</f>
        <v>Pendant</v>
      </c>
      <c r="G31" s="21" t="str">
        <f aca="false">IF(Variants!$E32="","",Variants!$E32&amp;", Armenian jewellery, handmade")</f>
        <v>Alphabet, Armenian jewellery, handmade</v>
      </c>
      <c r="H31" s="21" t="str">
        <f aca="false">IF(Variants!$AD32="Active","TRUE","FALSE")</f>
        <v>TRUE</v>
      </c>
      <c r="I31" s="21" t="str">
        <f aca="false">IF(Variants!$H32="","","Color")</f>
        <v>Color</v>
      </c>
      <c r="J31" s="21" t="str">
        <f aca="false">IF(Variants!$H32="","",Variants!$H32)</f>
        <v>white</v>
      </c>
      <c r="K31" s="21" t="str">
        <f aca="false">IF(Variants!$G32="","","Size")</f>
        <v/>
      </c>
      <c r="L31" s="21" t="str">
        <f aca="false">IF(Variants!$G32="","",Variants!$G32)</f>
        <v/>
      </c>
      <c r="M31" s="21" t="str">
        <f aca="false">Variants!$A32</f>
        <v>KARNI-PEND-ALPHA-ZHE-WHITE</v>
      </c>
      <c r="N31" s="21" t="str">
        <f aca="false">IF(Variants!$X32="","",Variants!$X32)</f>
        <v/>
      </c>
      <c r="O31" s="21" t="n">
        <f aca="false">IF(Variants!$O32="","",Variants!$O32)</f>
        <v>0</v>
      </c>
      <c r="P31" s="18" t="n">
        <f aca="false">IF(Variants!$J32="","",Variants!$J32)</f>
        <v>49.4</v>
      </c>
      <c r="Q31" s="21" t="str">
        <f aca="false">IF(Variants!$U32="","",Variants!$U32)</f>
        <v/>
      </c>
      <c r="R31" s="21" t="str">
        <f aca="false">IF(Variants!$Y32="","",Variants!$Y32)</f>
        <v/>
      </c>
      <c r="S31" s="21" t="n">
        <f aca="false">IFERROR(VLOOKUP(Variants!$B32,Designs!$A$3:$AP$165,37,FALSE()),"")</f>
        <v>0</v>
      </c>
      <c r="T31" s="21" t="str">
        <f aca="false">IFERROR(VLOOKUP(Variants!$B32,Designs!$A$3:$AP$165,38,FALSE()),"")</f>
        <v>No</v>
      </c>
      <c r="U31" s="21" t="str">
        <f aca="false">IF(Variants!$AD32="Active","active","draft")</f>
        <v>active</v>
      </c>
    </row>
    <row r="32" customFormat="false" ht="15.75" hidden="false" customHeight="true" outlineLevel="0" collapsed="false">
      <c r="A32" s="21" t="str">
        <f aca="false">IF(Variants!$B33="","",LOWER(Variants!$B33))</f>
        <v>dsgn-pend-alpha-ini</v>
      </c>
      <c r="B32" s="21" t="str">
        <f aca="false">IF(Variants!$B33="","",Variants!$C33&amp;IF(Variants!$F33="",""," "&amp;Variants!$F33))</f>
        <v>Bird Letter Pendant Ի</v>
      </c>
      <c r="C32" s="21" t="str">
        <f aca="false">IFERROR(IF(Variants!$B33="","","&lt;p&gt;"&amp;VLOOKUP(Variants!$B33,Designs!$A$3:$AP$165,9,FALSE())&amp;"&lt;/p&gt;"),"")</f>
        <v>&lt;p&gt;Bird letters are an ornamental medieval Armenian script where each letter is formed from stylised birds, used in illuminated manuscripts.&lt;/p&gt;</v>
      </c>
      <c r="D32" s="21" t="str">
        <f aca="false">IF(Variants!$B33="","","Karni Jewellery")</f>
        <v>Karni Jewellery</v>
      </c>
      <c r="E32" s="21" t="str">
        <f aca="false">IF(Variants!$B33="","","Apparel &amp; Accessories &gt; Jewelry")</f>
        <v>Apparel &amp; Accessories &gt; Jewelry</v>
      </c>
      <c r="F32" s="21" t="str">
        <f aca="false">IF(Variants!$D33="","",Variants!$D33)</f>
        <v>Pendant</v>
      </c>
      <c r="G32" s="21" t="str">
        <f aca="false">IF(Variants!$E33="","",Variants!$E33&amp;", Armenian jewellery, handmade")</f>
        <v>Alphabet, Armenian jewellery, handmade</v>
      </c>
      <c r="H32" s="21" t="str">
        <f aca="false">IF(Variants!$AD33="Active","TRUE","FALSE")</f>
        <v>TRUE</v>
      </c>
      <c r="I32" s="21" t="str">
        <f aca="false">IF(Variants!$H33="","","Color")</f>
        <v>Color</v>
      </c>
      <c r="J32" s="21" t="str">
        <f aca="false">IF(Variants!$H33="","",Variants!$H33)</f>
        <v>red</v>
      </c>
      <c r="K32" s="21" t="str">
        <f aca="false">IF(Variants!$G33="","","Size")</f>
        <v/>
      </c>
      <c r="L32" s="21" t="str">
        <f aca="false">IF(Variants!$G33="","",Variants!$G33)</f>
        <v/>
      </c>
      <c r="M32" s="21" t="str">
        <f aca="false">Variants!$A33</f>
        <v>KARNI-PEND-ALPHA-INI-RED</v>
      </c>
      <c r="N32" s="21" t="str">
        <f aca="false">IF(Variants!$X33="","",Variants!$X33)</f>
        <v/>
      </c>
      <c r="O32" s="21" t="n">
        <f aca="false">IF(Variants!$O33="","",Variants!$O33)</f>
        <v>0</v>
      </c>
      <c r="P32" s="18" t="n">
        <f aca="false">IF(Variants!$J33="","",Variants!$J33)</f>
        <v>49.4</v>
      </c>
      <c r="Q32" s="21" t="str">
        <f aca="false">IF(Variants!$U33="","",Variants!$U33)</f>
        <v/>
      </c>
      <c r="R32" s="21" t="str">
        <f aca="false">IF(Variants!$Y33="","",Variants!$Y33)</f>
        <v/>
      </c>
      <c r="S32" s="21" t="n">
        <f aca="false">IFERROR(VLOOKUP(Variants!$B33,Designs!$A$3:$AP$165,37,FALSE()),"")</f>
        <v>0</v>
      </c>
      <c r="T32" s="21" t="str">
        <f aca="false">IFERROR(VLOOKUP(Variants!$B33,Designs!$A$3:$AP$165,38,FALSE()),"")</f>
        <v>No</v>
      </c>
      <c r="U32" s="21" t="str">
        <f aca="false">IF(Variants!$AD33="Active","active","draft")</f>
        <v>active</v>
      </c>
    </row>
    <row r="33" customFormat="false" ht="15.75" hidden="false" customHeight="true" outlineLevel="0" collapsed="false">
      <c r="A33" s="21" t="str">
        <f aca="false">IF(Variants!$B34="","",LOWER(Variants!$B34))</f>
        <v>dsgn-pend-alpha-ini</v>
      </c>
      <c r="B33" s="21" t="str">
        <f aca="false">IF(Variants!$B34="","",Variants!$C34&amp;IF(Variants!$F34="",""," "&amp;Variants!$F34))</f>
        <v>Bird Letter Pendant Ի</v>
      </c>
      <c r="C33" s="21" t="str">
        <f aca="false">IFERROR(IF(Variants!$B34="","","&lt;p&gt;"&amp;VLOOKUP(Variants!$B34,Designs!$A$3:$AP$165,9,FALSE())&amp;"&lt;/p&gt;"),"")</f>
        <v>&lt;p&gt;Bird letters are an ornamental medieval Armenian script where each letter is formed from stylised birds, used in illuminated manuscripts.&lt;/p&gt;</v>
      </c>
      <c r="D33" s="21" t="str">
        <f aca="false">IF(Variants!$B34="","","Karni Jewellery")</f>
        <v>Karni Jewellery</v>
      </c>
      <c r="E33" s="21" t="str">
        <f aca="false">IF(Variants!$B34="","","Apparel &amp; Accessories &gt; Jewelry")</f>
        <v>Apparel &amp; Accessories &gt; Jewelry</v>
      </c>
      <c r="F33" s="21" t="str">
        <f aca="false">IF(Variants!$D34="","",Variants!$D34)</f>
        <v>Pendant</v>
      </c>
      <c r="G33" s="21" t="str">
        <f aca="false">IF(Variants!$E34="","",Variants!$E34&amp;", Armenian jewellery, handmade")</f>
        <v>Alphabet, Armenian jewellery, handmade</v>
      </c>
      <c r="H33" s="21" t="str">
        <f aca="false">IF(Variants!$AD34="Active","TRUE","FALSE")</f>
        <v>TRUE</v>
      </c>
      <c r="I33" s="21" t="str">
        <f aca="false">IF(Variants!$H34="","","Color")</f>
        <v>Color</v>
      </c>
      <c r="J33" s="21" t="str">
        <f aca="false">IF(Variants!$H34="","",Variants!$H34)</f>
        <v>turquoise</v>
      </c>
      <c r="K33" s="21" t="str">
        <f aca="false">IF(Variants!$G34="","","Size")</f>
        <v/>
      </c>
      <c r="L33" s="21" t="str">
        <f aca="false">IF(Variants!$G34="","",Variants!$G34)</f>
        <v/>
      </c>
      <c r="M33" s="21" t="str">
        <f aca="false">Variants!$A34</f>
        <v>KARNI-PEND-ALPHA-INI-TURQUOISE</v>
      </c>
      <c r="N33" s="21" t="str">
        <f aca="false">IF(Variants!$X34="","",Variants!$X34)</f>
        <v/>
      </c>
      <c r="O33" s="21" t="n">
        <f aca="false">IF(Variants!$O34="","",Variants!$O34)</f>
        <v>0</v>
      </c>
      <c r="P33" s="18" t="n">
        <f aca="false">IF(Variants!$J34="","",Variants!$J34)</f>
        <v>49.4</v>
      </c>
      <c r="Q33" s="21" t="str">
        <f aca="false">IF(Variants!$U34="","",Variants!$U34)</f>
        <v/>
      </c>
      <c r="R33" s="21" t="str">
        <f aca="false">IF(Variants!$Y34="","",Variants!$Y34)</f>
        <v/>
      </c>
      <c r="S33" s="21" t="n">
        <f aca="false">IFERROR(VLOOKUP(Variants!$B34,Designs!$A$3:$AP$165,37,FALSE()),"")</f>
        <v>0</v>
      </c>
      <c r="T33" s="21" t="str">
        <f aca="false">IFERROR(VLOOKUP(Variants!$B34,Designs!$A$3:$AP$165,38,FALSE()),"")</f>
        <v>No</v>
      </c>
      <c r="U33" s="21" t="str">
        <f aca="false">IF(Variants!$AD34="Active","active","draft")</f>
        <v>active</v>
      </c>
    </row>
    <row r="34" customFormat="false" ht="15.75" hidden="false" customHeight="true" outlineLevel="0" collapsed="false">
      <c r="A34" s="21" t="str">
        <f aca="false">IF(Variants!$B35="","",LOWER(Variants!$B35))</f>
        <v>dsgn-pend-alpha-ini</v>
      </c>
      <c r="B34" s="21" t="str">
        <f aca="false">IF(Variants!$B35="","",Variants!$C35&amp;IF(Variants!$F35="",""," "&amp;Variants!$F35))</f>
        <v>Bird Letter Pendant Ի</v>
      </c>
      <c r="C34" s="21" t="str">
        <f aca="false">IFERROR(IF(Variants!$B35="","","&lt;p&gt;"&amp;VLOOKUP(Variants!$B35,Designs!$A$3:$AP$165,9,FALSE())&amp;"&lt;/p&gt;"),"")</f>
        <v>&lt;p&gt;Bird letters are an ornamental medieval Armenian script where each letter is formed from stylised birds, used in illuminated manuscripts.&lt;/p&gt;</v>
      </c>
      <c r="D34" s="21" t="str">
        <f aca="false">IF(Variants!$B35="","","Karni Jewellery")</f>
        <v>Karni Jewellery</v>
      </c>
      <c r="E34" s="21" t="str">
        <f aca="false">IF(Variants!$B35="","","Apparel &amp; Accessories &gt; Jewelry")</f>
        <v>Apparel &amp; Accessories &gt; Jewelry</v>
      </c>
      <c r="F34" s="21" t="str">
        <f aca="false">IF(Variants!$D35="","",Variants!$D35)</f>
        <v>Pendant</v>
      </c>
      <c r="G34" s="21" t="str">
        <f aca="false">IF(Variants!$E35="","",Variants!$E35&amp;", Armenian jewellery, handmade")</f>
        <v>Alphabet, Armenian jewellery, handmade</v>
      </c>
      <c r="H34" s="21" t="str">
        <f aca="false">IF(Variants!$AD35="Active","TRUE","FALSE")</f>
        <v>TRUE</v>
      </c>
      <c r="I34" s="21" t="str">
        <f aca="false">IF(Variants!$H35="","","Color")</f>
        <v>Color</v>
      </c>
      <c r="J34" s="21" t="str">
        <f aca="false">IF(Variants!$H35="","",Variants!$H35)</f>
        <v>white</v>
      </c>
      <c r="K34" s="21" t="str">
        <f aca="false">IF(Variants!$G35="","","Size")</f>
        <v/>
      </c>
      <c r="L34" s="21" t="str">
        <f aca="false">IF(Variants!$G35="","",Variants!$G35)</f>
        <v/>
      </c>
      <c r="M34" s="21" t="str">
        <f aca="false">Variants!$A35</f>
        <v>KARNI-PEND-ALPHA-INI-WHITE</v>
      </c>
      <c r="N34" s="21" t="str">
        <f aca="false">IF(Variants!$X35="","",Variants!$X35)</f>
        <v/>
      </c>
      <c r="O34" s="21" t="n">
        <f aca="false">IF(Variants!$O35="","",Variants!$O35)</f>
        <v>0</v>
      </c>
      <c r="P34" s="18" t="n">
        <f aca="false">IF(Variants!$J35="","",Variants!$J35)</f>
        <v>49.4</v>
      </c>
      <c r="Q34" s="21" t="str">
        <f aca="false">IF(Variants!$U35="","",Variants!$U35)</f>
        <v/>
      </c>
      <c r="R34" s="21" t="str">
        <f aca="false">IF(Variants!$Y35="","",Variants!$Y35)</f>
        <v/>
      </c>
      <c r="S34" s="21" t="n">
        <f aca="false">IFERROR(VLOOKUP(Variants!$B35,Designs!$A$3:$AP$165,37,FALSE()),"")</f>
        <v>0</v>
      </c>
      <c r="T34" s="21" t="str">
        <f aca="false">IFERROR(VLOOKUP(Variants!$B35,Designs!$A$3:$AP$165,38,FALSE()),"")</f>
        <v>No</v>
      </c>
      <c r="U34" s="21" t="str">
        <f aca="false">IF(Variants!$AD35="Active","active","draft")</f>
        <v>active</v>
      </c>
    </row>
    <row r="35" customFormat="false" ht="15.75" hidden="false" customHeight="true" outlineLevel="0" collapsed="false">
      <c r="A35" s="21" t="str">
        <f aca="false">IF(Variants!$B36="","",LOWER(Variants!$B36))</f>
        <v>dsgn-pend-alpha-lyun</v>
      </c>
      <c r="B35" s="21" t="str">
        <f aca="false">IF(Variants!$B36="","",Variants!$C36&amp;IF(Variants!$F36="",""," "&amp;Variants!$F36))</f>
        <v>Bird Letter Pendant Լ</v>
      </c>
      <c r="C35" s="21" t="str">
        <f aca="false">IFERROR(IF(Variants!$B36="","","&lt;p&gt;"&amp;VLOOKUP(Variants!$B36,Designs!$A$3:$AP$165,9,FALSE())&amp;"&lt;/p&gt;"),"")</f>
        <v>&lt;p&gt;Bird letters are an ornamental medieval Armenian script where each letter is formed from stylised birds, used in illuminated manuscripts.&lt;/p&gt;</v>
      </c>
      <c r="D35" s="21" t="str">
        <f aca="false">IF(Variants!$B36="","","Karni Jewellery")</f>
        <v>Karni Jewellery</v>
      </c>
      <c r="E35" s="21" t="str">
        <f aca="false">IF(Variants!$B36="","","Apparel &amp; Accessories &gt; Jewelry")</f>
        <v>Apparel &amp; Accessories &gt; Jewelry</v>
      </c>
      <c r="F35" s="21" t="str">
        <f aca="false">IF(Variants!$D36="","",Variants!$D36)</f>
        <v>Pendant</v>
      </c>
      <c r="G35" s="21" t="str">
        <f aca="false">IF(Variants!$E36="","",Variants!$E36&amp;", Armenian jewellery, handmade")</f>
        <v>Alphabet, Armenian jewellery, handmade</v>
      </c>
      <c r="H35" s="21" t="str">
        <f aca="false">IF(Variants!$AD36="Active","TRUE","FALSE")</f>
        <v>TRUE</v>
      </c>
      <c r="I35" s="21" t="str">
        <f aca="false">IF(Variants!$H36="","","Color")</f>
        <v>Color</v>
      </c>
      <c r="J35" s="21" t="str">
        <f aca="false">IF(Variants!$H36="","",Variants!$H36)</f>
        <v>red</v>
      </c>
      <c r="K35" s="21" t="str">
        <f aca="false">IF(Variants!$G36="","","Size")</f>
        <v/>
      </c>
      <c r="L35" s="21" t="str">
        <f aca="false">IF(Variants!$G36="","",Variants!$G36)</f>
        <v/>
      </c>
      <c r="M35" s="21" t="str">
        <f aca="false">Variants!$A36</f>
        <v>KARNI-PEND-ALPHA-LYUN-RED</v>
      </c>
      <c r="N35" s="21" t="str">
        <f aca="false">IF(Variants!$X36="","",Variants!$X36)</f>
        <v/>
      </c>
      <c r="O35" s="21" t="n">
        <f aca="false">IF(Variants!$O36="","",Variants!$O36)</f>
        <v>0</v>
      </c>
      <c r="P35" s="18" t="n">
        <f aca="false">IF(Variants!$J36="","",Variants!$J36)</f>
        <v>49.4</v>
      </c>
      <c r="Q35" s="21" t="str">
        <f aca="false">IF(Variants!$U36="","",Variants!$U36)</f>
        <v/>
      </c>
      <c r="R35" s="21" t="str">
        <f aca="false">IF(Variants!$Y36="","",Variants!$Y36)</f>
        <v/>
      </c>
      <c r="S35" s="21" t="n">
        <f aca="false">IFERROR(VLOOKUP(Variants!$B36,Designs!$A$3:$AP$165,37,FALSE()),"")</f>
        <v>0</v>
      </c>
      <c r="T35" s="21" t="str">
        <f aca="false">IFERROR(VLOOKUP(Variants!$B36,Designs!$A$3:$AP$165,38,FALSE()),"")</f>
        <v>No</v>
      </c>
      <c r="U35" s="21" t="str">
        <f aca="false">IF(Variants!$AD36="Active","active","draft")</f>
        <v>active</v>
      </c>
    </row>
    <row r="36" customFormat="false" ht="15.75" hidden="false" customHeight="true" outlineLevel="0" collapsed="false">
      <c r="A36" s="21" t="str">
        <f aca="false">IF(Variants!$B37="","",LOWER(Variants!$B37))</f>
        <v>dsgn-pend-alpha-lyun</v>
      </c>
      <c r="B36" s="21" t="str">
        <f aca="false">IF(Variants!$B37="","",Variants!$C37&amp;IF(Variants!$F37="",""," "&amp;Variants!$F37))</f>
        <v>Bird Letter Pendant Լ</v>
      </c>
      <c r="C36" s="21" t="str">
        <f aca="false">IFERROR(IF(Variants!$B37="","","&lt;p&gt;"&amp;VLOOKUP(Variants!$B37,Designs!$A$3:$AP$165,9,FALSE())&amp;"&lt;/p&gt;"),"")</f>
        <v>&lt;p&gt;Bird letters are an ornamental medieval Armenian script where each letter is formed from stylised birds, used in illuminated manuscripts.&lt;/p&gt;</v>
      </c>
      <c r="D36" s="21" t="str">
        <f aca="false">IF(Variants!$B37="","","Karni Jewellery")</f>
        <v>Karni Jewellery</v>
      </c>
      <c r="E36" s="21" t="str">
        <f aca="false">IF(Variants!$B37="","","Apparel &amp; Accessories &gt; Jewelry")</f>
        <v>Apparel &amp; Accessories &gt; Jewelry</v>
      </c>
      <c r="F36" s="21" t="str">
        <f aca="false">IF(Variants!$D37="","",Variants!$D37)</f>
        <v>Pendant</v>
      </c>
      <c r="G36" s="21" t="str">
        <f aca="false">IF(Variants!$E37="","",Variants!$E37&amp;", Armenian jewellery, handmade")</f>
        <v>Alphabet, Armenian jewellery, handmade</v>
      </c>
      <c r="H36" s="21" t="str">
        <f aca="false">IF(Variants!$AD37="Active","TRUE","FALSE")</f>
        <v>TRUE</v>
      </c>
      <c r="I36" s="21" t="str">
        <f aca="false">IF(Variants!$H37="","","Color")</f>
        <v>Color</v>
      </c>
      <c r="J36" s="21" t="str">
        <f aca="false">IF(Variants!$H37="","",Variants!$H37)</f>
        <v>turquoise</v>
      </c>
      <c r="K36" s="21" t="str">
        <f aca="false">IF(Variants!$G37="","","Size")</f>
        <v/>
      </c>
      <c r="L36" s="21" t="str">
        <f aca="false">IF(Variants!$G37="","",Variants!$G37)</f>
        <v/>
      </c>
      <c r="M36" s="21" t="str">
        <f aca="false">Variants!$A37</f>
        <v>KARNI-PEND-ALPHA-LYUN-TURQUOISE</v>
      </c>
      <c r="N36" s="21" t="str">
        <f aca="false">IF(Variants!$X37="","",Variants!$X37)</f>
        <v/>
      </c>
      <c r="O36" s="21" t="n">
        <f aca="false">IF(Variants!$O37="","",Variants!$O37)</f>
        <v>0</v>
      </c>
      <c r="P36" s="18" t="n">
        <f aca="false">IF(Variants!$J37="","",Variants!$J37)</f>
        <v>49.4</v>
      </c>
      <c r="Q36" s="21" t="str">
        <f aca="false">IF(Variants!$U37="","",Variants!$U37)</f>
        <v/>
      </c>
      <c r="R36" s="21" t="str">
        <f aca="false">IF(Variants!$Y37="","",Variants!$Y37)</f>
        <v/>
      </c>
      <c r="S36" s="21" t="n">
        <f aca="false">IFERROR(VLOOKUP(Variants!$B37,Designs!$A$3:$AP$165,37,FALSE()),"")</f>
        <v>0</v>
      </c>
      <c r="T36" s="21" t="str">
        <f aca="false">IFERROR(VLOOKUP(Variants!$B37,Designs!$A$3:$AP$165,38,FALSE()),"")</f>
        <v>No</v>
      </c>
      <c r="U36" s="21" t="str">
        <f aca="false">IF(Variants!$AD37="Active","active","draft")</f>
        <v>active</v>
      </c>
    </row>
    <row r="37" customFormat="false" ht="15.75" hidden="false" customHeight="true" outlineLevel="0" collapsed="false">
      <c r="A37" s="21" t="str">
        <f aca="false">IF(Variants!$B38="","",LOWER(Variants!$B38))</f>
        <v>dsgn-pend-alpha-lyun</v>
      </c>
      <c r="B37" s="21" t="str">
        <f aca="false">IF(Variants!$B38="","",Variants!$C38&amp;IF(Variants!$F38="",""," "&amp;Variants!$F38))</f>
        <v>Bird Letter Pendant Լ</v>
      </c>
      <c r="C37" s="21" t="str">
        <f aca="false">IFERROR(IF(Variants!$B38="","","&lt;p&gt;"&amp;VLOOKUP(Variants!$B38,Designs!$A$3:$AP$165,9,FALSE())&amp;"&lt;/p&gt;"),"")</f>
        <v>&lt;p&gt;Bird letters are an ornamental medieval Armenian script where each letter is formed from stylised birds, used in illuminated manuscripts.&lt;/p&gt;</v>
      </c>
      <c r="D37" s="21" t="str">
        <f aca="false">IF(Variants!$B38="","","Karni Jewellery")</f>
        <v>Karni Jewellery</v>
      </c>
      <c r="E37" s="21" t="str">
        <f aca="false">IF(Variants!$B38="","","Apparel &amp; Accessories &gt; Jewelry")</f>
        <v>Apparel &amp; Accessories &gt; Jewelry</v>
      </c>
      <c r="F37" s="21" t="str">
        <f aca="false">IF(Variants!$D38="","",Variants!$D38)</f>
        <v>Pendant</v>
      </c>
      <c r="G37" s="21" t="str">
        <f aca="false">IF(Variants!$E38="","",Variants!$E38&amp;", Armenian jewellery, handmade")</f>
        <v>Alphabet, Armenian jewellery, handmade</v>
      </c>
      <c r="H37" s="21" t="str">
        <f aca="false">IF(Variants!$AD38="Active","TRUE","FALSE")</f>
        <v>TRUE</v>
      </c>
      <c r="I37" s="21" t="str">
        <f aca="false">IF(Variants!$H38="","","Color")</f>
        <v>Color</v>
      </c>
      <c r="J37" s="21" t="str">
        <f aca="false">IF(Variants!$H38="","",Variants!$H38)</f>
        <v>white</v>
      </c>
      <c r="K37" s="21" t="str">
        <f aca="false">IF(Variants!$G38="","","Size")</f>
        <v/>
      </c>
      <c r="L37" s="21" t="str">
        <f aca="false">IF(Variants!$G38="","",Variants!$G38)</f>
        <v/>
      </c>
      <c r="M37" s="21" t="str">
        <f aca="false">Variants!$A38</f>
        <v>KARNI-PEND-ALPHA-LYUN-WHITE</v>
      </c>
      <c r="N37" s="21" t="str">
        <f aca="false">IF(Variants!$X38="","",Variants!$X38)</f>
        <v/>
      </c>
      <c r="O37" s="21" t="n">
        <f aca="false">IF(Variants!$O38="","",Variants!$O38)</f>
        <v>0</v>
      </c>
      <c r="P37" s="18" t="n">
        <f aca="false">IF(Variants!$J38="","",Variants!$J38)</f>
        <v>49.4</v>
      </c>
      <c r="Q37" s="21" t="str">
        <f aca="false">IF(Variants!$U38="","",Variants!$U38)</f>
        <v/>
      </c>
      <c r="R37" s="21" t="str">
        <f aca="false">IF(Variants!$Y38="","",Variants!$Y38)</f>
        <v/>
      </c>
      <c r="S37" s="21" t="n">
        <f aca="false">IFERROR(VLOOKUP(Variants!$B38,Designs!$A$3:$AP$165,37,FALSE()),"")</f>
        <v>0</v>
      </c>
      <c r="T37" s="21" t="str">
        <f aca="false">IFERROR(VLOOKUP(Variants!$B38,Designs!$A$3:$AP$165,38,FALSE()),"")</f>
        <v>No</v>
      </c>
      <c r="U37" s="21" t="str">
        <f aca="false">IF(Variants!$AD38="Active","active","draft")</f>
        <v>active</v>
      </c>
    </row>
    <row r="38" customFormat="false" ht="15.75" hidden="false" customHeight="true" outlineLevel="0" collapsed="false">
      <c r="A38" s="21" t="str">
        <f aca="false">IF(Variants!$B39="","",LOWER(Variants!$B39))</f>
        <v>dsgn-pend-alpha-khe</v>
      </c>
      <c r="B38" s="21" t="str">
        <f aca="false">IF(Variants!$B39="","",Variants!$C39&amp;IF(Variants!$F39="",""," "&amp;Variants!$F39))</f>
        <v>Bird Letter Pendant Խ</v>
      </c>
      <c r="C38" s="21" t="str">
        <f aca="false">IFERROR(IF(Variants!$B39="","","&lt;p&gt;"&amp;VLOOKUP(Variants!$B39,Designs!$A$3:$AP$165,9,FALSE())&amp;"&lt;/p&gt;"),"")</f>
        <v>&lt;p&gt;Bird letters are an ornamental medieval Armenian script where each letter is formed from stylised birds, used in illuminated manuscripts.&lt;/p&gt;</v>
      </c>
      <c r="D38" s="21" t="str">
        <f aca="false">IF(Variants!$B39="","","Karni Jewellery")</f>
        <v>Karni Jewellery</v>
      </c>
      <c r="E38" s="21" t="str">
        <f aca="false">IF(Variants!$B39="","","Apparel &amp; Accessories &gt; Jewelry")</f>
        <v>Apparel &amp; Accessories &gt; Jewelry</v>
      </c>
      <c r="F38" s="21" t="str">
        <f aca="false">IF(Variants!$D39="","",Variants!$D39)</f>
        <v>Pendant</v>
      </c>
      <c r="G38" s="21" t="str">
        <f aca="false">IF(Variants!$E39="","",Variants!$E39&amp;", Armenian jewellery, handmade")</f>
        <v>Alphabet, Armenian jewellery, handmade</v>
      </c>
      <c r="H38" s="21" t="str">
        <f aca="false">IF(Variants!$AD39="Active","TRUE","FALSE")</f>
        <v>TRUE</v>
      </c>
      <c r="I38" s="21" t="str">
        <f aca="false">IF(Variants!$H39="","","Color")</f>
        <v>Color</v>
      </c>
      <c r="J38" s="21" t="str">
        <f aca="false">IF(Variants!$H39="","",Variants!$H39)</f>
        <v>red</v>
      </c>
      <c r="K38" s="21" t="str">
        <f aca="false">IF(Variants!$G39="","","Size")</f>
        <v/>
      </c>
      <c r="L38" s="21" t="str">
        <f aca="false">IF(Variants!$G39="","",Variants!$G39)</f>
        <v/>
      </c>
      <c r="M38" s="21" t="str">
        <f aca="false">Variants!$A39</f>
        <v>KARNI-PEND-ALPHA-KHE-RED</v>
      </c>
      <c r="N38" s="21" t="str">
        <f aca="false">IF(Variants!$X39="","",Variants!$X39)</f>
        <v/>
      </c>
      <c r="O38" s="21" t="n">
        <f aca="false">IF(Variants!$O39="","",Variants!$O39)</f>
        <v>0</v>
      </c>
      <c r="P38" s="18" t="n">
        <f aca="false">IF(Variants!$J39="","",Variants!$J39)</f>
        <v>49.4</v>
      </c>
      <c r="Q38" s="21" t="str">
        <f aca="false">IF(Variants!$U39="","",Variants!$U39)</f>
        <v/>
      </c>
      <c r="R38" s="21" t="str">
        <f aca="false">IF(Variants!$Y39="","",Variants!$Y39)</f>
        <v/>
      </c>
      <c r="S38" s="21" t="n">
        <f aca="false">IFERROR(VLOOKUP(Variants!$B39,Designs!$A$3:$AP$165,37,FALSE()),"")</f>
        <v>0</v>
      </c>
      <c r="T38" s="21" t="str">
        <f aca="false">IFERROR(VLOOKUP(Variants!$B39,Designs!$A$3:$AP$165,38,FALSE()),"")</f>
        <v>No</v>
      </c>
      <c r="U38" s="21" t="str">
        <f aca="false">IF(Variants!$AD39="Active","active","draft")</f>
        <v>active</v>
      </c>
    </row>
    <row r="39" customFormat="false" ht="15.75" hidden="false" customHeight="true" outlineLevel="0" collapsed="false">
      <c r="A39" s="21" t="str">
        <f aca="false">IF(Variants!$B40="","",LOWER(Variants!$B40))</f>
        <v>dsgn-pend-alpha-khe</v>
      </c>
      <c r="B39" s="21" t="str">
        <f aca="false">IF(Variants!$B40="","",Variants!$C40&amp;IF(Variants!$F40="",""," "&amp;Variants!$F40))</f>
        <v>Bird Letter Pendant Խ</v>
      </c>
      <c r="C39" s="21" t="str">
        <f aca="false">IFERROR(IF(Variants!$B40="","","&lt;p&gt;"&amp;VLOOKUP(Variants!$B40,Designs!$A$3:$AP$165,9,FALSE())&amp;"&lt;/p&gt;"),"")</f>
        <v>&lt;p&gt;Bird letters are an ornamental medieval Armenian script where each letter is formed from stylised birds, used in illuminated manuscripts.&lt;/p&gt;</v>
      </c>
      <c r="D39" s="21" t="str">
        <f aca="false">IF(Variants!$B40="","","Karni Jewellery")</f>
        <v>Karni Jewellery</v>
      </c>
      <c r="E39" s="21" t="str">
        <f aca="false">IF(Variants!$B40="","","Apparel &amp; Accessories &gt; Jewelry")</f>
        <v>Apparel &amp; Accessories &gt; Jewelry</v>
      </c>
      <c r="F39" s="21" t="str">
        <f aca="false">IF(Variants!$D40="","",Variants!$D40)</f>
        <v>Pendant</v>
      </c>
      <c r="G39" s="21" t="str">
        <f aca="false">IF(Variants!$E40="","",Variants!$E40&amp;", Armenian jewellery, handmade")</f>
        <v>Alphabet, Armenian jewellery, handmade</v>
      </c>
      <c r="H39" s="21" t="str">
        <f aca="false">IF(Variants!$AD40="Active","TRUE","FALSE")</f>
        <v>TRUE</v>
      </c>
      <c r="I39" s="21" t="str">
        <f aca="false">IF(Variants!$H40="","","Color")</f>
        <v>Color</v>
      </c>
      <c r="J39" s="21" t="str">
        <f aca="false">IF(Variants!$H40="","",Variants!$H40)</f>
        <v>turquoise</v>
      </c>
      <c r="K39" s="21" t="str">
        <f aca="false">IF(Variants!$G40="","","Size")</f>
        <v/>
      </c>
      <c r="L39" s="21" t="str">
        <f aca="false">IF(Variants!$G40="","",Variants!$G40)</f>
        <v/>
      </c>
      <c r="M39" s="21" t="str">
        <f aca="false">Variants!$A40</f>
        <v>KARNI-PEND-ALPHA-KHE-TURQUOISE</v>
      </c>
      <c r="N39" s="21" t="str">
        <f aca="false">IF(Variants!$X40="","",Variants!$X40)</f>
        <v/>
      </c>
      <c r="O39" s="21" t="n">
        <f aca="false">IF(Variants!$O40="","",Variants!$O40)</f>
        <v>0</v>
      </c>
      <c r="P39" s="18" t="n">
        <f aca="false">IF(Variants!$J40="","",Variants!$J40)</f>
        <v>49.4</v>
      </c>
      <c r="Q39" s="21" t="str">
        <f aca="false">IF(Variants!$U40="","",Variants!$U40)</f>
        <v/>
      </c>
      <c r="R39" s="21" t="str">
        <f aca="false">IF(Variants!$Y40="","",Variants!$Y40)</f>
        <v/>
      </c>
      <c r="S39" s="21" t="n">
        <f aca="false">IFERROR(VLOOKUP(Variants!$B40,Designs!$A$3:$AP$165,37,FALSE()),"")</f>
        <v>0</v>
      </c>
      <c r="T39" s="21" t="str">
        <f aca="false">IFERROR(VLOOKUP(Variants!$B40,Designs!$A$3:$AP$165,38,FALSE()),"")</f>
        <v>No</v>
      </c>
      <c r="U39" s="21" t="str">
        <f aca="false">IF(Variants!$AD40="Active","active","draft")</f>
        <v>active</v>
      </c>
    </row>
    <row r="40" customFormat="false" ht="15.75" hidden="false" customHeight="true" outlineLevel="0" collapsed="false">
      <c r="A40" s="21" t="str">
        <f aca="false">IF(Variants!$B41="","",LOWER(Variants!$B41))</f>
        <v>dsgn-pend-alpha-khe</v>
      </c>
      <c r="B40" s="21" t="str">
        <f aca="false">IF(Variants!$B41="","",Variants!$C41&amp;IF(Variants!$F41="",""," "&amp;Variants!$F41))</f>
        <v>Bird Letter Pendant Խ</v>
      </c>
      <c r="C40" s="21" t="str">
        <f aca="false">IFERROR(IF(Variants!$B41="","","&lt;p&gt;"&amp;VLOOKUP(Variants!$B41,Designs!$A$3:$AP$165,9,FALSE())&amp;"&lt;/p&gt;"),"")</f>
        <v>&lt;p&gt;Bird letters are an ornamental medieval Armenian script where each letter is formed from stylised birds, used in illuminated manuscripts.&lt;/p&gt;</v>
      </c>
      <c r="D40" s="21" t="str">
        <f aca="false">IF(Variants!$B41="","","Karni Jewellery")</f>
        <v>Karni Jewellery</v>
      </c>
      <c r="E40" s="21" t="str">
        <f aca="false">IF(Variants!$B41="","","Apparel &amp; Accessories &gt; Jewelry")</f>
        <v>Apparel &amp; Accessories &gt; Jewelry</v>
      </c>
      <c r="F40" s="21" t="str">
        <f aca="false">IF(Variants!$D41="","",Variants!$D41)</f>
        <v>Pendant</v>
      </c>
      <c r="G40" s="21" t="str">
        <f aca="false">IF(Variants!$E41="","",Variants!$E41&amp;", Armenian jewellery, handmade")</f>
        <v>Alphabet, Armenian jewellery, handmade</v>
      </c>
      <c r="H40" s="21" t="str">
        <f aca="false">IF(Variants!$AD41="Active","TRUE","FALSE")</f>
        <v>TRUE</v>
      </c>
      <c r="I40" s="21" t="str">
        <f aca="false">IF(Variants!$H41="","","Color")</f>
        <v>Color</v>
      </c>
      <c r="J40" s="21" t="str">
        <f aca="false">IF(Variants!$H41="","",Variants!$H41)</f>
        <v>white</v>
      </c>
      <c r="K40" s="21" t="str">
        <f aca="false">IF(Variants!$G41="","","Size")</f>
        <v/>
      </c>
      <c r="L40" s="21" t="str">
        <f aca="false">IF(Variants!$G41="","",Variants!$G41)</f>
        <v/>
      </c>
      <c r="M40" s="21" t="str">
        <f aca="false">Variants!$A41</f>
        <v>KARNI-PEND-ALPHA-KHE-WHITE</v>
      </c>
      <c r="N40" s="21" t="str">
        <f aca="false">IF(Variants!$X41="","",Variants!$X41)</f>
        <v/>
      </c>
      <c r="O40" s="21" t="n">
        <f aca="false">IF(Variants!$O41="","",Variants!$O41)</f>
        <v>0</v>
      </c>
      <c r="P40" s="18" t="n">
        <f aca="false">IF(Variants!$J41="","",Variants!$J41)</f>
        <v>49.4</v>
      </c>
      <c r="Q40" s="21" t="str">
        <f aca="false">IF(Variants!$U41="","",Variants!$U41)</f>
        <v/>
      </c>
      <c r="R40" s="21" t="str">
        <f aca="false">IF(Variants!$Y41="","",Variants!$Y41)</f>
        <v/>
      </c>
      <c r="S40" s="21" t="n">
        <f aca="false">IFERROR(VLOOKUP(Variants!$B41,Designs!$A$3:$AP$165,37,FALSE()),"")</f>
        <v>0</v>
      </c>
      <c r="T40" s="21" t="str">
        <f aca="false">IFERROR(VLOOKUP(Variants!$B41,Designs!$A$3:$AP$165,38,FALSE()),"")</f>
        <v>No</v>
      </c>
      <c r="U40" s="21" t="str">
        <f aca="false">IF(Variants!$AD41="Active","active","draft")</f>
        <v>active</v>
      </c>
    </row>
    <row r="41" customFormat="false" ht="15.75" hidden="false" customHeight="true" outlineLevel="0" collapsed="false">
      <c r="A41" s="21" t="str">
        <f aca="false">IF(Variants!$B42="","",LOWER(Variants!$B42))</f>
        <v>dsgn-pend-alpha-tsa</v>
      </c>
      <c r="B41" s="21" t="str">
        <f aca="false">IF(Variants!$B42="","",Variants!$C42&amp;IF(Variants!$F42="",""," "&amp;Variants!$F42))</f>
        <v>Bird Letter Pendant Ծ</v>
      </c>
      <c r="C41" s="21" t="str">
        <f aca="false">IFERROR(IF(Variants!$B42="","","&lt;p&gt;"&amp;VLOOKUP(Variants!$B42,Designs!$A$3:$AP$165,9,FALSE())&amp;"&lt;/p&gt;"),"")</f>
        <v>&lt;p&gt;Bird letters are an ornamental medieval Armenian script where each letter is formed from stylised birds, used in illuminated manuscripts.&lt;/p&gt;</v>
      </c>
      <c r="D41" s="21" t="str">
        <f aca="false">IF(Variants!$B42="","","Karni Jewellery")</f>
        <v>Karni Jewellery</v>
      </c>
      <c r="E41" s="21" t="str">
        <f aca="false">IF(Variants!$B42="","","Apparel &amp; Accessories &gt; Jewelry")</f>
        <v>Apparel &amp; Accessories &gt; Jewelry</v>
      </c>
      <c r="F41" s="21" t="str">
        <f aca="false">IF(Variants!$D42="","",Variants!$D42)</f>
        <v>Pendant</v>
      </c>
      <c r="G41" s="21" t="str">
        <f aca="false">IF(Variants!$E42="","",Variants!$E42&amp;", Armenian jewellery, handmade")</f>
        <v>Alphabet, Armenian jewellery, handmade</v>
      </c>
      <c r="H41" s="21" t="str">
        <f aca="false">IF(Variants!$AD42="Active","TRUE","FALSE")</f>
        <v>TRUE</v>
      </c>
      <c r="I41" s="21" t="str">
        <f aca="false">IF(Variants!$H42="","","Color")</f>
        <v>Color</v>
      </c>
      <c r="J41" s="21" t="str">
        <f aca="false">IF(Variants!$H42="","",Variants!$H42)</f>
        <v>red</v>
      </c>
      <c r="K41" s="21" t="str">
        <f aca="false">IF(Variants!$G42="","","Size")</f>
        <v/>
      </c>
      <c r="L41" s="21" t="str">
        <f aca="false">IF(Variants!$G42="","",Variants!$G42)</f>
        <v/>
      </c>
      <c r="M41" s="21" t="str">
        <f aca="false">Variants!$A42</f>
        <v>KARNI-PEND-ALPHA-TSA-RED</v>
      </c>
      <c r="N41" s="21" t="str">
        <f aca="false">IF(Variants!$X42="","",Variants!$X42)</f>
        <v/>
      </c>
      <c r="O41" s="21" t="n">
        <f aca="false">IF(Variants!$O42="","",Variants!$O42)</f>
        <v>0</v>
      </c>
      <c r="P41" s="18" t="n">
        <f aca="false">IF(Variants!$J42="","",Variants!$J42)</f>
        <v>49.4</v>
      </c>
      <c r="Q41" s="21" t="str">
        <f aca="false">IF(Variants!$U42="","",Variants!$U42)</f>
        <v/>
      </c>
      <c r="R41" s="21" t="str">
        <f aca="false">IF(Variants!$Y42="","",Variants!$Y42)</f>
        <v/>
      </c>
      <c r="S41" s="21" t="n">
        <f aca="false">IFERROR(VLOOKUP(Variants!$B42,Designs!$A$3:$AP$165,37,FALSE()),"")</f>
        <v>0</v>
      </c>
      <c r="T41" s="21" t="str">
        <f aca="false">IFERROR(VLOOKUP(Variants!$B42,Designs!$A$3:$AP$165,38,FALSE()),"")</f>
        <v>No</v>
      </c>
      <c r="U41" s="21" t="str">
        <f aca="false">IF(Variants!$AD42="Active","active","draft")</f>
        <v>active</v>
      </c>
    </row>
    <row r="42" customFormat="false" ht="15.75" hidden="false" customHeight="true" outlineLevel="0" collapsed="false">
      <c r="A42" s="21" t="str">
        <f aca="false">IF(Variants!$B43="","",LOWER(Variants!$B43))</f>
        <v>dsgn-pend-alpha-tsa</v>
      </c>
      <c r="B42" s="21" t="str">
        <f aca="false">IF(Variants!$B43="","",Variants!$C43&amp;IF(Variants!$F43="",""," "&amp;Variants!$F43))</f>
        <v>Bird Letter Pendant Ծ</v>
      </c>
      <c r="C42" s="21" t="str">
        <f aca="false">IFERROR(IF(Variants!$B43="","","&lt;p&gt;"&amp;VLOOKUP(Variants!$B43,Designs!$A$3:$AP$165,9,FALSE())&amp;"&lt;/p&gt;"),"")</f>
        <v>&lt;p&gt;Bird letters are an ornamental medieval Armenian script where each letter is formed from stylised birds, used in illuminated manuscripts.&lt;/p&gt;</v>
      </c>
      <c r="D42" s="21" t="str">
        <f aca="false">IF(Variants!$B43="","","Karni Jewellery")</f>
        <v>Karni Jewellery</v>
      </c>
      <c r="E42" s="21" t="str">
        <f aca="false">IF(Variants!$B43="","","Apparel &amp; Accessories &gt; Jewelry")</f>
        <v>Apparel &amp; Accessories &gt; Jewelry</v>
      </c>
      <c r="F42" s="21" t="str">
        <f aca="false">IF(Variants!$D43="","",Variants!$D43)</f>
        <v>Pendant</v>
      </c>
      <c r="G42" s="21" t="str">
        <f aca="false">IF(Variants!$E43="","",Variants!$E43&amp;", Armenian jewellery, handmade")</f>
        <v>Alphabet, Armenian jewellery, handmade</v>
      </c>
      <c r="H42" s="21" t="str">
        <f aca="false">IF(Variants!$AD43="Active","TRUE","FALSE")</f>
        <v>TRUE</v>
      </c>
      <c r="I42" s="21" t="str">
        <f aca="false">IF(Variants!$H43="","","Color")</f>
        <v>Color</v>
      </c>
      <c r="J42" s="21" t="str">
        <f aca="false">IF(Variants!$H43="","",Variants!$H43)</f>
        <v>turquoise</v>
      </c>
      <c r="K42" s="21" t="str">
        <f aca="false">IF(Variants!$G43="","","Size")</f>
        <v/>
      </c>
      <c r="L42" s="21" t="str">
        <f aca="false">IF(Variants!$G43="","",Variants!$G43)</f>
        <v/>
      </c>
      <c r="M42" s="21" t="str">
        <f aca="false">Variants!$A43</f>
        <v>KARNI-PEND-ALPHA-TSA-TURQUOISE</v>
      </c>
      <c r="N42" s="21" t="str">
        <f aca="false">IF(Variants!$X43="","",Variants!$X43)</f>
        <v/>
      </c>
      <c r="O42" s="21" t="n">
        <f aca="false">IF(Variants!$O43="","",Variants!$O43)</f>
        <v>0</v>
      </c>
      <c r="P42" s="18" t="n">
        <f aca="false">IF(Variants!$J43="","",Variants!$J43)</f>
        <v>49.4</v>
      </c>
      <c r="Q42" s="21" t="str">
        <f aca="false">IF(Variants!$U43="","",Variants!$U43)</f>
        <v/>
      </c>
      <c r="R42" s="21" t="str">
        <f aca="false">IF(Variants!$Y43="","",Variants!$Y43)</f>
        <v/>
      </c>
      <c r="S42" s="21" t="n">
        <f aca="false">IFERROR(VLOOKUP(Variants!$B43,Designs!$A$3:$AP$165,37,FALSE()),"")</f>
        <v>0</v>
      </c>
      <c r="T42" s="21" t="str">
        <f aca="false">IFERROR(VLOOKUP(Variants!$B43,Designs!$A$3:$AP$165,38,FALSE()),"")</f>
        <v>No</v>
      </c>
      <c r="U42" s="21" t="str">
        <f aca="false">IF(Variants!$AD43="Active","active","draft")</f>
        <v>active</v>
      </c>
    </row>
    <row r="43" customFormat="false" ht="15.75" hidden="false" customHeight="true" outlineLevel="0" collapsed="false">
      <c r="A43" s="21" t="str">
        <f aca="false">IF(Variants!$B44="","",LOWER(Variants!$B44))</f>
        <v>dsgn-pend-alpha-tsa</v>
      </c>
      <c r="B43" s="21" t="str">
        <f aca="false">IF(Variants!$B44="","",Variants!$C44&amp;IF(Variants!$F44="",""," "&amp;Variants!$F44))</f>
        <v>Bird Letter Pendant Ծ</v>
      </c>
      <c r="C43" s="21" t="str">
        <f aca="false">IFERROR(IF(Variants!$B44="","","&lt;p&gt;"&amp;VLOOKUP(Variants!$B44,Designs!$A$3:$AP$165,9,FALSE())&amp;"&lt;/p&gt;"),"")</f>
        <v>&lt;p&gt;Bird letters are an ornamental medieval Armenian script where each letter is formed from stylised birds, used in illuminated manuscripts.&lt;/p&gt;</v>
      </c>
      <c r="D43" s="21" t="str">
        <f aca="false">IF(Variants!$B44="","","Karni Jewellery")</f>
        <v>Karni Jewellery</v>
      </c>
      <c r="E43" s="21" t="str">
        <f aca="false">IF(Variants!$B44="","","Apparel &amp; Accessories &gt; Jewelry")</f>
        <v>Apparel &amp; Accessories &gt; Jewelry</v>
      </c>
      <c r="F43" s="21" t="str">
        <f aca="false">IF(Variants!$D44="","",Variants!$D44)</f>
        <v>Pendant</v>
      </c>
      <c r="G43" s="21" t="str">
        <f aca="false">IF(Variants!$E44="","",Variants!$E44&amp;", Armenian jewellery, handmade")</f>
        <v>Alphabet, Armenian jewellery, handmade</v>
      </c>
      <c r="H43" s="21" t="str">
        <f aca="false">IF(Variants!$AD44="Active","TRUE","FALSE")</f>
        <v>TRUE</v>
      </c>
      <c r="I43" s="21" t="str">
        <f aca="false">IF(Variants!$H44="","","Color")</f>
        <v>Color</v>
      </c>
      <c r="J43" s="21" t="str">
        <f aca="false">IF(Variants!$H44="","",Variants!$H44)</f>
        <v>white</v>
      </c>
      <c r="K43" s="21" t="str">
        <f aca="false">IF(Variants!$G44="","","Size")</f>
        <v/>
      </c>
      <c r="L43" s="21" t="str">
        <f aca="false">IF(Variants!$G44="","",Variants!$G44)</f>
        <v/>
      </c>
      <c r="M43" s="21" t="str">
        <f aca="false">Variants!$A44</f>
        <v>KARNI-PEND-ALPHA-TSA-WHITE</v>
      </c>
      <c r="N43" s="21" t="str">
        <f aca="false">IF(Variants!$X44="","",Variants!$X44)</f>
        <v/>
      </c>
      <c r="O43" s="21" t="n">
        <f aca="false">IF(Variants!$O44="","",Variants!$O44)</f>
        <v>0</v>
      </c>
      <c r="P43" s="18" t="n">
        <f aca="false">IF(Variants!$J44="","",Variants!$J44)</f>
        <v>49.4</v>
      </c>
      <c r="Q43" s="21" t="str">
        <f aca="false">IF(Variants!$U44="","",Variants!$U44)</f>
        <v/>
      </c>
      <c r="R43" s="21" t="str">
        <f aca="false">IF(Variants!$Y44="","",Variants!$Y44)</f>
        <v/>
      </c>
      <c r="S43" s="21" t="n">
        <f aca="false">IFERROR(VLOOKUP(Variants!$B44,Designs!$A$3:$AP$165,37,FALSE()),"")</f>
        <v>0</v>
      </c>
      <c r="T43" s="21" t="str">
        <f aca="false">IFERROR(VLOOKUP(Variants!$B44,Designs!$A$3:$AP$165,38,FALSE()),"")</f>
        <v>No</v>
      </c>
      <c r="U43" s="21" t="str">
        <f aca="false">IF(Variants!$AD44="Active","active","draft")</f>
        <v>active</v>
      </c>
    </row>
    <row r="44" customFormat="false" ht="15.75" hidden="false" customHeight="true" outlineLevel="0" collapsed="false">
      <c r="A44" s="21" t="str">
        <f aca="false">IF(Variants!$B45="","",LOWER(Variants!$B45))</f>
        <v>dsgn-pend-alpha-ken</v>
      </c>
      <c r="B44" s="21" t="str">
        <f aca="false">IF(Variants!$B45="","",Variants!$C45&amp;IF(Variants!$F45="",""," "&amp;Variants!$F45))</f>
        <v>Bird Letter Pendant Կ</v>
      </c>
      <c r="C44" s="21" t="str">
        <f aca="false">IFERROR(IF(Variants!$B45="","","&lt;p&gt;"&amp;VLOOKUP(Variants!$B45,Designs!$A$3:$AP$165,9,FALSE())&amp;"&lt;/p&gt;"),"")</f>
        <v>&lt;p&gt;Bird letters are an ornamental medieval Armenian script where each letter is formed from stylised birds, used in illuminated manuscripts.&lt;/p&gt;</v>
      </c>
      <c r="D44" s="21" t="str">
        <f aca="false">IF(Variants!$B45="","","Karni Jewellery")</f>
        <v>Karni Jewellery</v>
      </c>
      <c r="E44" s="21" t="str">
        <f aca="false">IF(Variants!$B45="","","Apparel &amp; Accessories &gt; Jewelry")</f>
        <v>Apparel &amp; Accessories &gt; Jewelry</v>
      </c>
      <c r="F44" s="21" t="str">
        <f aca="false">IF(Variants!$D45="","",Variants!$D45)</f>
        <v>Pendant</v>
      </c>
      <c r="G44" s="21" t="str">
        <f aca="false">IF(Variants!$E45="","",Variants!$E45&amp;", Armenian jewellery, handmade")</f>
        <v>Alphabet, Armenian jewellery, handmade</v>
      </c>
      <c r="H44" s="21" t="str">
        <f aca="false">IF(Variants!$AD45="Active","TRUE","FALSE")</f>
        <v>TRUE</v>
      </c>
      <c r="I44" s="21" t="str">
        <f aca="false">IF(Variants!$H45="","","Color")</f>
        <v>Color</v>
      </c>
      <c r="J44" s="21" t="str">
        <f aca="false">IF(Variants!$H45="","",Variants!$H45)</f>
        <v>red</v>
      </c>
      <c r="K44" s="21" t="str">
        <f aca="false">IF(Variants!$G45="","","Size")</f>
        <v/>
      </c>
      <c r="L44" s="21" t="str">
        <f aca="false">IF(Variants!$G45="","",Variants!$G45)</f>
        <v/>
      </c>
      <c r="M44" s="21" t="str">
        <f aca="false">Variants!$A45</f>
        <v>KARNI-PEND-ALPHA-KEN-RED</v>
      </c>
      <c r="N44" s="21" t="str">
        <f aca="false">IF(Variants!$X45="","",Variants!$X45)</f>
        <v/>
      </c>
      <c r="O44" s="21" t="n">
        <f aca="false">IF(Variants!$O45="","",Variants!$O45)</f>
        <v>0</v>
      </c>
      <c r="P44" s="18" t="n">
        <f aca="false">IF(Variants!$J45="","",Variants!$J45)</f>
        <v>49.4</v>
      </c>
      <c r="Q44" s="21" t="str">
        <f aca="false">IF(Variants!$U45="","",Variants!$U45)</f>
        <v/>
      </c>
      <c r="R44" s="21" t="str">
        <f aca="false">IF(Variants!$Y45="","",Variants!$Y45)</f>
        <v/>
      </c>
      <c r="S44" s="21" t="n">
        <f aca="false">IFERROR(VLOOKUP(Variants!$B45,Designs!$A$3:$AP$165,37,FALSE()),"")</f>
        <v>0</v>
      </c>
      <c r="T44" s="21" t="str">
        <f aca="false">IFERROR(VLOOKUP(Variants!$B45,Designs!$A$3:$AP$165,38,FALSE()),"")</f>
        <v>No</v>
      </c>
      <c r="U44" s="21" t="str">
        <f aca="false">IF(Variants!$AD45="Active","active","draft")</f>
        <v>active</v>
      </c>
    </row>
    <row r="45" customFormat="false" ht="15.75" hidden="false" customHeight="true" outlineLevel="0" collapsed="false">
      <c r="A45" s="21" t="str">
        <f aca="false">IF(Variants!$B46="","",LOWER(Variants!$B46))</f>
        <v>dsgn-pend-alpha-ken</v>
      </c>
      <c r="B45" s="21" t="str">
        <f aca="false">IF(Variants!$B46="","",Variants!$C46&amp;IF(Variants!$F46="",""," "&amp;Variants!$F46))</f>
        <v>Bird Letter Pendant Կ</v>
      </c>
      <c r="C45" s="21" t="str">
        <f aca="false">IFERROR(IF(Variants!$B46="","","&lt;p&gt;"&amp;VLOOKUP(Variants!$B46,Designs!$A$3:$AP$165,9,FALSE())&amp;"&lt;/p&gt;"),"")</f>
        <v>&lt;p&gt;Bird letters are an ornamental medieval Armenian script where each letter is formed from stylised birds, used in illuminated manuscripts.&lt;/p&gt;</v>
      </c>
      <c r="D45" s="21" t="str">
        <f aca="false">IF(Variants!$B46="","","Karni Jewellery")</f>
        <v>Karni Jewellery</v>
      </c>
      <c r="E45" s="21" t="str">
        <f aca="false">IF(Variants!$B46="","","Apparel &amp; Accessories &gt; Jewelry")</f>
        <v>Apparel &amp; Accessories &gt; Jewelry</v>
      </c>
      <c r="F45" s="21" t="str">
        <f aca="false">IF(Variants!$D46="","",Variants!$D46)</f>
        <v>Pendant</v>
      </c>
      <c r="G45" s="21" t="str">
        <f aca="false">IF(Variants!$E46="","",Variants!$E46&amp;", Armenian jewellery, handmade")</f>
        <v>Alphabet, Armenian jewellery, handmade</v>
      </c>
      <c r="H45" s="21" t="str">
        <f aca="false">IF(Variants!$AD46="Active","TRUE","FALSE")</f>
        <v>TRUE</v>
      </c>
      <c r="I45" s="21" t="str">
        <f aca="false">IF(Variants!$H46="","","Color")</f>
        <v>Color</v>
      </c>
      <c r="J45" s="21" t="str">
        <f aca="false">IF(Variants!$H46="","",Variants!$H46)</f>
        <v>turquoise</v>
      </c>
      <c r="K45" s="21" t="str">
        <f aca="false">IF(Variants!$G46="","","Size")</f>
        <v/>
      </c>
      <c r="L45" s="21" t="str">
        <f aca="false">IF(Variants!$G46="","",Variants!$G46)</f>
        <v/>
      </c>
      <c r="M45" s="21" t="str">
        <f aca="false">Variants!$A46</f>
        <v>KARNI-PEND-ALPHA-KEN-TURQUOISE</v>
      </c>
      <c r="N45" s="21" t="str">
        <f aca="false">IF(Variants!$X46="","",Variants!$X46)</f>
        <v/>
      </c>
      <c r="O45" s="21" t="n">
        <f aca="false">IF(Variants!$O46="","",Variants!$O46)</f>
        <v>0</v>
      </c>
      <c r="P45" s="18" t="n">
        <f aca="false">IF(Variants!$J46="","",Variants!$J46)</f>
        <v>49.4</v>
      </c>
      <c r="Q45" s="21" t="str">
        <f aca="false">IF(Variants!$U46="","",Variants!$U46)</f>
        <v/>
      </c>
      <c r="R45" s="21" t="str">
        <f aca="false">IF(Variants!$Y46="","",Variants!$Y46)</f>
        <v/>
      </c>
      <c r="S45" s="21" t="n">
        <f aca="false">IFERROR(VLOOKUP(Variants!$B46,Designs!$A$3:$AP$165,37,FALSE()),"")</f>
        <v>0</v>
      </c>
      <c r="T45" s="21" t="str">
        <f aca="false">IFERROR(VLOOKUP(Variants!$B46,Designs!$A$3:$AP$165,38,FALSE()),"")</f>
        <v>No</v>
      </c>
      <c r="U45" s="21" t="str">
        <f aca="false">IF(Variants!$AD46="Active","active","draft")</f>
        <v>active</v>
      </c>
    </row>
    <row r="46" customFormat="false" ht="15.75" hidden="false" customHeight="true" outlineLevel="0" collapsed="false">
      <c r="A46" s="21" t="str">
        <f aca="false">IF(Variants!$B47="","",LOWER(Variants!$B47))</f>
        <v>dsgn-pend-alpha-ken</v>
      </c>
      <c r="B46" s="21" t="str">
        <f aca="false">IF(Variants!$B47="","",Variants!$C47&amp;IF(Variants!$F47="",""," "&amp;Variants!$F47))</f>
        <v>Bird Letter Pendant Կ</v>
      </c>
      <c r="C46" s="21" t="str">
        <f aca="false">IFERROR(IF(Variants!$B47="","","&lt;p&gt;"&amp;VLOOKUP(Variants!$B47,Designs!$A$3:$AP$165,9,FALSE())&amp;"&lt;/p&gt;"),"")</f>
        <v>&lt;p&gt;Bird letters are an ornamental medieval Armenian script where each letter is formed from stylised birds, used in illuminated manuscripts.&lt;/p&gt;</v>
      </c>
      <c r="D46" s="21" t="str">
        <f aca="false">IF(Variants!$B47="","","Karni Jewellery")</f>
        <v>Karni Jewellery</v>
      </c>
      <c r="E46" s="21" t="str">
        <f aca="false">IF(Variants!$B47="","","Apparel &amp; Accessories &gt; Jewelry")</f>
        <v>Apparel &amp; Accessories &gt; Jewelry</v>
      </c>
      <c r="F46" s="21" t="str">
        <f aca="false">IF(Variants!$D47="","",Variants!$D47)</f>
        <v>Pendant</v>
      </c>
      <c r="G46" s="21" t="str">
        <f aca="false">IF(Variants!$E47="","",Variants!$E47&amp;", Armenian jewellery, handmade")</f>
        <v>Alphabet, Armenian jewellery, handmade</v>
      </c>
      <c r="H46" s="21" t="str">
        <f aca="false">IF(Variants!$AD47="Active","TRUE","FALSE")</f>
        <v>TRUE</v>
      </c>
      <c r="I46" s="21" t="str">
        <f aca="false">IF(Variants!$H47="","","Color")</f>
        <v>Color</v>
      </c>
      <c r="J46" s="21" t="str">
        <f aca="false">IF(Variants!$H47="","",Variants!$H47)</f>
        <v>white</v>
      </c>
      <c r="K46" s="21" t="str">
        <f aca="false">IF(Variants!$G47="","","Size")</f>
        <v/>
      </c>
      <c r="L46" s="21" t="str">
        <f aca="false">IF(Variants!$G47="","",Variants!$G47)</f>
        <v/>
      </c>
      <c r="M46" s="21" t="str">
        <f aca="false">Variants!$A47</f>
        <v>KARNI-PEND-ALPHA-KEN-WHITE</v>
      </c>
      <c r="N46" s="21" t="str">
        <f aca="false">IF(Variants!$X47="","",Variants!$X47)</f>
        <v/>
      </c>
      <c r="O46" s="21" t="n">
        <f aca="false">IF(Variants!$O47="","",Variants!$O47)</f>
        <v>0</v>
      </c>
      <c r="P46" s="18" t="n">
        <f aca="false">IF(Variants!$J47="","",Variants!$J47)</f>
        <v>49.4</v>
      </c>
      <c r="Q46" s="21" t="str">
        <f aca="false">IF(Variants!$U47="","",Variants!$U47)</f>
        <v/>
      </c>
      <c r="R46" s="21" t="str">
        <f aca="false">IF(Variants!$Y47="","",Variants!$Y47)</f>
        <v/>
      </c>
      <c r="S46" s="21" t="n">
        <f aca="false">IFERROR(VLOOKUP(Variants!$B47,Designs!$A$3:$AP$165,37,FALSE()),"")</f>
        <v>0</v>
      </c>
      <c r="T46" s="21" t="str">
        <f aca="false">IFERROR(VLOOKUP(Variants!$B47,Designs!$A$3:$AP$165,38,FALSE()),"")</f>
        <v>No</v>
      </c>
      <c r="U46" s="21" t="str">
        <f aca="false">IF(Variants!$AD47="Active","active","draft")</f>
        <v>active</v>
      </c>
    </row>
    <row r="47" customFormat="false" ht="15.75" hidden="false" customHeight="true" outlineLevel="0" collapsed="false">
      <c r="A47" s="21" t="str">
        <f aca="false">IF(Variants!$B48="","",LOWER(Variants!$B48))</f>
        <v>dsgn-pend-alpha-ho</v>
      </c>
      <c r="B47" s="21" t="str">
        <f aca="false">IF(Variants!$B48="","",Variants!$C48&amp;IF(Variants!$F48="",""," "&amp;Variants!$F48))</f>
        <v>Bird Letter Pendant Հ</v>
      </c>
      <c r="C47" s="21" t="str">
        <f aca="false">IFERROR(IF(Variants!$B48="","","&lt;p&gt;"&amp;VLOOKUP(Variants!$B48,Designs!$A$3:$AP$165,9,FALSE())&amp;"&lt;/p&gt;"),"")</f>
        <v>&lt;p&gt;Bird letters are an ornamental medieval Armenian script where each letter is formed from stylised birds, used in illuminated manuscripts.&lt;/p&gt;</v>
      </c>
      <c r="D47" s="21" t="str">
        <f aca="false">IF(Variants!$B48="","","Karni Jewellery")</f>
        <v>Karni Jewellery</v>
      </c>
      <c r="E47" s="21" t="str">
        <f aca="false">IF(Variants!$B48="","","Apparel &amp; Accessories &gt; Jewelry")</f>
        <v>Apparel &amp; Accessories &gt; Jewelry</v>
      </c>
      <c r="F47" s="21" t="str">
        <f aca="false">IF(Variants!$D48="","",Variants!$D48)</f>
        <v>Pendant</v>
      </c>
      <c r="G47" s="21" t="str">
        <f aca="false">IF(Variants!$E48="","",Variants!$E48&amp;", Armenian jewellery, handmade")</f>
        <v>Alphabet, Armenian jewellery, handmade</v>
      </c>
      <c r="H47" s="21" t="str">
        <f aca="false">IF(Variants!$AD48="Active","TRUE","FALSE")</f>
        <v>TRUE</v>
      </c>
      <c r="I47" s="21" t="str">
        <f aca="false">IF(Variants!$H48="","","Color")</f>
        <v>Color</v>
      </c>
      <c r="J47" s="21" t="str">
        <f aca="false">IF(Variants!$H48="","",Variants!$H48)</f>
        <v>red</v>
      </c>
      <c r="K47" s="21" t="str">
        <f aca="false">IF(Variants!$G48="","","Size")</f>
        <v/>
      </c>
      <c r="L47" s="21" t="str">
        <f aca="false">IF(Variants!$G48="","",Variants!$G48)</f>
        <v/>
      </c>
      <c r="M47" s="21" t="str">
        <f aca="false">Variants!$A48</f>
        <v>KARNI-PEND-ALPHA-HO-RED</v>
      </c>
      <c r="N47" s="21" t="str">
        <f aca="false">IF(Variants!$X48="","",Variants!$X48)</f>
        <v/>
      </c>
      <c r="O47" s="21" t="n">
        <f aca="false">IF(Variants!$O48="","",Variants!$O48)</f>
        <v>0</v>
      </c>
      <c r="P47" s="18" t="n">
        <f aca="false">IF(Variants!$J48="","",Variants!$J48)</f>
        <v>49.4</v>
      </c>
      <c r="Q47" s="21" t="str">
        <f aca="false">IF(Variants!$U48="","",Variants!$U48)</f>
        <v/>
      </c>
      <c r="R47" s="21" t="str">
        <f aca="false">IF(Variants!$Y48="","",Variants!$Y48)</f>
        <v/>
      </c>
      <c r="S47" s="21" t="n">
        <f aca="false">IFERROR(VLOOKUP(Variants!$B48,Designs!$A$3:$AP$165,37,FALSE()),"")</f>
        <v>0</v>
      </c>
      <c r="T47" s="21" t="str">
        <f aca="false">IFERROR(VLOOKUP(Variants!$B48,Designs!$A$3:$AP$165,38,FALSE()),"")</f>
        <v>No</v>
      </c>
      <c r="U47" s="21" t="str">
        <f aca="false">IF(Variants!$AD48="Active","active","draft")</f>
        <v>active</v>
      </c>
    </row>
    <row r="48" customFormat="false" ht="15.75" hidden="false" customHeight="true" outlineLevel="0" collapsed="false">
      <c r="A48" s="21" t="str">
        <f aca="false">IF(Variants!$B49="","",LOWER(Variants!$B49))</f>
        <v>dsgn-pend-alpha-ho</v>
      </c>
      <c r="B48" s="21" t="str">
        <f aca="false">IF(Variants!$B49="","",Variants!$C49&amp;IF(Variants!$F49="",""," "&amp;Variants!$F49))</f>
        <v>Bird Letter Pendant Հ</v>
      </c>
      <c r="C48" s="21" t="str">
        <f aca="false">IFERROR(IF(Variants!$B49="","","&lt;p&gt;"&amp;VLOOKUP(Variants!$B49,Designs!$A$3:$AP$165,9,FALSE())&amp;"&lt;/p&gt;"),"")</f>
        <v>&lt;p&gt;Bird letters are an ornamental medieval Armenian script where each letter is formed from stylised birds, used in illuminated manuscripts.&lt;/p&gt;</v>
      </c>
      <c r="D48" s="21" t="str">
        <f aca="false">IF(Variants!$B49="","","Karni Jewellery")</f>
        <v>Karni Jewellery</v>
      </c>
      <c r="E48" s="21" t="str">
        <f aca="false">IF(Variants!$B49="","","Apparel &amp; Accessories &gt; Jewelry")</f>
        <v>Apparel &amp; Accessories &gt; Jewelry</v>
      </c>
      <c r="F48" s="21" t="str">
        <f aca="false">IF(Variants!$D49="","",Variants!$D49)</f>
        <v>Pendant</v>
      </c>
      <c r="G48" s="21" t="str">
        <f aca="false">IF(Variants!$E49="","",Variants!$E49&amp;", Armenian jewellery, handmade")</f>
        <v>Alphabet, Armenian jewellery, handmade</v>
      </c>
      <c r="H48" s="21" t="str">
        <f aca="false">IF(Variants!$AD49="Active","TRUE","FALSE")</f>
        <v>TRUE</v>
      </c>
      <c r="I48" s="21" t="str">
        <f aca="false">IF(Variants!$H49="","","Color")</f>
        <v>Color</v>
      </c>
      <c r="J48" s="21" t="str">
        <f aca="false">IF(Variants!$H49="","",Variants!$H49)</f>
        <v>turquoise</v>
      </c>
      <c r="K48" s="21" t="str">
        <f aca="false">IF(Variants!$G49="","","Size")</f>
        <v/>
      </c>
      <c r="L48" s="21" t="str">
        <f aca="false">IF(Variants!$G49="","",Variants!$G49)</f>
        <v/>
      </c>
      <c r="M48" s="21" t="str">
        <f aca="false">Variants!$A49</f>
        <v>KARNI-PEND-ALPHA-HO-TURQUOISE</v>
      </c>
      <c r="N48" s="21" t="str">
        <f aca="false">IF(Variants!$X49="","",Variants!$X49)</f>
        <v/>
      </c>
      <c r="O48" s="21" t="n">
        <f aca="false">IF(Variants!$O49="","",Variants!$O49)</f>
        <v>0</v>
      </c>
      <c r="P48" s="18" t="n">
        <f aca="false">IF(Variants!$J49="","",Variants!$J49)</f>
        <v>49.4</v>
      </c>
      <c r="Q48" s="21" t="str">
        <f aca="false">IF(Variants!$U49="","",Variants!$U49)</f>
        <v/>
      </c>
      <c r="R48" s="21" t="str">
        <f aca="false">IF(Variants!$Y49="","",Variants!$Y49)</f>
        <v/>
      </c>
      <c r="S48" s="21" t="n">
        <f aca="false">IFERROR(VLOOKUP(Variants!$B49,Designs!$A$3:$AP$165,37,FALSE()),"")</f>
        <v>0</v>
      </c>
      <c r="T48" s="21" t="str">
        <f aca="false">IFERROR(VLOOKUP(Variants!$B49,Designs!$A$3:$AP$165,38,FALSE()),"")</f>
        <v>No</v>
      </c>
      <c r="U48" s="21" t="str">
        <f aca="false">IF(Variants!$AD49="Active","active","draft")</f>
        <v>active</v>
      </c>
    </row>
    <row r="49" customFormat="false" ht="15.75" hidden="false" customHeight="true" outlineLevel="0" collapsed="false">
      <c r="A49" s="21" t="str">
        <f aca="false">IF(Variants!$B50="","",LOWER(Variants!$B50))</f>
        <v>dsgn-pend-alpha-ho</v>
      </c>
      <c r="B49" s="21" t="str">
        <f aca="false">IF(Variants!$B50="","",Variants!$C50&amp;IF(Variants!$F50="",""," "&amp;Variants!$F50))</f>
        <v>Bird Letter Pendant Հ</v>
      </c>
      <c r="C49" s="21" t="str">
        <f aca="false">IFERROR(IF(Variants!$B50="","","&lt;p&gt;"&amp;VLOOKUP(Variants!$B50,Designs!$A$3:$AP$165,9,FALSE())&amp;"&lt;/p&gt;"),"")</f>
        <v>&lt;p&gt;Bird letters are an ornamental medieval Armenian script where each letter is formed from stylised birds, used in illuminated manuscripts.&lt;/p&gt;</v>
      </c>
      <c r="D49" s="21" t="str">
        <f aca="false">IF(Variants!$B50="","","Karni Jewellery")</f>
        <v>Karni Jewellery</v>
      </c>
      <c r="E49" s="21" t="str">
        <f aca="false">IF(Variants!$B50="","","Apparel &amp; Accessories &gt; Jewelry")</f>
        <v>Apparel &amp; Accessories &gt; Jewelry</v>
      </c>
      <c r="F49" s="21" t="str">
        <f aca="false">IF(Variants!$D50="","",Variants!$D50)</f>
        <v>Pendant</v>
      </c>
      <c r="G49" s="21" t="str">
        <f aca="false">IF(Variants!$E50="","",Variants!$E50&amp;", Armenian jewellery, handmade")</f>
        <v>Alphabet, Armenian jewellery, handmade</v>
      </c>
      <c r="H49" s="21" t="str">
        <f aca="false">IF(Variants!$AD50="Active","TRUE","FALSE")</f>
        <v>TRUE</v>
      </c>
      <c r="I49" s="21" t="str">
        <f aca="false">IF(Variants!$H50="","","Color")</f>
        <v>Color</v>
      </c>
      <c r="J49" s="21" t="str">
        <f aca="false">IF(Variants!$H50="","",Variants!$H50)</f>
        <v>white</v>
      </c>
      <c r="K49" s="21" t="str">
        <f aca="false">IF(Variants!$G50="","","Size")</f>
        <v/>
      </c>
      <c r="L49" s="21" t="str">
        <f aca="false">IF(Variants!$G50="","",Variants!$G50)</f>
        <v/>
      </c>
      <c r="M49" s="21" t="str">
        <f aca="false">Variants!$A50</f>
        <v>KARNI-PEND-ALPHA-HO-WHITE</v>
      </c>
      <c r="N49" s="21" t="str">
        <f aca="false">IF(Variants!$X50="","",Variants!$X50)</f>
        <v/>
      </c>
      <c r="O49" s="21" t="n">
        <f aca="false">IF(Variants!$O50="","",Variants!$O50)</f>
        <v>0</v>
      </c>
      <c r="P49" s="18" t="n">
        <f aca="false">IF(Variants!$J50="","",Variants!$J50)</f>
        <v>49.4</v>
      </c>
      <c r="Q49" s="21" t="str">
        <f aca="false">IF(Variants!$U50="","",Variants!$U50)</f>
        <v/>
      </c>
      <c r="R49" s="21" t="str">
        <f aca="false">IF(Variants!$Y50="","",Variants!$Y50)</f>
        <v/>
      </c>
      <c r="S49" s="21" t="n">
        <f aca="false">IFERROR(VLOOKUP(Variants!$B50,Designs!$A$3:$AP$165,37,FALSE()),"")</f>
        <v>0</v>
      </c>
      <c r="T49" s="21" t="str">
        <f aca="false">IFERROR(VLOOKUP(Variants!$B50,Designs!$A$3:$AP$165,38,FALSE()),"")</f>
        <v>No</v>
      </c>
      <c r="U49" s="21" t="str">
        <f aca="false">IF(Variants!$AD50="Active","active","draft")</f>
        <v>active</v>
      </c>
    </row>
    <row r="50" customFormat="false" ht="15.75" hidden="false" customHeight="true" outlineLevel="0" collapsed="false">
      <c r="A50" s="21" t="str">
        <f aca="false">IF(Variants!$B51="","",LOWER(Variants!$B51))</f>
        <v>dsgn-pend-alpha-dza</v>
      </c>
      <c r="B50" s="21" t="str">
        <f aca="false">IF(Variants!$B51="","",Variants!$C51&amp;IF(Variants!$F51="",""," "&amp;Variants!$F51))</f>
        <v>Bird Letter Pendant Ձ</v>
      </c>
      <c r="C50" s="21" t="str">
        <f aca="false">IFERROR(IF(Variants!$B51="","","&lt;p&gt;"&amp;VLOOKUP(Variants!$B51,Designs!$A$3:$AP$165,9,FALSE())&amp;"&lt;/p&gt;"),"")</f>
        <v>&lt;p&gt;Bird letters are an ornamental medieval Armenian script where each letter is formed from stylised birds, used in illuminated manuscripts.&lt;/p&gt;</v>
      </c>
      <c r="D50" s="21" t="str">
        <f aca="false">IF(Variants!$B51="","","Karni Jewellery")</f>
        <v>Karni Jewellery</v>
      </c>
      <c r="E50" s="21" t="str">
        <f aca="false">IF(Variants!$B51="","","Apparel &amp; Accessories &gt; Jewelry")</f>
        <v>Apparel &amp; Accessories &gt; Jewelry</v>
      </c>
      <c r="F50" s="21" t="str">
        <f aca="false">IF(Variants!$D51="","",Variants!$D51)</f>
        <v>Pendant</v>
      </c>
      <c r="G50" s="21" t="str">
        <f aca="false">IF(Variants!$E51="","",Variants!$E51&amp;", Armenian jewellery, handmade")</f>
        <v>Alphabet, Armenian jewellery, handmade</v>
      </c>
      <c r="H50" s="21" t="str">
        <f aca="false">IF(Variants!$AD51="Active","TRUE","FALSE")</f>
        <v>TRUE</v>
      </c>
      <c r="I50" s="21" t="str">
        <f aca="false">IF(Variants!$H51="","","Color")</f>
        <v>Color</v>
      </c>
      <c r="J50" s="21" t="str">
        <f aca="false">IF(Variants!$H51="","",Variants!$H51)</f>
        <v>red</v>
      </c>
      <c r="K50" s="21" t="str">
        <f aca="false">IF(Variants!$G51="","","Size")</f>
        <v/>
      </c>
      <c r="L50" s="21" t="str">
        <f aca="false">IF(Variants!$G51="","",Variants!$G51)</f>
        <v/>
      </c>
      <c r="M50" s="21" t="str">
        <f aca="false">Variants!$A51</f>
        <v>KARNI-PEND-ALPHA-DZA-RED</v>
      </c>
      <c r="N50" s="21" t="str">
        <f aca="false">IF(Variants!$X51="","",Variants!$X51)</f>
        <v/>
      </c>
      <c r="O50" s="21" t="n">
        <f aca="false">IF(Variants!$O51="","",Variants!$O51)</f>
        <v>0</v>
      </c>
      <c r="P50" s="18" t="n">
        <f aca="false">IF(Variants!$J51="","",Variants!$J51)</f>
        <v>49.4</v>
      </c>
      <c r="Q50" s="21" t="str">
        <f aca="false">IF(Variants!$U51="","",Variants!$U51)</f>
        <v/>
      </c>
      <c r="R50" s="21" t="str">
        <f aca="false">IF(Variants!$Y51="","",Variants!$Y51)</f>
        <v/>
      </c>
      <c r="S50" s="21" t="n">
        <f aca="false">IFERROR(VLOOKUP(Variants!$B51,Designs!$A$3:$AP$165,37,FALSE()),"")</f>
        <v>0</v>
      </c>
      <c r="T50" s="21" t="str">
        <f aca="false">IFERROR(VLOOKUP(Variants!$B51,Designs!$A$3:$AP$165,38,FALSE()),"")</f>
        <v>No</v>
      </c>
      <c r="U50" s="21" t="str">
        <f aca="false">IF(Variants!$AD51="Active","active","draft")</f>
        <v>active</v>
      </c>
    </row>
    <row r="51" customFormat="false" ht="15.75" hidden="false" customHeight="true" outlineLevel="0" collapsed="false">
      <c r="A51" s="21" t="str">
        <f aca="false">IF(Variants!$B52="","",LOWER(Variants!$B52))</f>
        <v>dsgn-pend-alpha-dza</v>
      </c>
      <c r="B51" s="21" t="str">
        <f aca="false">IF(Variants!$B52="","",Variants!$C52&amp;IF(Variants!$F52="",""," "&amp;Variants!$F52))</f>
        <v>Bird Letter Pendant Ձ</v>
      </c>
      <c r="C51" s="21" t="str">
        <f aca="false">IFERROR(IF(Variants!$B52="","","&lt;p&gt;"&amp;VLOOKUP(Variants!$B52,Designs!$A$3:$AP$165,9,FALSE())&amp;"&lt;/p&gt;"),"")</f>
        <v>&lt;p&gt;Bird letters are an ornamental medieval Armenian script where each letter is formed from stylised birds, used in illuminated manuscripts.&lt;/p&gt;</v>
      </c>
      <c r="D51" s="21" t="str">
        <f aca="false">IF(Variants!$B52="","","Karni Jewellery")</f>
        <v>Karni Jewellery</v>
      </c>
      <c r="E51" s="21" t="str">
        <f aca="false">IF(Variants!$B52="","","Apparel &amp; Accessories &gt; Jewelry")</f>
        <v>Apparel &amp; Accessories &gt; Jewelry</v>
      </c>
      <c r="F51" s="21" t="str">
        <f aca="false">IF(Variants!$D52="","",Variants!$D52)</f>
        <v>Pendant</v>
      </c>
      <c r="G51" s="21" t="str">
        <f aca="false">IF(Variants!$E52="","",Variants!$E52&amp;", Armenian jewellery, handmade")</f>
        <v>Alphabet, Armenian jewellery, handmade</v>
      </c>
      <c r="H51" s="21" t="str">
        <f aca="false">IF(Variants!$AD52="Active","TRUE","FALSE")</f>
        <v>TRUE</v>
      </c>
      <c r="I51" s="21" t="str">
        <f aca="false">IF(Variants!$H52="","","Color")</f>
        <v>Color</v>
      </c>
      <c r="J51" s="21" t="str">
        <f aca="false">IF(Variants!$H52="","",Variants!$H52)</f>
        <v>turquoise</v>
      </c>
      <c r="K51" s="21" t="str">
        <f aca="false">IF(Variants!$G52="","","Size")</f>
        <v/>
      </c>
      <c r="L51" s="21" t="str">
        <f aca="false">IF(Variants!$G52="","",Variants!$G52)</f>
        <v/>
      </c>
      <c r="M51" s="21" t="str">
        <f aca="false">Variants!$A52</f>
        <v>KARNI-PEND-ALPHA-DZA-TURQUOISE</v>
      </c>
      <c r="N51" s="21" t="str">
        <f aca="false">IF(Variants!$X52="","",Variants!$X52)</f>
        <v/>
      </c>
      <c r="O51" s="21" t="n">
        <f aca="false">IF(Variants!$O52="","",Variants!$O52)</f>
        <v>0</v>
      </c>
      <c r="P51" s="18" t="n">
        <f aca="false">IF(Variants!$J52="","",Variants!$J52)</f>
        <v>49.4</v>
      </c>
      <c r="Q51" s="21" t="str">
        <f aca="false">IF(Variants!$U52="","",Variants!$U52)</f>
        <v/>
      </c>
      <c r="R51" s="21" t="str">
        <f aca="false">IF(Variants!$Y52="","",Variants!$Y52)</f>
        <v/>
      </c>
      <c r="S51" s="21" t="n">
        <f aca="false">IFERROR(VLOOKUP(Variants!$B52,Designs!$A$3:$AP$165,37,FALSE()),"")</f>
        <v>0</v>
      </c>
      <c r="T51" s="21" t="str">
        <f aca="false">IFERROR(VLOOKUP(Variants!$B52,Designs!$A$3:$AP$165,38,FALSE()),"")</f>
        <v>No</v>
      </c>
      <c r="U51" s="21" t="str">
        <f aca="false">IF(Variants!$AD52="Active","active","draft")</f>
        <v>active</v>
      </c>
    </row>
    <row r="52" customFormat="false" ht="15.75" hidden="false" customHeight="true" outlineLevel="0" collapsed="false">
      <c r="A52" s="21" t="str">
        <f aca="false">IF(Variants!$B53="","",LOWER(Variants!$B53))</f>
        <v>dsgn-pend-alpha-dza</v>
      </c>
      <c r="B52" s="21" t="str">
        <f aca="false">IF(Variants!$B53="","",Variants!$C53&amp;IF(Variants!$F53="",""," "&amp;Variants!$F53))</f>
        <v>Bird Letter Pendant Ձ</v>
      </c>
      <c r="C52" s="21" t="str">
        <f aca="false">IFERROR(IF(Variants!$B53="","","&lt;p&gt;"&amp;VLOOKUP(Variants!$B53,Designs!$A$3:$AP$165,9,FALSE())&amp;"&lt;/p&gt;"),"")</f>
        <v>&lt;p&gt;Bird letters are an ornamental medieval Armenian script where each letter is formed from stylised birds, used in illuminated manuscripts.&lt;/p&gt;</v>
      </c>
      <c r="D52" s="21" t="str">
        <f aca="false">IF(Variants!$B53="","","Karni Jewellery")</f>
        <v>Karni Jewellery</v>
      </c>
      <c r="E52" s="21" t="str">
        <f aca="false">IF(Variants!$B53="","","Apparel &amp; Accessories &gt; Jewelry")</f>
        <v>Apparel &amp; Accessories &gt; Jewelry</v>
      </c>
      <c r="F52" s="21" t="str">
        <f aca="false">IF(Variants!$D53="","",Variants!$D53)</f>
        <v>Pendant</v>
      </c>
      <c r="G52" s="21" t="str">
        <f aca="false">IF(Variants!$E53="","",Variants!$E53&amp;", Armenian jewellery, handmade")</f>
        <v>Alphabet, Armenian jewellery, handmade</v>
      </c>
      <c r="H52" s="21" t="str">
        <f aca="false">IF(Variants!$AD53="Active","TRUE","FALSE")</f>
        <v>TRUE</v>
      </c>
      <c r="I52" s="21" t="str">
        <f aca="false">IF(Variants!$H53="","","Color")</f>
        <v>Color</v>
      </c>
      <c r="J52" s="21" t="str">
        <f aca="false">IF(Variants!$H53="","",Variants!$H53)</f>
        <v>white</v>
      </c>
      <c r="K52" s="21" t="str">
        <f aca="false">IF(Variants!$G53="","","Size")</f>
        <v/>
      </c>
      <c r="L52" s="21" t="str">
        <f aca="false">IF(Variants!$G53="","",Variants!$G53)</f>
        <v/>
      </c>
      <c r="M52" s="21" t="str">
        <f aca="false">Variants!$A53</f>
        <v>KARNI-PEND-ALPHA-DZA-WHITE</v>
      </c>
      <c r="N52" s="21" t="str">
        <f aca="false">IF(Variants!$X53="","",Variants!$X53)</f>
        <v/>
      </c>
      <c r="O52" s="21" t="n">
        <f aca="false">IF(Variants!$O53="","",Variants!$O53)</f>
        <v>0</v>
      </c>
      <c r="P52" s="18" t="n">
        <f aca="false">IF(Variants!$J53="","",Variants!$J53)</f>
        <v>49.4</v>
      </c>
      <c r="Q52" s="21" t="str">
        <f aca="false">IF(Variants!$U53="","",Variants!$U53)</f>
        <v/>
      </c>
      <c r="R52" s="21" t="str">
        <f aca="false">IF(Variants!$Y53="","",Variants!$Y53)</f>
        <v/>
      </c>
      <c r="S52" s="21" t="n">
        <f aca="false">IFERROR(VLOOKUP(Variants!$B53,Designs!$A$3:$AP$165,37,FALSE()),"")</f>
        <v>0</v>
      </c>
      <c r="T52" s="21" t="str">
        <f aca="false">IFERROR(VLOOKUP(Variants!$B53,Designs!$A$3:$AP$165,38,FALSE()),"")</f>
        <v>No</v>
      </c>
      <c r="U52" s="21" t="str">
        <f aca="false">IF(Variants!$AD53="Active","active","draft")</f>
        <v>active</v>
      </c>
    </row>
    <row r="53" customFormat="false" ht="15.75" hidden="false" customHeight="true" outlineLevel="0" collapsed="false">
      <c r="A53" s="21" t="str">
        <f aca="false">IF(Variants!$B54="","",LOWER(Variants!$B54))</f>
        <v>dsgn-pend-alpha-ghat</v>
      </c>
      <c r="B53" s="21" t="str">
        <f aca="false">IF(Variants!$B54="","",Variants!$C54&amp;IF(Variants!$F54="",""," "&amp;Variants!$F54))</f>
        <v>Bird Letter Pendant Ղ</v>
      </c>
      <c r="C53" s="21" t="str">
        <f aca="false">IFERROR(IF(Variants!$B54="","","&lt;p&gt;"&amp;VLOOKUP(Variants!$B54,Designs!$A$3:$AP$165,9,FALSE())&amp;"&lt;/p&gt;"),"")</f>
        <v>&lt;p&gt;Bird letters are an ornamental medieval Armenian script where each letter is formed from stylised birds, used in illuminated manuscripts.&lt;/p&gt;</v>
      </c>
      <c r="D53" s="21" t="str">
        <f aca="false">IF(Variants!$B54="","","Karni Jewellery")</f>
        <v>Karni Jewellery</v>
      </c>
      <c r="E53" s="21" t="str">
        <f aca="false">IF(Variants!$B54="","","Apparel &amp; Accessories &gt; Jewelry")</f>
        <v>Apparel &amp; Accessories &gt; Jewelry</v>
      </c>
      <c r="F53" s="21" t="str">
        <f aca="false">IF(Variants!$D54="","",Variants!$D54)</f>
        <v>Pendant</v>
      </c>
      <c r="G53" s="21" t="str">
        <f aca="false">IF(Variants!$E54="","",Variants!$E54&amp;", Armenian jewellery, handmade")</f>
        <v>Alphabet, Armenian jewellery, handmade</v>
      </c>
      <c r="H53" s="21" t="str">
        <f aca="false">IF(Variants!$AD54="Active","TRUE","FALSE")</f>
        <v>TRUE</v>
      </c>
      <c r="I53" s="21" t="str">
        <f aca="false">IF(Variants!$H54="","","Color")</f>
        <v>Color</v>
      </c>
      <c r="J53" s="21" t="str">
        <f aca="false">IF(Variants!$H54="","",Variants!$H54)</f>
        <v>red</v>
      </c>
      <c r="K53" s="21" t="str">
        <f aca="false">IF(Variants!$G54="","","Size")</f>
        <v/>
      </c>
      <c r="L53" s="21" t="str">
        <f aca="false">IF(Variants!$G54="","",Variants!$G54)</f>
        <v/>
      </c>
      <c r="M53" s="21" t="str">
        <f aca="false">Variants!$A54</f>
        <v>KARNI-PEND-ALPHA-GHAT-RED</v>
      </c>
      <c r="N53" s="21" t="str">
        <f aca="false">IF(Variants!$X54="","",Variants!$X54)</f>
        <v/>
      </c>
      <c r="O53" s="21" t="n">
        <f aca="false">IF(Variants!$O54="","",Variants!$O54)</f>
        <v>0</v>
      </c>
      <c r="P53" s="18" t="n">
        <f aca="false">IF(Variants!$J54="","",Variants!$J54)</f>
        <v>49.4</v>
      </c>
      <c r="Q53" s="21" t="str">
        <f aca="false">IF(Variants!$U54="","",Variants!$U54)</f>
        <v/>
      </c>
      <c r="R53" s="21" t="str">
        <f aca="false">IF(Variants!$Y54="","",Variants!$Y54)</f>
        <v/>
      </c>
      <c r="S53" s="21" t="n">
        <f aca="false">IFERROR(VLOOKUP(Variants!$B54,Designs!$A$3:$AP$165,37,FALSE()),"")</f>
        <v>0</v>
      </c>
      <c r="T53" s="21" t="str">
        <f aca="false">IFERROR(VLOOKUP(Variants!$B54,Designs!$A$3:$AP$165,38,FALSE()),"")</f>
        <v>No</v>
      </c>
      <c r="U53" s="21" t="str">
        <f aca="false">IF(Variants!$AD54="Active","active","draft")</f>
        <v>active</v>
      </c>
    </row>
    <row r="54" customFormat="false" ht="15.75" hidden="false" customHeight="true" outlineLevel="0" collapsed="false">
      <c r="A54" s="21" t="str">
        <f aca="false">IF(Variants!$B55="","",LOWER(Variants!$B55))</f>
        <v>dsgn-pend-alpha-ghat</v>
      </c>
      <c r="B54" s="21" t="str">
        <f aca="false">IF(Variants!$B55="","",Variants!$C55&amp;IF(Variants!$F55="",""," "&amp;Variants!$F55))</f>
        <v>Bird Letter Pendant Ղ</v>
      </c>
      <c r="C54" s="21" t="str">
        <f aca="false">IFERROR(IF(Variants!$B55="","","&lt;p&gt;"&amp;VLOOKUP(Variants!$B55,Designs!$A$3:$AP$165,9,FALSE())&amp;"&lt;/p&gt;"),"")</f>
        <v>&lt;p&gt;Bird letters are an ornamental medieval Armenian script where each letter is formed from stylised birds, used in illuminated manuscripts.&lt;/p&gt;</v>
      </c>
      <c r="D54" s="21" t="str">
        <f aca="false">IF(Variants!$B55="","","Karni Jewellery")</f>
        <v>Karni Jewellery</v>
      </c>
      <c r="E54" s="21" t="str">
        <f aca="false">IF(Variants!$B55="","","Apparel &amp; Accessories &gt; Jewelry")</f>
        <v>Apparel &amp; Accessories &gt; Jewelry</v>
      </c>
      <c r="F54" s="21" t="str">
        <f aca="false">IF(Variants!$D55="","",Variants!$D55)</f>
        <v>Pendant</v>
      </c>
      <c r="G54" s="21" t="str">
        <f aca="false">IF(Variants!$E55="","",Variants!$E55&amp;", Armenian jewellery, handmade")</f>
        <v>Alphabet, Armenian jewellery, handmade</v>
      </c>
      <c r="H54" s="21" t="str">
        <f aca="false">IF(Variants!$AD55="Active","TRUE","FALSE")</f>
        <v>TRUE</v>
      </c>
      <c r="I54" s="21" t="str">
        <f aca="false">IF(Variants!$H55="","","Color")</f>
        <v>Color</v>
      </c>
      <c r="J54" s="21" t="str">
        <f aca="false">IF(Variants!$H55="","",Variants!$H55)</f>
        <v>turquoise</v>
      </c>
      <c r="K54" s="21" t="str">
        <f aca="false">IF(Variants!$G55="","","Size")</f>
        <v/>
      </c>
      <c r="L54" s="21" t="str">
        <f aca="false">IF(Variants!$G55="","",Variants!$G55)</f>
        <v/>
      </c>
      <c r="M54" s="21" t="str">
        <f aca="false">Variants!$A55</f>
        <v>KARNI-PEND-ALPHA-GHAT-TURQUOISE</v>
      </c>
      <c r="N54" s="21" t="str">
        <f aca="false">IF(Variants!$X55="","",Variants!$X55)</f>
        <v/>
      </c>
      <c r="O54" s="21" t="n">
        <f aca="false">IF(Variants!$O55="","",Variants!$O55)</f>
        <v>0</v>
      </c>
      <c r="P54" s="18" t="n">
        <f aca="false">IF(Variants!$J55="","",Variants!$J55)</f>
        <v>49.4</v>
      </c>
      <c r="Q54" s="21" t="str">
        <f aca="false">IF(Variants!$U55="","",Variants!$U55)</f>
        <v/>
      </c>
      <c r="R54" s="21" t="str">
        <f aca="false">IF(Variants!$Y55="","",Variants!$Y55)</f>
        <v/>
      </c>
      <c r="S54" s="21" t="n">
        <f aca="false">IFERROR(VLOOKUP(Variants!$B55,Designs!$A$3:$AP$165,37,FALSE()),"")</f>
        <v>0</v>
      </c>
      <c r="T54" s="21" t="str">
        <f aca="false">IFERROR(VLOOKUP(Variants!$B55,Designs!$A$3:$AP$165,38,FALSE()),"")</f>
        <v>No</v>
      </c>
      <c r="U54" s="21" t="str">
        <f aca="false">IF(Variants!$AD55="Active","active","draft")</f>
        <v>active</v>
      </c>
    </row>
    <row r="55" customFormat="false" ht="15.75" hidden="false" customHeight="true" outlineLevel="0" collapsed="false">
      <c r="A55" s="21" t="str">
        <f aca="false">IF(Variants!$B56="","",LOWER(Variants!$B56))</f>
        <v>dsgn-pend-alpha-ghat</v>
      </c>
      <c r="B55" s="21" t="str">
        <f aca="false">IF(Variants!$B56="","",Variants!$C56&amp;IF(Variants!$F56="",""," "&amp;Variants!$F56))</f>
        <v>Bird Letter Pendant Ղ</v>
      </c>
      <c r="C55" s="21" t="str">
        <f aca="false">IFERROR(IF(Variants!$B56="","","&lt;p&gt;"&amp;VLOOKUP(Variants!$B56,Designs!$A$3:$AP$165,9,FALSE())&amp;"&lt;/p&gt;"),"")</f>
        <v>&lt;p&gt;Bird letters are an ornamental medieval Armenian script where each letter is formed from stylised birds, used in illuminated manuscripts.&lt;/p&gt;</v>
      </c>
      <c r="D55" s="21" t="str">
        <f aca="false">IF(Variants!$B56="","","Karni Jewellery")</f>
        <v>Karni Jewellery</v>
      </c>
      <c r="E55" s="21" t="str">
        <f aca="false">IF(Variants!$B56="","","Apparel &amp; Accessories &gt; Jewelry")</f>
        <v>Apparel &amp; Accessories &gt; Jewelry</v>
      </c>
      <c r="F55" s="21" t="str">
        <f aca="false">IF(Variants!$D56="","",Variants!$D56)</f>
        <v>Pendant</v>
      </c>
      <c r="G55" s="21" t="str">
        <f aca="false">IF(Variants!$E56="","",Variants!$E56&amp;", Armenian jewellery, handmade")</f>
        <v>Alphabet, Armenian jewellery, handmade</v>
      </c>
      <c r="H55" s="21" t="str">
        <f aca="false">IF(Variants!$AD56="Active","TRUE","FALSE")</f>
        <v>TRUE</v>
      </c>
      <c r="I55" s="21" t="str">
        <f aca="false">IF(Variants!$H56="","","Color")</f>
        <v>Color</v>
      </c>
      <c r="J55" s="21" t="str">
        <f aca="false">IF(Variants!$H56="","",Variants!$H56)</f>
        <v>white</v>
      </c>
      <c r="K55" s="21" t="str">
        <f aca="false">IF(Variants!$G56="","","Size")</f>
        <v/>
      </c>
      <c r="L55" s="21" t="str">
        <f aca="false">IF(Variants!$G56="","",Variants!$G56)</f>
        <v/>
      </c>
      <c r="M55" s="21" t="str">
        <f aca="false">Variants!$A56</f>
        <v>KARNI-PEND-ALPHA-GHAT-WHITE</v>
      </c>
      <c r="N55" s="21" t="str">
        <f aca="false">IF(Variants!$X56="","",Variants!$X56)</f>
        <v/>
      </c>
      <c r="O55" s="21" t="n">
        <f aca="false">IF(Variants!$O56="","",Variants!$O56)</f>
        <v>0</v>
      </c>
      <c r="P55" s="18" t="n">
        <f aca="false">IF(Variants!$J56="","",Variants!$J56)</f>
        <v>49.4</v>
      </c>
      <c r="Q55" s="21" t="str">
        <f aca="false">IF(Variants!$U56="","",Variants!$U56)</f>
        <v/>
      </c>
      <c r="R55" s="21" t="str">
        <f aca="false">IF(Variants!$Y56="","",Variants!$Y56)</f>
        <v/>
      </c>
      <c r="S55" s="21" t="n">
        <f aca="false">IFERROR(VLOOKUP(Variants!$B56,Designs!$A$3:$AP$165,37,FALSE()),"")</f>
        <v>0</v>
      </c>
      <c r="T55" s="21" t="str">
        <f aca="false">IFERROR(VLOOKUP(Variants!$B56,Designs!$A$3:$AP$165,38,FALSE()),"")</f>
        <v>No</v>
      </c>
      <c r="U55" s="21" t="str">
        <f aca="false">IF(Variants!$AD56="Active","active","draft")</f>
        <v>active</v>
      </c>
    </row>
    <row r="56" customFormat="false" ht="15.75" hidden="false" customHeight="true" outlineLevel="0" collapsed="false">
      <c r="A56" s="21" t="str">
        <f aca="false">IF(Variants!$B57="","",LOWER(Variants!$B57))</f>
        <v>dsgn-pend-alpha-cheh</v>
      </c>
      <c r="B56" s="21" t="str">
        <f aca="false">IF(Variants!$B57="","",Variants!$C57&amp;IF(Variants!$F57="",""," "&amp;Variants!$F57))</f>
        <v>Bird Letter Pendant Ճ</v>
      </c>
      <c r="C56" s="21" t="str">
        <f aca="false">IFERROR(IF(Variants!$B57="","","&lt;p&gt;"&amp;VLOOKUP(Variants!$B57,Designs!$A$3:$AP$165,9,FALSE())&amp;"&lt;/p&gt;"),"")</f>
        <v>&lt;p&gt;Bird letters are an ornamental medieval Armenian script where each letter is formed from stylised birds, used in illuminated manuscripts.&lt;/p&gt;</v>
      </c>
      <c r="D56" s="21" t="str">
        <f aca="false">IF(Variants!$B57="","","Karni Jewellery")</f>
        <v>Karni Jewellery</v>
      </c>
      <c r="E56" s="21" t="str">
        <f aca="false">IF(Variants!$B57="","","Apparel &amp; Accessories &gt; Jewelry")</f>
        <v>Apparel &amp; Accessories &gt; Jewelry</v>
      </c>
      <c r="F56" s="21" t="str">
        <f aca="false">IF(Variants!$D57="","",Variants!$D57)</f>
        <v>Pendant</v>
      </c>
      <c r="G56" s="21" t="str">
        <f aca="false">IF(Variants!$E57="","",Variants!$E57&amp;", Armenian jewellery, handmade")</f>
        <v>Alphabet, Armenian jewellery, handmade</v>
      </c>
      <c r="H56" s="21" t="str">
        <f aca="false">IF(Variants!$AD57="Active","TRUE","FALSE")</f>
        <v>TRUE</v>
      </c>
      <c r="I56" s="21" t="str">
        <f aca="false">IF(Variants!$H57="","","Color")</f>
        <v>Color</v>
      </c>
      <c r="J56" s="21" t="str">
        <f aca="false">IF(Variants!$H57="","",Variants!$H57)</f>
        <v>red</v>
      </c>
      <c r="K56" s="21" t="str">
        <f aca="false">IF(Variants!$G57="","","Size")</f>
        <v/>
      </c>
      <c r="L56" s="21" t="str">
        <f aca="false">IF(Variants!$G57="","",Variants!$G57)</f>
        <v/>
      </c>
      <c r="M56" s="21" t="str">
        <f aca="false">Variants!$A57</f>
        <v>KARNI-PEND-ALPHA-CHEH-RED</v>
      </c>
      <c r="N56" s="21" t="str">
        <f aca="false">IF(Variants!$X57="","",Variants!$X57)</f>
        <v/>
      </c>
      <c r="O56" s="21" t="n">
        <f aca="false">IF(Variants!$O57="","",Variants!$O57)</f>
        <v>0</v>
      </c>
      <c r="P56" s="18" t="n">
        <f aca="false">IF(Variants!$J57="","",Variants!$J57)</f>
        <v>49.4</v>
      </c>
      <c r="Q56" s="21" t="str">
        <f aca="false">IF(Variants!$U57="","",Variants!$U57)</f>
        <v/>
      </c>
      <c r="R56" s="21" t="str">
        <f aca="false">IF(Variants!$Y57="","",Variants!$Y57)</f>
        <v/>
      </c>
      <c r="S56" s="21" t="n">
        <f aca="false">IFERROR(VLOOKUP(Variants!$B57,Designs!$A$3:$AP$165,37,FALSE()),"")</f>
        <v>0</v>
      </c>
      <c r="T56" s="21" t="str">
        <f aca="false">IFERROR(VLOOKUP(Variants!$B57,Designs!$A$3:$AP$165,38,FALSE()),"")</f>
        <v>No</v>
      </c>
      <c r="U56" s="21" t="str">
        <f aca="false">IF(Variants!$AD57="Active","active","draft")</f>
        <v>active</v>
      </c>
    </row>
    <row r="57" customFormat="false" ht="15.75" hidden="false" customHeight="true" outlineLevel="0" collapsed="false">
      <c r="A57" s="21" t="str">
        <f aca="false">IF(Variants!$B58="","",LOWER(Variants!$B58))</f>
        <v>dsgn-pend-alpha-cheh</v>
      </c>
      <c r="B57" s="21" t="str">
        <f aca="false">IF(Variants!$B58="","",Variants!$C58&amp;IF(Variants!$F58="",""," "&amp;Variants!$F58))</f>
        <v>Bird Letter Pendant Ճ</v>
      </c>
      <c r="C57" s="21" t="str">
        <f aca="false">IFERROR(IF(Variants!$B58="","","&lt;p&gt;"&amp;VLOOKUP(Variants!$B58,Designs!$A$3:$AP$165,9,FALSE())&amp;"&lt;/p&gt;"),"")</f>
        <v>&lt;p&gt;Bird letters are an ornamental medieval Armenian script where each letter is formed from stylised birds, used in illuminated manuscripts.&lt;/p&gt;</v>
      </c>
      <c r="D57" s="21" t="str">
        <f aca="false">IF(Variants!$B58="","","Karni Jewellery")</f>
        <v>Karni Jewellery</v>
      </c>
      <c r="E57" s="21" t="str">
        <f aca="false">IF(Variants!$B58="","","Apparel &amp; Accessories &gt; Jewelry")</f>
        <v>Apparel &amp; Accessories &gt; Jewelry</v>
      </c>
      <c r="F57" s="21" t="str">
        <f aca="false">IF(Variants!$D58="","",Variants!$D58)</f>
        <v>Pendant</v>
      </c>
      <c r="G57" s="21" t="str">
        <f aca="false">IF(Variants!$E58="","",Variants!$E58&amp;", Armenian jewellery, handmade")</f>
        <v>Alphabet, Armenian jewellery, handmade</v>
      </c>
      <c r="H57" s="21" t="str">
        <f aca="false">IF(Variants!$AD58="Active","TRUE","FALSE")</f>
        <v>TRUE</v>
      </c>
      <c r="I57" s="21" t="str">
        <f aca="false">IF(Variants!$H58="","","Color")</f>
        <v>Color</v>
      </c>
      <c r="J57" s="21" t="str">
        <f aca="false">IF(Variants!$H58="","",Variants!$H58)</f>
        <v>turquoise</v>
      </c>
      <c r="K57" s="21" t="str">
        <f aca="false">IF(Variants!$G58="","","Size")</f>
        <v/>
      </c>
      <c r="L57" s="21" t="str">
        <f aca="false">IF(Variants!$G58="","",Variants!$G58)</f>
        <v/>
      </c>
      <c r="M57" s="21" t="str">
        <f aca="false">Variants!$A58</f>
        <v>KARNI-PEND-ALPHA-CHEH-TURQUOISE</v>
      </c>
      <c r="N57" s="21" t="str">
        <f aca="false">IF(Variants!$X58="","",Variants!$X58)</f>
        <v/>
      </c>
      <c r="O57" s="21" t="n">
        <f aca="false">IF(Variants!$O58="","",Variants!$O58)</f>
        <v>0</v>
      </c>
      <c r="P57" s="18" t="n">
        <f aca="false">IF(Variants!$J58="","",Variants!$J58)</f>
        <v>49.4</v>
      </c>
      <c r="Q57" s="21" t="str">
        <f aca="false">IF(Variants!$U58="","",Variants!$U58)</f>
        <v/>
      </c>
      <c r="R57" s="21" t="str">
        <f aca="false">IF(Variants!$Y58="","",Variants!$Y58)</f>
        <v/>
      </c>
      <c r="S57" s="21" t="n">
        <f aca="false">IFERROR(VLOOKUP(Variants!$B58,Designs!$A$3:$AP$165,37,FALSE()),"")</f>
        <v>0</v>
      </c>
      <c r="T57" s="21" t="str">
        <f aca="false">IFERROR(VLOOKUP(Variants!$B58,Designs!$A$3:$AP$165,38,FALSE()),"")</f>
        <v>No</v>
      </c>
      <c r="U57" s="21" t="str">
        <f aca="false">IF(Variants!$AD58="Active","active","draft")</f>
        <v>active</v>
      </c>
    </row>
    <row r="58" customFormat="false" ht="15.75" hidden="false" customHeight="true" outlineLevel="0" collapsed="false">
      <c r="A58" s="21" t="str">
        <f aca="false">IF(Variants!$B59="","",LOWER(Variants!$B59))</f>
        <v>dsgn-pend-alpha-cheh</v>
      </c>
      <c r="B58" s="21" t="str">
        <f aca="false">IF(Variants!$B59="","",Variants!$C59&amp;IF(Variants!$F59="",""," "&amp;Variants!$F59))</f>
        <v>Bird Letter Pendant Ճ</v>
      </c>
      <c r="C58" s="21" t="str">
        <f aca="false">IFERROR(IF(Variants!$B59="","","&lt;p&gt;"&amp;VLOOKUP(Variants!$B59,Designs!$A$3:$AP$165,9,FALSE())&amp;"&lt;/p&gt;"),"")</f>
        <v>&lt;p&gt;Bird letters are an ornamental medieval Armenian script where each letter is formed from stylised birds, used in illuminated manuscripts.&lt;/p&gt;</v>
      </c>
      <c r="D58" s="21" t="str">
        <f aca="false">IF(Variants!$B59="","","Karni Jewellery")</f>
        <v>Karni Jewellery</v>
      </c>
      <c r="E58" s="21" t="str">
        <f aca="false">IF(Variants!$B59="","","Apparel &amp; Accessories &gt; Jewelry")</f>
        <v>Apparel &amp; Accessories &gt; Jewelry</v>
      </c>
      <c r="F58" s="21" t="str">
        <f aca="false">IF(Variants!$D59="","",Variants!$D59)</f>
        <v>Pendant</v>
      </c>
      <c r="G58" s="21" t="str">
        <f aca="false">IF(Variants!$E59="","",Variants!$E59&amp;", Armenian jewellery, handmade")</f>
        <v>Alphabet, Armenian jewellery, handmade</v>
      </c>
      <c r="H58" s="21" t="str">
        <f aca="false">IF(Variants!$AD59="Active","TRUE","FALSE")</f>
        <v>TRUE</v>
      </c>
      <c r="I58" s="21" t="str">
        <f aca="false">IF(Variants!$H59="","","Color")</f>
        <v>Color</v>
      </c>
      <c r="J58" s="21" t="str">
        <f aca="false">IF(Variants!$H59="","",Variants!$H59)</f>
        <v>white</v>
      </c>
      <c r="K58" s="21" t="str">
        <f aca="false">IF(Variants!$G59="","","Size")</f>
        <v/>
      </c>
      <c r="L58" s="21" t="str">
        <f aca="false">IF(Variants!$G59="","",Variants!$G59)</f>
        <v/>
      </c>
      <c r="M58" s="21" t="str">
        <f aca="false">Variants!$A59</f>
        <v>KARNI-PEND-ALPHA-CHEH-WHITE</v>
      </c>
      <c r="N58" s="21" t="str">
        <f aca="false">IF(Variants!$X59="","",Variants!$X59)</f>
        <v/>
      </c>
      <c r="O58" s="21" t="n">
        <f aca="false">IF(Variants!$O59="","",Variants!$O59)</f>
        <v>0</v>
      </c>
      <c r="P58" s="18" t="n">
        <f aca="false">IF(Variants!$J59="","",Variants!$J59)</f>
        <v>49.4</v>
      </c>
      <c r="Q58" s="21" t="str">
        <f aca="false">IF(Variants!$U59="","",Variants!$U59)</f>
        <v/>
      </c>
      <c r="R58" s="21" t="str">
        <f aca="false">IF(Variants!$Y59="","",Variants!$Y59)</f>
        <v/>
      </c>
      <c r="S58" s="21" t="n">
        <f aca="false">IFERROR(VLOOKUP(Variants!$B59,Designs!$A$3:$AP$165,37,FALSE()),"")</f>
        <v>0</v>
      </c>
      <c r="T58" s="21" t="str">
        <f aca="false">IFERROR(VLOOKUP(Variants!$B59,Designs!$A$3:$AP$165,38,FALSE()),"")</f>
        <v>No</v>
      </c>
      <c r="U58" s="21" t="str">
        <f aca="false">IF(Variants!$AD59="Active","active","draft")</f>
        <v>active</v>
      </c>
    </row>
    <row r="59" customFormat="false" ht="15.75" hidden="false" customHeight="true" outlineLevel="0" collapsed="false">
      <c r="A59" s="21" t="str">
        <f aca="false">IF(Variants!$B60="","",LOWER(Variants!$B60))</f>
        <v>dsgn-pend-alpha-men</v>
      </c>
      <c r="B59" s="21" t="str">
        <f aca="false">IF(Variants!$B60="","",Variants!$C60&amp;IF(Variants!$F60="",""," "&amp;Variants!$F60))</f>
        <v>Bird Letter Pendant Մ</v>
      </c>
      <c r="C59" s="21" t="str">
        <f aca="false">IFERROR(IF(Variants!$B60="","","&lt;p&gt;"&amp;VLOOKUP(Variants!$B60,Designs!$A$3:$AP$165,9,FALSE())&amp;"&lt;/p&gt;"),"")</f>
        <v>&lt;p&gt;Bird letters are an ornamental medieval Armenian script where each letter is formed from stylised birds, used in illuminated manuscripts.&lt;/p&gt;</v>
      </c>
      <c r="D59" s="21" t="str">
        <f aca="false">IF(Variants!$B60="","","Karni Jewellery")</f>
        <v>Karni Jewellery</v>
      </c>
      <c r="E59" s="21" t="str">
        <f aca="false">IF(Variants!$B60="","","Apparel &amp; Accessories &gt; Jewelry")</f>
        <v>Apparel &amp; Accessories &gt; Jewelry</v>
      </c>
      <c r="F59" s="21" t="str">
        <f aca="false">IF(Variants!$D60="","",Variants!$D60)</f>
        <v>Pendant</v>
      </c>
      <c r="G59" s="21" t="str">
        <f aca="false">IF(Variants!$E60="","",Variants!$E60&amp;", Armenian jewellery, handmade")</f>
        <v>Alphabet, Armenian jewellery, handmade</v>
      </c>
      <c r="H59" s="21" t="str">
        <f aca="false">IF(Variants!$AD60="Active","TRUE","FALSE")</f>
        <v>TRUE</v>
      </c>
      <c r="I59" s="21" t="str">
        <f aca="false">IF(Variants!$H60="","","Color")</f>
        <v>Color</v>
      </c>
      <c r="J59" s="21" t="str">
        <f aca="false">IF(Variants!$H60="","",Variants!$H60)</f>
        <v>red</v>
      </c>
      <c r="K59" s="21" t="str">
        <f aca="false">IF(Variants!$G60="","","Size")</f>
        <v/>
      </c>
      <c r="L59" s="21" t="str">
        <f aca="false">IF(Variants!$G60="","",Variants!$G60)</f>
        <v/>
      </c>
      <c r="M59" s="21" t="str">
        <f aca="false">Variants!$A60</f>
        <v>KARNI-PEND-ALPHA-MEN-RED</v>
      </c>
      <c r="N59" s="21" t="str">
        <f aca="false">IF(Variants!$X60="","",Variants!$X60)</f>
        <v/>
      </c>
      <c r="O59" s="21" t="n">
        <f aca="false">IF(Variants!$O60="","",Variants!$O60)</f>
        <v>0</v>
      </c>
      <c r="P59" s="18" t="n">
        <f aca="false">IF(Variants!$J60="","",Variants!$J60)</f>
        <v>49.4</v>
      </c>
      <c r="Q59" s="21" t="str">
        <f aca="false">IF(Variants!$U60="","",Variants!$U60)</f>
        <v/>
      </c>
      <c r="R59" s="21" t="str">
        <f aca="false">IF(Variants!$Y60="","",Variants!$Y60)</f>
        <v/>
      </c>
      <c r="S59" s="21" t="n">
        <f aca="false">IFERROR(VLOOKUP(Variants!$B60,Designs!$A$3:$AP$165,37,FALSE()),"")</f>
        <v>0</v>
      </c>
      <c r="T59" s="21" t="str">
        <f aca="false">IFERROR(VLOOKUP(Variants!$B60,Designs!$A$3:$AP$165,38,FALSE()),"")</f>
        <v>No</v>
      </c>
      <c r="U59" s="21" t="str">
        <f aca="false">IF(Variants!$AD60="Active","active","draft")</f>
        <v>active</v>
      </c>
    </row>
    <row r="60" customFormat="false" ht="15.75" hidden="false" customHeight="true" outlineLevel="0" collapsed="false">
      <c r="A60" s="21" t="str">
        <f aca="false">IF(Variants!$B61="","",LOWER(Variants!$B61))</f>
        <v>dsgn-pend-alpha-men</v>
      </c>
      <c r="B60" s="21" t="str">
        <f aca="false">IF(Variants!$B61="","",Variants!$C61&amp;IF(Variants!$F61="",""," "&amp;Variants!$F61))</f>
        <v>Bird Letter Pendant Մ</v>
      </c>
      <c r="C60" s="21" t="str">
        <f aca="false">IFERROR(IF(Variants!$B61="","","&lt;p&gt;"&amp;VLOOKUP(Variants!$B61,Designs!$A$3:$AP$165,9,FALSE())&amp;"&lt;/p&gt;"),"")</f>
        <v>&lt;p&gt;Bird letters are an ornamental medieval Armenian script where each letter is formed from stylised birds, used in illuminated manuscripts.&lt;/p&gt;</v>
      </c>
      <c r="D60" s="21" t="str">
        <f aca="false">IF(Variants!$B61="","","Karni Jewellery")</f>
        <v>Karni Jewellery</v>
      </c>
      <c r="E60" s="21" t="str">
        <f aca="false">IF(Variants!$B61="","","Apparel &amp; Accessories &gt; Jewelry")</f>
        <v>Apparel &amp; Accessories &gt; Jewelry</v>
      </c>
      <c r="F60" s="21" t="str">
        <f aca="false">IF(Variants!$D61="","",Variants!$D61)</f>
        <v>Pendant</v>
      </c>
      <c r="G60" s="21" t="str">
        <f aca="false">IF(Variants!$E61="","",Variants!$E61&amp;", Armenian jewellery, handmade")</f>
        <v>Alphabet, Armenian jewellery, handmade</v>
      </c>
      <c r="H60" s="21" t="str">
        <f aca="false">IF(Variants!$AD61="Active","TRUE","FALSE")</f>
        <v>TRUE</v>
      </c>
      <c r="I60" s="21" t="str">
        <f aca="false">IF(Variants!$H61="","","Color")</f>
        <v>Color</v>
      </c>
      <c r="J60" s="21" t="str">
        <f aca="false">IF(Variants!$H61="","",Variants!$H61)</f>
        <v>turquoise</v>
      </c>
      <c r="K60" s="21" t="str">
        <f aca="false">IF(Variants!$G61="","","Size")</f>
        <v/>
      </c>
      <c r="L60" s="21" t="str">
        <f aca="false">IF(Variants!$G61="","",Variants!$G61)</f>
        <v/>
      </c>
      <c r="M60" s="21" t="str">
        <f aca="false">Variants!$A61</f>
        <v>KARNI-PEND-ALPHA-MEN-TURQUOISE</v>
      </c>
      <c r="N60" s="21" t="str">
        <f aca="false">IF(Variants!$X61="","",Variants!$X61)</f>
        <v/>
      </c>
      <c r="O60" s="21" t="n">
        <f aca="false">IF(Variants!$O61="","",Variants!$O61)</f>
        <v>0</v>
      </c>
      <c r="P60" s="18" t="n">
        <f aca="false">IF(Variants!$J61="","",Variants!$J61)</f>
        <v>49.4</v>
      </c>
      <c r="Q60" s="21" t="str">
        <f aca="false">IF(Variants!$U61="","",Variants!$U61)</f>
        <v/>
      </c>
      <c r="R60" s="21" t="str">
        <f aca="false">IF(Variants!$Y61="","",Variants!$Y61)</f>
        <v/>
      </c>
      <c r="S60" s="21" t="n">
        <f aca="false">IFERROR(VLOOKUP(Variants!$B61,Designs!$A$3:$AP$165,37,FALSE()),"")</f>
        <v>0</v>
      </c>
      <c r="T60" s="21" t="str">
        <f aca="false">IFERROR(VLOOKUP(Variants!$B61,Designs!$A$3:$AP$165,38,FALSE()),"")</f>
        <v>No</v>
      </c>
      <c r="U60" s="21" t="str">
        <f aca="false">IF(Variants!$AD61="Active","active","draft")</f>
        <v>active</v>
      </c>
    </row>
    <row r="61" customFormat="false" ht="15.75" hidden="false" customHeight="true" outlineLevel="0" collapsed="false">
      <c r="A61" s="21" t="str">
        <f aca="false">IF(Variants!$B62="","",LOWER(Variants!$B62))</f>
        <v>dsgn-pend-alpha-men</v>
      </c>
      <c r="B61" s="21" t="str">
        <f aca="false">IF(Variants!$B62="","",Variants!$C62&amp;IF(Variants!$F62="",""," "&amp;Variants!$F62))</f>
        <v>Bird Letter Pendant Մ</v>
      </c>
      <c r="C61" s="21" t="str">
        <f aca="false">IFERROR(IF(Variants!$B62="","","&lt;p&gt;"&amp;VLOOKUP(Variants!$B62,Designs!$A$3:$AP$165,9,FALSE())&amp;"&lt;/p&gt;"),"")</f>
        <v>&lt;p&gt;Bird letters are an ornamental medieval Armenian script where each letter is formed from stylised birds, used in illuminated manuscripts.&lt;/p&gt;</v>
      </c>
      <c r="D61" s="21" t="str">
        <f aca="false">IF(Variants!$B62="","","Karni Jewellery")</f>
        <v>Karni Jewellery</v>
      </c>
      <c r="E61" s="21" t="str">
        <f aca="false">IF(Variants!$B62="","","Apparel &amp; Accessories &gt; Jewelry")</f>
        <v>Apparel &amp; Accessories &gt; Jewelry</v>
      </c>
      <c r="F61" s="21" t="str">
        <f aca="false">IF(Variants!$D62="","",Variants!$D62)</f>
        <v>Pendant</v>
      </c>
      <c r="G61" s="21" t="str">
        <f aca="false">IF(Variants!$E62="","",Variants!$E62&amp;", Armenian jewellery, handmade")</f>
        <v>Alphabet, Armenian jewellery, handmade</v>
      </c>
      <c r="H61" s="21" t="str">
        <f aca="false">IF(Variants!$AD62="Active","TRUE","FALSE")</f>
        <v>TRUE</v>
      </c>
      <c r="I61" s="21" t="str">
        <f aca="false">IF(Variants!$H62="","","Color")</f>
        <v>Color</v>
      </c>
      <c r="J61" s="21" t="str">
        <f aca="false">IF(Variants!$H62="","",Variants!$H62)</f>
        <v>white</v>
      </c>
      <c r="K61" s="21" t="str">
        <f aca="false">IF(Variants!$G62="","","Size")</f>
        <v/>
      </c>
      <c r="L61" s="21" t="str">
        <f aca="false">IF(Variants!$G62="","",Variants!$G62)</f>
        <v/>
      </c>
      <c r="M61" s="21" t="str">
        <f aca="false">Variants!$A62</f>
        <v>KARNI-PEND-ALPHA-MEN-WHITE</v>
      </c>
      <c r="N61" s="21" t="str">
        <f aca="false">IF(Variants!$X62="","",Variants!$X62)</f>
        <v/>
      </c>
      <c r="O61" s="21" t="n">
        <f aca="false">IF(Variants!$O62="","",Variants!$O62)</f>
        <v>0</v>
      </c>
      <c r="P61" s="18" t="n">
        <f aca="false">IF(Variants!$J62="","",Variants!$J62)</f>
        <v>49.4</v>
      </c>
      <c r="Q61" s="21" t="str">
        <f aca="false">IF(Variants!$U62="","",Variants!$U62)</f>
        <v/>
      </c>
      <c r="R61" s="21" t="str">
        <f aca="false">IF(Variants!$Y62="","",Variants!$Y62)</f>
        <v/>
      </c>
      <c r="S61" s="21" t="n">
        <f aca="false">IFERROR(VLOOKUP(Variants!$B62,Designs!$A$3:$AP$165,37,FALSE()),"")</f>
        <v>0</v>
      </c>
      <c r="T61" s="21" t="str">
        <f aca="false">IFERROR(VLOOKUP(Variants!$B62,Designs!$A$3:$AP$165,38,FALSE()),"")</f>
        <v>No</v>
      </c>
      <c r="U61" s="21" t="str">
        <f aca="false">IF(Variants!$AD62="Active","active","draft")</f>
        <v>active</v>
      </c>
    </row>
    <row r="62" customFormat="false" ht="15.75" hidden="false" customHeight="true" outlineLevel="0" collapsed="false">
      <c r="A62" s="21" t="str">
        <f aca="false">IF(Variants!$B63="","",LOWER(Variants!$B63))</f>
        <v>dsgn-pend-alpha-hi</v>
      </c>
      <c r="B62" s="21" t="str">
        <f aca="false">IF(Variants!$B63="","",Variants!$C63&amp;IF(Variants!$F63="",""," "&amp;Variants!$F63))</f>
        <v>Bird Letter Pendant Յ</v>
      </c>
      <c r="C62" s="21" t="str">
        <f aca="false">IFERROR(IF(Variants!$B63="","","&lt;p&gt;"&amp;VLOOKUP(Variants!$B63,Designs!$A$3:$AP$165,9,FALSE())&amp;"&lt;/p&gt;"),"")</f>
        <v>&lt;p&gt;Bird letters are an ornamental medieval Armenian script where each letter is formed from stylised birds, used in illuminated manuscripts.&lt;/p&gt;</v>
      </c>
      <c r="D62" s="21" t="str">
        <f aca="false">IF(Variants!$B63="","","Karni Jewellery")</f>
        <v>Karni Jewellery</v>
      </c>
      <c r="E62" s="21" t="str">
        <f aca="false">IF(Variants!$B63="","","Apparel &amp; Accessories &gt; Jewelry")</f>
        <v>Apparel &amp; Accessories &gt; Jewelry</v>
      </c>
      <c r="F62" s="21" t="str">
        <f aca="false">IF(Variants!$D63="","",Variants!$D63)</f>
        <v>Pendant</v>
      </c>
      <c r="G62" s="21" t="str">
        <f aca="false">IF(Variants!$E63="","",Variants!$E63&amp;", Armenian jewellery, handmade")</f>
        <v>Alphabet, Armenian jewellery, handmade</v>
      </c>
      <c r="H62" s="21" t="str">
        <f aca="false">IF(Variants!$AD63="Active","TRUE","FALSE")</f>
        <v>TRUE</v>
      </c>
      <c r="I62" s="21" t="str">
        <f aca="false">IF(Variants!$H63="","","Color")</f>
        <v>Color</v>
      </c>
      <c r="J62" s="21" t="str">
        <f aca="false">IF(Variants!$H63="","",Variants!$H63)</f>
        <v>red</v>
      </c>
      <c r="K62" s="21" t="str">
        <f aca="false">IF(Variants!$G63="","","Size")</f>
        <v/>
      </c>
      <c r="L62" s="21" t="str">
        <f aca="false">IF(Variants!$G63="","",Variants!$G63)</f>
        <v/>
      </c>
      <c r="M62" s="21" t="str">
        <f aca="false">Variants!$A63</f>
        <v>KARNI-PEND-ALPHA-HI-RED</v>
      </c>
      <c r="N62" s="21" t="str">
        <f aca="false">IF(Variants!$X63="","",Variants!$X63)</f>
        <v/>
      </c>
      <c r="O62" s="21" t="n">
        <f aca="false">IF(Variants!$O63="","",Variants!$O63)</f>
        <v>0</v>
      </c>
      <c r="P62" s="18" t="n">
        <f aca="false">IF(Variants!$J63="","",Variants!$J63)</f>
        <v>49.4</v>
      </c>
      <c r="Q62" s="21" t="str">
        <f aca="false">IF(Variants!$U63="","",Variants!$U63)</f>
        <v/>
      </c>
      <c r="R62" s="21" t="str">
        <f aca="false">IF(Variants!$Y63="","",Variants!$Y63)</f>
        <v/>
      </c>
      <c r="S62" s="21" t="n">
        <f aca="false">IFERROR(VLOOKUP(Variants!$B63,Designs!$A$3:$AP$165,37,FALSE()),"")</f>
        <v>0</v>
      </c>
      <c r="T62" s="21" t="str">
        <f aca="false">IFERROR(VLOOKUP(Variants!$B63,Designs!$A$3:$AP$165,38,FALSE()),"")</f>
        <v>No</v>
      </c>
      <c r="U62" s="21" t="str">
        <f aca="false">IF(Variants!$AD63="Active","active","draft")</f>
        <v>active</v>
      </c>
    </row>
    <row r="63" customFormat="false" ht="15.75" hidden="false" customHeight="true" outlineLevel="0" collapsed="false">
      <c r="A63" s="21" t="str">
        <f aca="false">IF(Variants!$B64="","",LOWER(Variants!$B64))</f>
        <v>dsgn-pend-alpha-hi</v>
      </c>
      <c r="B63" s="21" t="str">
        <f aca="false">IF(Variants!$B64="","",Variants!$C64&amp;IF(Variants!$F64="",""," "&amp;Variants!$F64))</f>
        <v>Bird Letter Pendant Յ</v>
      </c>
      <c r="C63" s="21" t="str">
        <f aca="false">IFERROR(IF(Variants!$B64="","","&lt;p&gt;"&amp;VLOOKUP(Variants!$B64,Designs!$A$3:$AP$165,9,FALSE())&amp;"&lt;/p&gt;"),"")</f>
        <v>&lt;p&gt;Bird letters are an ornamental medieval Armenian script where each letter is formed from stylised birds, used in illuminated manuscripts.&lt;/p&gt;</v>
      </c>
      <c r="D63" s="21" t="str">
        <f aca="false">IF(Variants!$B64="","","Karni Jewellery")</f>
        <v>Karni Jewellery</v>
      </c>
      <c r="E63" s="21" t="str">
        <f aca="false">IF(Variants!$B64="","","Apparel &amp; Accessories &gt; Jewelry")</f>
        <v>Apparel &amp; Accessories &gt; Jewelry</v>
      </c>
      <c r="F63" s="21" t="str">
        <f aca="false">IF(Variants!$D64="","",Variants!$D64)</f>
        <v>Pendant</v>
      </c>
      <c r="G63" s="21" t="str">
        <f aca="false">IF(Variants!$E64="","",Variants!$E64&amp;", Armenian jewellery, handmade")</f>
        <v>Alphabet, Armenian jewellery, handmade</v>
      </c>
      <c r="H63" s="21" t="str">
        <f aca="false">IF(Variants!$AD64="Active","TRUE","FALSE")</f>
        <v>TRUE</v>
      </c>
      <c r="I63" s="21" t="str">
        <f aca="false">IF(Variants!$H64="","","Color")</f>
        <v>Color</v>
      </c>
      <c r="J63" s="21" t="str">
        <f aca="false">IF(Variants!$H64="","",Variants!$H64)</f>
        <v>turquoise</v>
      </c>
      <c r="K63" s="21" t="str">
        <f aca="false">IF(Variants!$G64="","","Size")</f>
        <v/>
      </c>
      <c r="L63" s="21" t="str">
        <f aca="false">IF(Variants!$G64="","",Variants!$G64)</f>
        <v/>
      </c>
      <c r="M63" s="21" t="str">
        <f aca="false">Variants!$A64</f>
        <v>KARNI-PEND-ALPHA-HI-TURQUOISE</v>
      </c>
      <c r="N63" s="21" t="str">
        <f aca="false">IF(Variants!$X64="","",Variants!$X64)</f>
        <v/>
      </c>
      <c r="O63" s="21" t="n">
        <f aca="false">IF(Variants!$O64="","",Variants!$O64)</f>
        <v>0</v>
      </c>
      <c r="P63" s="18" t="n">
        <f aca="false">IF(Variants!$J64="","",Variants!$J64)</f>
        <v>49.4</v>
      </c>
      <c r="Q63" s="21" t="str">
        <f aca="false">IF(Variants!$U64="","",Variants!$U64)</f>
        <v/>
      </c>
      <c r="R63" s="21" t="str">
        <f aca="false">IF(Variants!$Y64="","",Variants!$Y64)</f>
        <v/>
      </c>
      <c r="S63" s="21" t="n">
        <f aca="false">IFERROR(VLOOKUP(Variants!$B64,Designs!$A$3:$AP$165,37,FALSE()),"")</f>
        <v>0</v>
      </c>
      <c r="T63" s="21" t="str">
        <f aca="false">IFERROR(VLOOKUP(Variants!$B64,Designs!$A$3:$AP$165,38,FALSE()),"")</f>
        <v>No</v>
      </c>
      <c r="U63" s="21" t="str">
        <f aca="false">IF(Variants!$AD64="Active","active","draft")</f>
        <v>active</v>
      </c>
    </row>
    <row r="64" customFormat="false" ht="15.75" hidden="false" customHeight="true" outlineLevel="0" collapsed="false">
      <c r="A64" s="21" t="str">
        <f aca="false">IF(Variants!$B65="","",LOWER(Variants!$B65))</f>
        <v>dsgn-pend-alpha-hi</v>
      </c>
      <c r="B64" s="21" t="str">
        <f aca="false">IF(Variants!$B65="","",Variants!$C65&amp;IF(Variants!$F65="",""," "&amp;Variants!$F65))</f>
        <v>Bird Letter Pendant Յ</v>
      </c>
      <c r="C64" s="21" t="str">
        <f aca="false">IFERROR(IF(Variants!$B65="","","&lt;p&gt;"&amp;VLOOKUP(Variants!$B65,Designs!$A$3:$AP$165,9,FALSE())&amp;"&lt;/p&gt;"),"")</f>
        <v>&lt;p&gt;Bird letters are an ornamental medieval Armenian script where each letter is formed from stylised birds, used in illuminated manuscripts.&lt;/p&gt;</v>
      </c>
      <c r="D64" s="21" t="str">
        <f aca="false">IF(Variants!$B65="","","Karni Jewellery")</f>
        <v>Karni Jewellery</v>
      </c>
      <c r="E64" s="21" t="str">
        <f aca="false">IF(Variants!$B65="","","Apparel &amp; Accessories &gt; Jewelry")</f>
        <v>Apparel &amp; Accessories &gt; Jewelry</v>
      </c>
      <c r="F64" s="21" t="str">
        <f aca="false">IF(Variants!$D65="","",Variants!$D65)</f>
        <v>Pendant</v>
      </c>
      <c r="G64" s="21" t="str">
        <f aca="false">IF(Variants!$E65="","",Variants!$E65&amp;", Armenian jewellery, handmade")</f>
        <v>Alphabet, Armenian jewellery, handmade</v>
      </c>
      <c r="H64" s="21" t="str">
        <f aca="false">IF(Variants!$AD65="Active","TRUE","FALSE")</f>
        <v>TRUE</v>
      </c>
      <c r="I64" s="21" t="str">
        <f aca="false">IF(Variants!$H65="","","Color")</f>
        <v>Color</v>
      </c>
      <c r="J64" s="21" t="str">
        <f aca="false">IF(Variants!$H65="","",Variants!$H65)</f>
        <v>white</v>
      </c>
      <c r="K64" s="21" t="str">
        <f aca="false">IF(Variants!$G65="","","Size")</f>
        <v/>
      </c>
      <c r="L64" s="21" t="str">
        <f aca="false">IF(Variants!$G65="","",Variants!$G65)</f>
        <v/>
      </c>
      <c r="M64" s="21" t="str">
        <f aca="false">Variants!$A65</f>
        <v>KARNI-PEND-ALPHA-HI-WHITE</v>
      </c>
      <c r="N64" s="21" t="str">
        <f aca="false">IF(Variants!$X65="","",Variants!$X65)</f>
        <v/>
      </c>
      <c r="O64" s="21" t="n">
        <f aca="false">IF(Variants!$O65="","",Variants!$O65)</f>
        <v>0</v>
      </c>
      <c r="P64" s="18" t="n">
        <f aca="false">IF(Variants!$J65="","",Variants!$J65)</f>
        <v>49.4</v>
      </c>
      <c r="Q64" s="21" t="str">
        <f aca="false">IF(Variants!$U65="","",Variants!$U65)</f>
        <v/>
      </c>
      <c r="R64" s="21" t="str">
        <f aca="false">IF(Variants!$Y65="","",Variants!$Y65)</f>
        <v/>
      </c>
      <c r="S64" s="21" t="n">
        <f aca="false">IFERROR(VLOOKUP(Variants!$B65,Designs!$A$3:$AP$165,37,FALSE()),"")</f>
        <v>0</v>
      </c>
      <c r="T64" s="21" t="str">
        <f aca="false">IFERROR(VLOOKUP(Variants!$B65,Designs!$A$3:$AP$165,38,FALSE()),"")</f>
        <v>No</v>
      </c>
      <c r="U64" s="21" t="str">
        <f aca="false">IF(Variants!$AD65="Active","active","draft")</f>
        <v>active</v>
      </c>
    </row>
    <row r="65" customFormat="false" ht="15.75" hidden="false" customHeight="true" outlineLevel="0" collapsed="false">
      <c r="A65" s="21" t="str">
        <f aca="false">IF(Variants!$B66="","",LOWER(Variants!$B66))</f>
        <v>dsgn-pend-alpha-nu</v>
      </c>
      <c r="B65" s="21" t="str">
        <f aca="false">IF(Variants!$B66="","",Variants!$C66&amp;IF(Variants!$F66="",""," "&amp;Variants!$F66))</f>
        <v>Bird Letter Pendant Ն</v>
      </c>
      <c r="C65" s="21" t="str">
        <f aca="false">IFERROR(IF(Variants!$B66="","","&lt;p&gt;"&amp;VLOOKUP(Variants!$B66,Designs!$A$3:$AP$165,9,FALSE())&amp;"&lt;/p&gt;"),"")</f>
        <v>&lt;p&gt;Bird letters are an ornamental medieval Armenian script where each letter is formed from stylised birds, used in illuminated manuscripts.&lt;/p&gt;</v>
      </c>
      <c r="D65" s="21" t="str">
        <f aca="false">IF(Variants!$B66="","","Karni Jewellery")</f>
        <v>Karni Jewellery</v>
      </c>
      <c r="E65" s="21" t="str">
        <f aca="false">IF(Variants!$B66="","","Apparel &amp; Accessories &gt; Jewelry")</f>
        <v>Apparel &amp; Accessories &gt; Jewelry</v>
      </c>
      <c r="F65" s="21" t="str">
        <f aca="false">IF(Variants!$D66="","",Variants!$D66)</f>
        <v>Pendant</v>
      </c>
      <c r="G65" s="21" t="str">
        <f aca="false">IF(Variants!$E66="","",Variants!$E66&amp;", Armenian jewellery, handmade")</f>
        <v>Alphabet, Armenian jewellery, handmade</v>
      </c>
      <c r="H65" s="21" t="str">
        <f aca="false">IF(Variants!$AD66="Active","TRUE","FALSE")</f>
        <v>TRUE</v>
      </c>
      <c r="I65" s="21" t="str">
        <f aca="false">IF(Variants!$H66="","","Color")</f>
        <v>Color</v>
      </c>
      <c r="J65" s="21" t="str">
        <f aca="false">IF(Variants!$H66="","",Variants!$H66)</f>
        <v>red</v>
      </c>
      <c r="K65" s="21" t="str">
        <f aca="false">IF(Variants!$G66="","","Size")</f>
        <v/>
      </c>
      <c r="L65" s="21" t="str">
        <f aca="false">IF(Variants!$G66="","",Variants!$G66)</f>
        <v/>
      </c>
      <c r="M65" s="21" t="str">
        <f aca="false">Variants!$A66</f>
        <v>KARNI-PEND-ALPHA-NU-RED</v>
      </c>
      <c r="N65" s="21" t="str">
        <f aca="false">IF(Variants!$X66="","",Variants!$X66)</f>
        <v/>
      </c>
      <c r="O65" s="21" t="n">
        <f aca="false">IF(Variants!$O66="","",Variants!$O66)</f>
        <v>0</v>
      </c>
      <c r="P65" s="18" t="n">
        <f aca="false">IF(Variants!$J66="","",Variants!$J66)</f>
        <v>49.4</v>
      </c>
      <c r="Q65" s="21" t="str">
        <f aca="false">IF(Variants!$U66="","",Variants!$U66)</f>
        <v/>
      </c>
      <c r="R65" s="21" t="str">
        <f aca="false">IF(Variants!$Y66="","",Variants!$Y66)</f>
        <v/>
      </c>
      <c r="S65" s="21" t="n">
        <f aca="false">IFERROR(VLOOKUP(Variants!$B66,Designs!$A$3:$AP$165,37,FALSE()),"")</f>
        <v>0</v>
      </c>
      <c r="T65" s="21" t="str">
        <f aca="false">IFERROR(VLOOKUP(Variants!$B66,Designs!$A$3:$AP$165,38,FALSE()),"")</f>
        <v>No</v>
      </c>
      <c r="U65" s="21" t="str">
        <f aca="false">IF(Variants!$AD66="Active","active","draft")</f>
        <v>active</v>
      </c>
    </row>
    <row r="66" customFormat="false" ht="15.75" hidden="false" customHeight="true" outlineLevel="0" collapsed="false">
      <c r="A66" s="21" t="str">
        <f aca="false">IF(Variants!$B67="","",LOWER(Variants!$B67))</f>
        <v>dsgn-pend-alpha-nu</v>
      </c>
      <c r="B66" s="21" t="str">
        <f aca="false">IF(Variants!$B67="","",Variants!$C67&amp;IF(Variants!$F67="",""," "&amp;Variants!$F67))</f>
        <v>Bird Letter Pendant Ն</v>
      </c>
      <c r="C66" s="21" t="str">
        <f aca="false">IFERROR(IF(Variants!$B67="","","&lt;p&gt;"&amp;VLOOKUP(Variants!$B67,Designs!$A$3:$AP$165,9,FALSE())&amp;"&lt;/p&gt;"),"")</f>
        <v>&lt;p&gt;Bird letters are an ornamental medieval Armenian script where each letter is formed from stylised birds, used in illuminated manuscripts.&lt;/p&gt;</v>
      </c>
      <c r="D66" s="21" t="str">
        <f aca="false">IF(Variants!$B67="","","Karni Jewellery")</f>
        <v>Karni Jewellery</v>
      </c>
      <c r="E66" s="21" t="str">
        <f aca="false">IF(Variants!$B67="","","Apparel &amp; Accessories &gt; Jewelry")</f>
        <v>Apparel &amp; Accessories &gt; Jewelry</v>
      </c>
      <c r="F66" s="21" t="str">
        <f aca="false">IF(Variants!$D67="","",Variants!$D67)</f>
        <v>Pendant</v>
      </c>
      <c r="G66" s="21" t="str">
        <f aca="false">IF(Variants!$E67="","",Variants!$E67&amp;", Armenian jewellery, handmade")</f>
        <v>Alphabet, Armenian jewellery, handmade</v>
      </c>
      <c r="H66" s="21" t="str">
        <f aca="false">IF(Variants!$AD67="Active","TRUE","FALSE")</f>
        <v>TRUE</v>
      </c>
      <c r="I66" s="21" t="str">
        <f aca="false">IF(Variants!$H67="","","Color")</f>
        <v>Color</v>
      </c>
      <c r="J66" s="21" t="str">
        <f aca="false">IF(Variants!$H67="","",Variants!$H67)</f>
        <v>turquoise</v>
      </c>
      <c r="K66" s="21" t="str">
        <f aca="false">IF(Variants!$G67="","","Size")</f>
        <v/>
      </c>
      <c r="L66" s="21" t="str">
        <f aca="false">IF(Variants!$G67="","",Variants!$G67)</f>
        <v/>
      </c>
      <c r="M66" s="21" t="str">
        <f aca="false">Variants!$A67</f>
        <v>KARNI-PEND-ALPHA-NU-TURQUOISE</v>
      </c>
      <c r="N66" s="21" t="str">
        <f aca="false">IF(Variants!$X67="","",Variants!$X67)</f>
        <v/>
      </c>
      <c r="O66" s="21" t="n">
        <f aca="false">IF(Variants!$O67="","",Variants!$O67)</f>
        <v>0</v>
      </c>
      <c r="P66" s="18" t="n">
        <f aca="false">IF(Variants!$J67="","",Variants!$J67)</f>
        <v>49.4</v>
      </c>
      <c r="Q66" s="21" t="str">
        <f aca="false">IF(Variants!$U67="","",Variants!$U67)</f>
        <v/>
      </c>
      <c r="R66" s="21" t="str">
        <f aca="false">IF(Variants!$Y67="","",Variants!$Y67)</f>
        <v/>
      </c>
      <c r="S66" s="21" t="n">
        <f aca="false">IFERROR(VLOOKUP(Variants!$B67,Designs!$A$3:$AP$165,37,FALSE()),"")</f>
        <v>0</v>
      </c>
      <c r="T66" s="21" t="str">
        <f aca="false">IFERROR(VLOOKUP(Variants!$B67,Designs!$A$3:$AP$165,38,FALSE()),"")</f>
        <v>No</v>
      </c>
      <c r="U66" s="21" t="str">
        <f aca="false">IF(Variants!$AD67="Active","active","draft")</f>
        <v>active</v>
      </c>
    </row>
    <row r="67" customFormat="false" ht="15.75" hidden="false" customHeight="true" outlineLevel="0" collapsed="false">
      <c r="A67" s="21" t="str">
        <f aca="false">IF(Variants!$B68="","",LOWER(Variants!$B68))</f>
        <v>dsgn-pend-alpha-nu</v>
      </c>
      <c r="B67" s="21" t="str">
        <f aca="false">IF(Variants!$B68="","",Variants!$C68&amp;IF(Variants!$F68="",""," "&amp;Variants!$F68))</f>
        <v>Bird Letter Pendant Ն</v>
      </c>
      <c r="C67" s="21" t="str">
        <f aca="false">IFERROR(IF(Variants!$B68="","","&lt;p&gt;"&amp;VLOOKUP(Variants!$B68,Designs!$A$3:$AP$165,9,FALSE())&amp;"&lt;/p&gt;"),"")</f>
        <v>&lt;p&gt;Bird letters are an ornamental medieval Armenian script where each letter is formed from stylised birds, used in illuminated manuscripts.&lt;/p&gt;</v>
      </c>
      <c r="D67" s="21" t="str">
        <f aca="false">IF(Variants!$B68="","","Karni Jewellery")</f>
        <v>Karni Jewellery</v>
      </c>
      <c r="E67" s="21" t="str">
        <f aca="false">IF(Variants!$B68="","","Apparel &amp; Accessories &gt; Jewelry")</f>
        <v>Apparel &amp; Accessories &gt; Jewelry</v>
      </c>
      <c r="F67" s="21" t="str">
        <f aca="false">IF(Variants!$D68="","",Variants!$D68)</f>
        <v>Pendant</v>
      </c>
      <c r="G67" s="21" t="str">
        <f aca="false">IF(Variants!$E68="","",Variants!$E68&amp;", Armenian jewellery, handmade")</f>
        <v>Alphabet, Armenian jewellery, handmade</v>
      </c>
      <c r="H67" s="21" t="str">
        <f aca="false">IF(Variants!$AD68="Active","TRUE","FALSE")</f>
        <v>TRUE</v>
      </c>
      <c r="I67" s="21" t="str">
        <f aca="false">IF(Variants!$H68="","","Color")</f>
        <v>Color</v>
      </c>
      <c r="J67" s="21" t="str">
        <f aca="false">IF(Variants!$H68="","",Variants!$H68)</f>
        <v>white</v>
      </c>
      <c r="K67" s="21" t="str">
        <f aca="false">IF(Variants!$G68="","","Size")</f>
        <v/>
      </c>
      <c r="L67" s="21" t="str">
        <f aca="false">IF(Variants!$G68="","",Variants!$G68)</f>
        <v/>
      </c>
      <c r="M67" s="21" t="str">
        <f aca="false">Variants!$A68</f>
        <v>KARNI-PEND-ALPHA-NU-WHITE</v>
      </c>
      <c r="N67" s="21" t="str">
        <f aca="false">IF(Variants!$X68="","",Variants!$X68)</f>
        <v/>
      </c>
      <c r="O67" s="21" t="n">
        <f aca="false">IF(Variants!$O68="","",Variants!$O68)</f>
        <v>0</v>
      </c>
      <c r="P67" s="18" t="n">
        <f aca="false">IF(Variants!$J68="","",Variants!$J68)</f>
        <v>49.4</v>
      </c>
      <c r="Q67" s="21" t="str">
        <f aca="false">IF(Variants!$U68="","",Variants!$U68)</f>
        <v/>
      </c>
      <c r="R67" s="21" t="str">
        <f aca="false">IF(Variants!$Y68="","",Variants!$Y68)</f>
        <v/>
      </c>
      <c r="S67" s="21" t="n">
        <f aca="false">IFERROR(VLOOKUP(Variants!$B68,Designs!$A$3:$AP$165,37,FALSE()),"")</f>
        <v>0</v>
      </c>
      <c r="T67" s="21" t="str">
        <f aca="false">IFERROR(VLOOKUP(Variants!$B68,Designs!$A$3:$AP$165,38,FALSE()),"")</f>
        <v>No</v>
      </c>
      <c r="U67" s="21" t="str">
        <f aca="false">IF(Variants!$AD68="Active","active","draft")</f>
        <v>active</v>
      </c>
    </row>
    <row r="68" customFormat="false" ht="15.75" hidden="false" customHeight="true" outlineLevel="0" collapsed="false">
      <c r="A68" s="21" t="str">
        <f aca="false">IF(Variants!$B69="","",LOWER(Variants!$B69))</f>
        <v>dsgn-pend-alpha-sha</v>
      </c>
      <c r="B68" s="21" t="str">
        <f aca="false">IF(Variants!$B69="","",Variants!$C69&amp;IF(Variants!$F69="",""," "&amp;Variants!$F69))</f>
        <v>Bird Letter Pendant Շ</v>
      </c>
      <c r="C68" s="21" t="str">
        <f aca="false">IFERROR(IF(Variants!$B69="","","&lt;p&gt;"&amp;VLOOKUP(Variants!$B69,Designs!$A$3:$AP$165,9,FALSE())&amp;"&lt;/p&gt;"),"")</f>
        <v>&lt;p&gt;Bird letters are an ornamental medieval Armenian script where each letter is formed from stylised birds, used in illuminated manuscripts.&lt;/p&gt;</v>
      </c>
      <c r="D68" s="21" t="str">
        <f aca="false">IF(Variants!$B69="","","Karni Jewellery")</f>
        <v>Karni Jewellery</v>
      </c>
      <c r="E68" s="21" t="str">
        <f aca="false">IF(Variants!$B69="","","Apparel &amp; Accessories &gt; Jewelry")</f>
        <v>Apparel &amp; Accessories &gt; Jewelry</v>
      </c>
      <c r="F68" s="21" t="str">
        <f aca="false">IF(Variants!$D69="","",Variants!$D69)</f>
        <v>Pendant</v>
      </c>
      <c r="G68" s="21" t="str">
        <f aca="false">IF(Variants!$E69="","",Variants!$E69&amp;", Armenian jewellery, handmade")</f>
        <v>Alphabet, Armenian jewellery, handmade</v>
      </c>
      <c r="H68" s="21" t="str">
        <f aca="false">IF(Variants!$AD69="Active","TRUE","FALSE")</f>
        <v>TRUE</v>
      </c>
      <c r="I68" s="21" t="str">
        <f aca="false">IF(Variants!$H69="","","Color")</f>
        <v>Color</v>
      </c>
      <c r="J68" s="21" t="str">
        <f aca="false">IF(Variants!$H69="","",Variants!$H69)</f>
        <v>red</v>
      </c>
      <c r="K68" s="21" t="str">
        <f aca="false">IF(Variants!$G69="","","Size")</f>
        <v/>
      </c>
      <c r="L68" s="21" t="str">
        <f aca="false">IF(Variants!$G69="","",Variants!$G69)</f>
        <v/>
      </c>
      <c r="M68" s="21" t="str">
        <f aca="false">Variants!$A69</f>
        <v>KARNI-PEND-ALPHA-SHA-RED</v>
      </c>
      <c r="N68" s="21" t="str">
        <f aca="false">IF(Variants!$X69="","",Variants!$X69)</f>
        <v/>
      </c>
      <c r="O68" s="21" t="n">
        <f aca="false">IF(Variants!$O69="","",Variants!$O69)</f>
        <v>0</v>
      </c>
      <c r="P68" s="18" t="n">
        <f aca="false">IF(Variants!$J69="","",Variants!$J69)</f>
        <v>49.4</v>
      </c>
      <c r="Q68" s="21" t="str">
        <f aca="false">IF(Variants!$U69="","",Variants!$U69)</f>
        <v/>
      </c>
      <c r="R68" s="21" t="str">
        <f aca="false">IF(Variants!$Y69="","",Variants!$Y69)</f>
        <v/>
      </c>
      <c r="S68" s="21" t="n">
        <f aca="false">IFERROR(VLOOKUP(Variants!$B69,Designs!$A$3:$AP$165,37,FALSE()),"")</f>
        <v>0</v>
      </c>
      <c r="T68" s="21" t="str">
        <f aca="false">IFERROR(VLOOKUP(Variants!$B69,Designs!$A$3:$AP$165,38,FALSE()),"")</f>
        <v>No</v>
      </c>
      <c r="U68" s="21" t="str">
        <f aca="false">IF(Variants!$AD69="Active","active","draft")</f>
        <v>active</v>
      </c>
    </row>
    <row r="69" customFormat="false" ht="15.75" hidden="false" customHeight="true" outlineLevel="0" collapsed="false">
      <c r="A69" s="21" t="str">
        <f aca="false">IF(Variants!$B70="","",LOWER(Variants!$B70))</f>
        <v>dsgn-pend-alpha-sha</v>
      </c>
      <c r="B69" s="21" t="str">
        <f aca="false">IF(Variants!$B70="","",Variants!$C70&amp;IF(Variants!$F70="",""," "&amp;Variants!$F70))</f>
        <v>Bird Letter Pendant Շ</v>
      </c>
      <c r="C69" s="21" t="str">
        <f aca="false">IFERROR(IF(Variants!$B70="","","&lt;p&gt;"&amp;VLOOKUP(Variants!$B70,Designs!$A$3:$AP$165,9,FALSE())&amp;"&lt;/p&gt;"),"")</f>
        <v>&lt;p&gt;Bird letters are an ornamental medieval Armenian script where each letter is formed from stylised birds, used in illuminated manuscripts.&lt;/p&gt;</v>
      </c>
      <c r="D69" s="21" t="str">
        <f aca="false">IF(Variants!$B70="","","Karni Jewellery")</f>
        <v>Karni Jewellery</v>
      </c>
      <c r="E69" s="21" t="str">
        <f aca="false">IF(Variants!$B70="","","Apparel &amp; Accessories &gt; Jewelry")</f>
        <v>Apparel &amp; Accessories &gt; Jewelry</v>
      </c>
      <c r="F69" s="21" t="str">
        <f aca="false">IF(Variants!$D70="","",Variants!$D70)</f>
        <v>Pendant</v>
      </c>
      <c r="G69" s="21" t="str">
        <f aca="false">IF(Variants!$E70="","",Variants!$E70&amp;", Armenian jewellery, handmade")</f>
        <v>Alphabet, Armenian jewellery, handmade</v>
      </c>
      <c r="H69" s="21" t="str">
        <f aca="false">IF(Variants!$AD70="Active","TRUE","FALSE")</f>
        <v>TRUE</v>
      </c>
      <c r="I69" s="21" t="str">
        <f aca="false">IF(Variants!$H70="","","Color")</f>
        <v>Color</v>
      </c>
      <c r="J69" s="21" t="str">
        <f aca="false">IF(Variants!$H70="","",Variants!$H70)</f>
        <v>turquoise</v>
      </c>
      <c r="K69" s="21" t="str">
        <f aca="false">IF(Variants!$G70="","","Size")</f>
        <v/>
      </c>
      <c r="L69" s="21" t="str">
        <f aca="false">IF(Variants!$G70="","",Variants!$G70)</f>
        <v/>
      </c>
      <c r="M69" s="21" t="str">
        <f aca="false">Variants!$A70</f>
        <v>KARNI-PEND-ALPHA-SHA-TURQUOISE</v>
      </c>
      <c r="N69" s="21" t="str">
        <f aca="false">IF(Variants!$X70="","",Variants!$X70)</f>
        <v/>
      </c>
      <c r="O69" s="21" t="n">
        <f aca="false">IF(Variants!$O70="","",Variants!$O70)</f>
        <v>0</v>
      </c>
      <c r="P69" s="18" t="n">
        <f aca="false">IF(Variants!$J70="","",Variants!$J70)</f>
        <v>49.4</v>
      </c>
      <c r="Q69" s="21" t="str">
        <f aca="false">IF(Variants!$U70="","",Variants!$U70)</f>
        <v/>
      </c>
      <c r="R69" s="21" t="str">
        <f aca="false">IF(Variants!$Y70="","",Variants!$Y70)</f>
        <v/>
      </c>
      <c r="S69" s="21" t="n">
        <f aca="false">IFERROR(VLOOKUP(Variants!$B70,Designs!$A$3:$AP$165,37,FALSE()),"")</f>
        <v>0</v>
      </c>
      <c r="T69" s="21" t="str">
        <f aca="false">IFERROR(VLOOKUP(Variants!$B70,Designs!$A$3:$AP$165,38,FALSE()),"")</f>
        <v>No</v>
      </c>
      <c r="U69" s="21" t="str">
        <f aca="false">IF(Variants!$AD70="Active","active","draft")</f>
        <v>active</v>
      </c>
    </row>
    <row r="70" customFormat="false" ht="15.75" hidden="false" customHeight="true" outlineLevel="0" collapsed="false">
      <c r="A70" s="21" t="str">
        <f aca="false">IF(Variants!$B71="","",LOWER(Variants!$B71))</f>
        <v>dsgn-pend-alpha-sha</v>
      </c>
      <c r="B70" s="21" t="str">
        <f aca="false">IF(Variants!$B71="","",Variants!$C71&amp;IF(Variants!$F71="",""," "&amp;Variants!$F71))</f>
        <v>Bird Letter Pendant Շ</v>
      </c>
      <c r="C70" s="21" t="str">
        <f aca="false">IFERROR(IF(Variants!$B71="","","&lt;p&gt;"&amp;VLOOKUP(Variants!$B71,Designs!$A$3:$AP$165,9,FALSE())&amp;"&lt;/p&gt;"),"")</f>
        <v>&lt;p&gt;Bird letters are an ornamental medieval Armenian script where each letter is formed from stylised birds, used in illuminated manuscripts.&lt;/p&gt;</v>
      </c>
      <c r="D70" s="21" t="str">
        <f aca="false">IF(Variants!$B71="","","Karni Jewellery")</f>
        <v>Karni Jewellery</v>
      </c>
      <c r="E70" s="21" t="str">
        <f aca="false">IF(Variants!$B71="","","Apparel &amp; Accessories &gt; Jewelry")</f>
        <v>Apparel &amp; Accessories &gt; Jewelry</v>
      </c>
      <c r="F70" s="21" t="str">
        <f aca="false">IF(Variants!$D71="","",Variants!$D71)</f>
        <v>Pendant</v>
      </c>
      <c r="G70" s="21" t="str">
        <f aca="false">IF(Variants!$E71="","",Variants!$E71&amp;", Armenian jewellery, handmade")</f>
        <v>Alphabet, Armenian jewellery, handmade</v>
      </c>
      <c r="H70" s="21" t="str">
        <f aca="false">IF(Variants!$AD71="Active","TRUE","FALSE")</f>
        <v>TRUE</v>
      </c>
      <c r="I70" s="21" t="str">
        <f aca="false">IF(Variants!$H71="","","Color")</f>
        <v>Color</v>
      </c>
      <c r="J70" s="21" t="str">
        <f aca="false">IF(Variants!$H71="","",Variants!$H71)</f>
        <v>white</v>
      </c>
      <c r="K70" s="21" t="str">
        <f aca="false">IF(Variants!$G71="","","Size")</f>
        <v/>
      </c>
      <c r="L70" s="21" t="str">
        <f aca="false">IF(Variants!$G71="","",Variants!$G71)</f>
        <v/>
      </c>
      <c r="M70" s="21" t="str">
        <f aca="false">Variants!$A71</f>
        <v>KARNI-PEND-ALPHA-SHA-WHITE</v>
      </c>
      <c r="N70" s="21" t="str">
        <f aca="false">IF(Variants!$X71="","",Variants!$X71)</f>
        <v/>
      </c>
      <c r="O70" s="21" t="n">
        <f aca="false">IF(Variants!$O71="","",Variants!$O71)</f>
        <v>0</v>
      </c>
      <c r="P70" s="18" t="n">
        <f aca="false">IF(Variants!$J71="","",Variants!$J71)</f>
        <v>49.4</v>
      </c>
      <c r="Q70" s="21" t="str">
        <f aca="false">IF(Variants!$U71="","",Variants!$U71)</f>
        <v/>
      </c>
      <c r="R70" s="21" t="str">
        <f aca="false">IF(Variants!$Y71="","",Variants!$Y71)</f>
        <v/>
      </c>
      <c r="S70" s="21" t="n">
        <f aca="false">IFERROR(VLOOKUP(Variants!$B71,Designs!$A$3:$AP$165,37,FALSE()),"")</f>
        <v>0</v>
      </c>
      <c r="T70" s="21" t="str">
        <f aca="false">IFERROR(VLOOKUP(Variants!$B71,Designs!$A$3:$AP$165,38,FALSE()),"")</f>
        <v>No</v>
      </c>
      <c r="U70" s="21" t="str">
        <f aca="false">IF(Variants!$AD71="Active","active","draft")</f>
        <v>active</v>
      </c>
    </row>
    <row r="71" customFormat="false" ht="15.75" hidden="false" customHeight="true" outlineLevel="0" collapsed="false">
      <c r="A71" s="21" t="str">
        <f aca="false">IF(Variants!$B72="","",LOWER(Variants!$B72))</f>
        <v>dsgn-pend-alpha-vo</v>
      </c>
      <c r="B71" s="21" t="str">
        <f aca="false">IF(Variants!$B72="","",Variants!$C72&amp;IF(Variants!$F72="",""," "&amp;Variants!$F72))</f>
        <v>Bird Letter Pendant Ո</v>
      </c>
      <c r="C71" s="21" t="str">
        <f aca="false">IFERROR(IF(Variants!$B72="","","&lt;p&gt;"&amp;VLOOKUP(Variants!$B72,Designs!$A$3:$AP$165,9,FALSE())&amp;"&lt;/p&gt;"),"")</f>
        <v>&lt;p&gt;Bird letters are an ornamental medieval Armenian script where each letter is formed from stylised birds, used in illuminated manuscripts.&lt;/p&gt;</v>
      </c>
      <c r="D71" s="21" t="str">
        <f aca="false">IF(Variants!$B72="","","Karni Jewellery")</f>
        <v>Karni Jewellery</v>
      </c>
      <c r="E71" s="21" t="str">
        <f aca="false">IF(Variants!$B72="","","Apparel &amp; Accessories &gt; Jewelry")</f>
        <v>Apparel &amp; Accessories &gt; Jewelry</v>
      </c>
      <c r="F71" s="21" t="str">
        <f aca="false">IF(Variants!$D72="","",Variants!$D72)</f>
        <v>Pendant</v>
      </c>
      <c r="G71" s="21" t="str">
        <f aca="false">IF(Variants!$E72="","",Variants!$E72&amp;", Armenian jewellery, handmade")</f>
        <v>Alphabet, Armenian jewellery, handmade</v>
      </c>
      <c r="H71" s="21" t="str">
        <f aca="false">IF(Variants!$AD72="Active","TRUE","FALSE")</f>
        <v>TRUE</v>
      </c>
      <c r="I71" s="21" t="str">
        <f aca="false">IF(Variants!$H72="","","Color")</f>
        <v>Color</v>
      </c>
      <c r="J71" s="21" t="str">
        <f aca="false">IF(Variants!$H72="","",Variants!$H72)</f>
        <v>red</v>
      </c>
      <c r="K71" s="21" t="str">
        <f aca="false">IF(Variants!$G72="","","Size")</f>
        <v/>
      </c>
      <c r="L71" s="21" t="str">
        <f aca="false">IF(Variants!$G72="","",Variants!$G72)</f>
        <v/>
      </c>
      <c r="M71" s="21" t="str">
        <f aca="false">Variants!$A72</f>
        <v>KARNI-PEND-ALPHA-VO-RED</v>
      </c>
      <c r="N71" s="21" t="str">
        <f aca="false">IF(Variants!$X72="","",Variants!$X72)</f>
        <v/>
      </c>
      <c r="O71" s="21" t="n">
        <f aca="false">IF(Variants!$O72="","",Variants!$O72)</f>
        <v>0</v>
      </c>
      <c r="P71" s="18" t="n">
        <f aca="false">IF(Variants!$J72="","",Variants!$J72)</f>
        <v>49.4</v>
      </c>
      <c r="Q71" s="21" t="str">
        <f aca="false">IF(Variants!$U72="","",Variants!$U72)</f>
        <v/>
      </c>
      <c r="R71" s="21" t="str">
        <f aca="false">IF(Variants!$Y72="","",Variants!$Y72)</f>
        <v/>
      </c>
      <c r="S71" s="21" t="n">
        <f aca="false">IFERROR(VLOOKUP(Variants!$B72,Designs!$A$3:$AP$165,37,FALSE()),"")</f>
        <v>0</v>
      </c>
      <c r="T71" s="21" t="str">
        <f aca="false">IFERROR(VLOOKUP(Variants!$B72,Designs!$A$3:$AP$165,38,FALSE()),"")</f>
        <v>No</v>
      </c>
      <c r="U71" s="21" t="str">
        <f aca="false">IF(Variants!$AD72="Active","active","draft")</f>
        <v>active</v>
      </c>
    </row>
    <row r="72" customFormat="false" ht="15.75" hidden="false" customHeight="true" outlineLevel="0" collapsed="false">
      <c r="A72" s="21" t="str">
        <f aca="false">IF(Variants!$B73="","",LOWER(Variants!$B73))</f>
        <v>dsgn-pend-alpha-vo</v>
      </c>
      <c r="B72" s="21" t="str">
        <f aca="false">IF(Variants!$B73="","",Variants!$C73&amp;IF(Variants!$F73="",""," "&amp;Variants!$F73))</f>
        <v>Bird Letter Pendant Ո</v>
      </c>
      <c r="C72" s="21" t="str">
        <f aca="false">IFERROR(IF(Variants!$B73="","","&lt;p&gt;"&amp;VLOOKUP(Variants!$B73,Designs!$A$3:$AP$165,9,FALSE())&amp;"&lt;/p&gt;"),"")</f>
        <v>&lt;p&gt;Bird letters are an ornamental medieval Armenian script where each letter is formed from stylised birds, used in illuminated manuscripts.&lt;/p&gt;</v>
      </c>
      <c r="D72" s="21" t="str">
        <f aca="false">IF(Variants!$B73="","","Karni Jewellery")</f>
        <v>Karni Jewellery</v>
      </c>
      <c r="E72" s="21" t="str">
        <f aca="false">IF(Variants!$B73="","","Apparel &amp; Accessories &gt; Jewelry")</f>
        <v>Apparel &amp; Accessories &gt; Jewelry</v>
      </c>
      <c r="F72" s="21" t="str">
        <f aca="false">IF(Variants!$D73="","",Variants!$D73)</f>
        <v>Pendant</v>
      </c>
      <c r="G72" s="21" t="str">
        <f aca="false">IF(Variants!$E73="","",Variants!$E73&amp;", Armenian jewellery, handmade")</f>
        <v>Alphabet, Armenian jewellery, handmade</v>
      </c>
      <c r="H72" s="21" t="str">
        <f aca="false">IF(Variants!$AD73="Active","TRUE","FALSE")</f>
        <v>TRUE</v>
      </c>
      <c r="I72" s="21" t="str">
        <f aca="false">IF(Variants!$H73="","","Color")</f>
        <v>Color</v>
      </c>
      <c r="J72" s="21" t="str">
        <f aca="false">IF(Variants!$H73="","",Variants!$H73)</f>
        <v>turquoise</v>
      </c>
      <c r="K72" s="21" t="str">
        <f aca="false">IF(Variants!$G73="","","Size")</f>
        <v/>
      </c>
      <c r="L72" s="21" t="str">
        <f aca="false">IF(Variants!$G73="","",Variants!$G73)</f>
        <v/>
      </c>
      <c r="M72" s="21" t="str">
        <f aca="false">Variants!$A73</f>
        <v>KARNI-PEND-ALPHA-VO-TURQUOISE</v>
      </c>
      <c r="N72" s="21" t="str">
        <f aca="false">IF(Variants!$X73="","",Variants!$X73)</f>
        <v/>
      </c>
      <c r="O72" s="21" t="n">
        <f aca="false">IF(Variants!$O73="","",Variants!$O73)</f>
        <v>0</v>
      </c>
      <c r="P72" s="18" t="n">
        <f aca="false">IF(Variants!$J73="","",Variants!$J73)</f>
        <v>49.4</v>
      </c>
      <c r="Q72" s="21" t="str">
        <f aca="false">IF(Variants!$U73="","",Variants!$U73)</f>
        <v/>
      </c>
      <c r="R72" s="21" t="str">
        <f aca="false">IF(Variants!$Y73="","",Variants!$Y73)</f>
        <v/>
      </c>
      <c r="S72" s="21" t="n">
        <f aca="false">IFERROR(VLOOKUP(Variants!$B73,Designs!$A$3:$AP$165,37,FALSE()),"")</f>
        <v>0</v>
      </c>
      <c r="T72" s="21" t="str">
        <f aca="false">IFERROR(VLOOKUP(Variants!$B73,Designs!$A$3:$AP$165,38,FALSE()),"")</f>
        <v>No</v>
      </c>
      <c r="U72" s="21" t="str">
        <f aca="false">IF(Variants!$AD73="Active","active","draft")</f>
        <v>active</v>
      </c>
    </row>
    <row r="73" customFormat="false" ht="15.75" hidden="false" customHeight="true" outlineLevel="0" collapsed="false">
      <c r="A73" s="21" t="str">
        <f aca="false">IF(Variants!$B74="","",LOWER(Variants!$B74))</f>
        <v>dsgn-pend-alpha-vo</v>
      </c>
      <c r="B73" s="21" t="str">
        <f aca="false">IF(Variants!$B74="","",Variants!$C74&amp;IF(Variants!$F74="",""," "&amp;Variants!$F74))</f>
        <v>Bird Letter Pendant Ո</v>
      </c>
      <c r="C73" s="21" t="str">
        <f aca="false">IFERROR(IF(Variants!$B74="","","&lt;p&gt;"&amp;VLOOKUP(Variants!$B74,Designs!$A$3:$AP$165,9,FALSE())&amp;"&lt;/p&gt;"),"")</f>
        <v>&lt;p&gt;Bird letters are an ornamental medieval Armenian script where each letter is formed from stylised birds, used in illuminated manuscripts.&lt;/p&gt;</v>
      </c>
      <c r="D73" s="21" t="str">
        <f aca="false">IF(Variants!$B74="","","Karni Jewellery")</f>
        <v>Karni Jewellery</v>
      </c>
      <c r="E73" s="21" t="str">
        <f aca="false">IF(Variants!$B74="","","Apparel &amp; Accessories &gt; Jewelry")</f>
        <v>Apparel &amp; Accessories &gt; Jewelry</v>
      </c>
      <c r="F73" s="21" t="str">
        <f aca="false">IF(Variants!$D74="","",Variants!$D74)</f>
        <v>Pendant</v>
      </c>
      <c r="G73" s="21" t="str">
        <f aca="false">IF(Variants!$E74="","",Variants!$E74&amp;", Armenian jewellery, handmade")</f>
        <v>Alphabet, Armenian jewellery, handmade</v>
      </c>
      <c r="H73" s="21" t="str">
        <f aca="false">IF(Variants!$AD74="Active","TRUE","FALSE")</f>
        <v>TRUE</v>
      </c>
      <c r="I73" s="21" t="str">
        <f aca="false">IF(Variants!$H74="","","Color")</f>
        <v>Color</v>
      </c>
      <c r="J73" s="21" t="str">
        <f aca="false">IF(Variants!$H74="","",Variants!$H74)</f>
        <v>white</v>
      </c>
      <c r="K73" s="21" t="str">
        <f aca="false">IF(Variants!$G74="","","Size")</f>
        <v/>
      </c>
      <c r="L73" s="21" t="str">
        <f aca="false">IF(Variants!$G74="","",Variants!$G74)</f>
        <v/>
      </c>
      <c r="M73" s="21" t="str">
        <f aca="false">Variants!$A74</f>
        <v>KARNI-PEND-ALPHA-VO-WHITE</v>
      </c>
      <c r="N73" s="21" t="str">
        <f aca="false">IF(Variants!$X74="","",Variants!$X74)</f>
        <v/>
      </c>
      <c r="O73" s="21" t="n">
        <f aca="false">IF(Variants!$O74="","",Variants!$O74)</f>
        <v>0</v>
      </c>
      <c r="P73" s="18" t="n">
        <f aca="false">IF(Variants!$J74="","",Variants!$J74)</f>
        <v>49.4</v>
      </c>
      <c r="Q73" s="21" t="str">
        <f aca="false">IF(Variants!$U74="","",Variants!$U74)</f>
        <v/>
      </c>
      <c r="R73" s="21" t="str">
        <f aca="false">IF(Variants!$Y74="","",Variants!$Y74)</f>
        <v/>
      </c>
      <c r="S73" s="21" t="n">
        <f aca="false">IFERROR(VLOOKUP(Variants!$B74,Designs!$A$3:$AP$165,37,FALSE()),"")</f>
        <v>0</v>
      </c>
      <c r="T73" s="21" t="str">
        <f aca="false">IFERROR(VLOOKUP(Variants!$B74,Designs!$A$3:$AP$165,38,FALSE()),"")</f>
        <v>No</v>
      </c>
      <c r="U73" s="21" t="str">
        <f aca="false">IF(Variants!$AD74="Active","active","draft")</f>
        <v>active</v>
      </c>
    </row>
    <row r="74" customFormat="false" ht="15.75" hidden="false" customHeight="true" outlineLevel="0" collapsed="false">
      <c r="A74" s="21" t="str">
        <f aca="false">IF(Variants!$B75="","",LOWER(Variants!$B75))</f>
        <v>dsgn-pend-alpha-cha</v>
      </c>
      <c r="B74" s="21" t="str">
        <f aca="false">IF(Variants!$B75="","",Variants!$C75&amp;IF(Variants!$F75="",""," "&amp;Variants!$F75))</f>
        <v>Bird Letter Pendant Չ</v>
      </c>
      <c r="C74" s="21" t="str">
        <f aca="false">IFERROR(IF(Variants!$B75="","","&lt;p&gt;"&amp;VLOOKUP(Variants!$B75,Designs!$A$3:$AP$165,9,FALSE())&amp;"&lt;/p&gt;"),"")</f>
        <v>&lt;p&gt;Bird letters are an ornamental medieval Armenian script where each letter is formed from stylised birds, used in illuminated manuscripts.&lt;/p&gt;</v>
      </c>
      <c r="D74" s="21" t="str">
        <f aca="false">IF(Variants!$B75="","","Karni Jewellery")</f>
        <v>Karni Jewellery</v>
      </c>
      <c r="E74" s="21" t="str">
        <f aca="false">IF(Variants!$B75="","","Apparel &amp; Accessories &gt; Jewelry")</f>
        <v>Apparel &amp; Accessories &gt; Jewelry</v>
      </c>
      <c r="F74" s="21" t="str">
        <f aca="false">IF(Variants!$D75="","",Variants!$D75)</f>
        <v>Pendant</v>
      </c>
      <c r="G74" s="21" t="str">
        <f aca="false">IF(Variants!$E75="","",Variants!$E75&amp;", Armenian jewellery, handmade")</f>
        <v>Alphabet, Armenian jewellery, handmade</v>
      </c>
      <c r="H74" s="21" t="str">
        <f aca="false">IF(Variants!$AD75="Active","TRUE","FALSE")</f>
        <v>TRUE</v>
      </c>
      <c r="I74" s="21" t="str">
        <f aca="false">IF(Variants!$H75="","","Color")</f>
        <v>Color</v>
      </c>
      <c r="J74" s="21" t="str">
        <f aca="false">IF(Variants!$H75="","",Variants!$H75)</f>
        <v>red</v>
      </c>
      <c r="K74" s="21" t="str">
        <f aca="false">IF(Variants!$G75="","","Size")</f>
        <v/>
      </c>
      <c r="L74" s="21" t="str">
        <f aca="false">IF(Variants!$G75="","",Variants!$G75)</f>
        <v/>
      </c>
      <c r="M74" s="21" t="str">
        <f aca="false">Variants!$A75</f>
        <v>KARNI-PEND-ALPHA-CHA-RED</v>
      </c>
      <c r="N74" s="21" t="str">
        <f aca="false">IF(Variants!$X75="","",Variants!$X75)</f>
        <v/>
      </c>
      <c r="O74" s="21" t="n">
        <f aca="false">IF(Variants!$O75="","",Variants!$O75)</f>
        <v>0</v>
      </c>
      <c r="P74" s="18" t="n">
        <f aca="false">IF(Variants!$J75="","",Variants!$J75)</f>
        <v>49.4</v>
      </c>
      <c r="Q74" s="21" t="str">
        <f aca="false">IF(Variants!$U75="","",Variants!$U75)</f>
        <v/>
      </c>
      <c r="R74" s="21" t="str">
        <f aca="false">IF(Variants!$Y75="","",Variants!$Y75)</f>
        <v/>
      </c>
      <c r="S74" s="21" t="n">
        <f aca="false">IFERROR(VLOOKUP(Variants!$B75,Designs!$A$3:$AP$165,37,FALSE()),"")</f>
        <v>0</v>
      </c>
      <c r="T74" s="21" t="str">
        <f aca="false">IFERROR(VLOOKUP(Variants!$B75,Designs!$A$3:$AP$165,38,FALSE()),"")</f>
        <v>No</v>
      </c>
      <c r="U74" s="21" t="str">
        <f aca="false">IF(Variants!$AD75="Active","active","draft")</f>
        <v>active</v>
      </c>
    </row>
    <row r="75" customFormat="false" ht="15.75" hidden="false" customHeight="true" outlineLevel="0" collapsed="false">
      <c r="A75" s="21" t="str">
        <f aca="false">IF(Variants!$B76="","",LOWER(Variants!$B76))</f>
        <v>dsgn-pend-alpha-cha</v>
      </c>
      <c r="B75" s="21" t="str">
        <f aca="false">IF(Variants!$B76="","",Variants!$C76&amp;IF(Variants!$F76="",""," "&amp;Variants!$F76))</f>
        <v>Bird Letter Pendant Չ</v>
      </c>
      <c r="C75" s="21" t="str">
        <f aca="false">IFERROR(IF(Variants!$B76="","","&lt;p&gt;"&amp;VLOOKUP(Variants!$B76,Designs!$A$3:$AP$165,9,FALSE())&amp;"&lt;/p&gt;"),"")</f>
        <v>&lt;p&gt;Bird letters are an ornamental medieval Armenian script where each letter is formed from stylised birds, used in illuminated manuscripts.&lt;/p&gt;</v>
      </c>
      <c r="D75" s="21" t="str">
        <f aca="false">IF(Variants!$B76="","","Karni Jewellery")</f>
        <v>Karni Jewellery</v>
      </c>
      <c r="E75" s="21" t="str">
        <f aca="false">IF(Variants!$B76="","","Apparel &amp; Accessories &gt; Jewelry")</f>
        <v>Apparel &amp; Accessories &gt; Jewelry</v>
      </c>
      <c r="F75" s="21" t="str">
        <f aca="false">IF(Variants!$D76="","",Variants!$D76)</f>
        <v>Pendant</v>
      </c>
      <c r="G75" s="21" t="str">
        <f aca="false">IF(Variants!$E76="","",Variants!$E76&amp;", Armenian jewellery, handmade")</f>
        <v>Alphabet, Armenian jewellery, handmade</v>
      </c>
      <c r="H75" s="21" t="str">
        <f aca="false">IF(Variants!$AD76="Active","TRUE","FALSE")</f>
        <v>TRUE</v>
      </c>
      <c r="I75" s="21" t="str">
        <f aca="false">IF(Variants!$H76="","","Color")</f>
        <v>Color</v>
      </c>
      <c r="J75" s="21" t="str">
        <f aca="false">IF(Variants!$H76="","",Variants!$H76)</f>
        <v>turquoise</v>
      </c>
      <c r="K75" s="21" t="str">
        <f aca="false">IF(Variants!$G76="","","Size")</f>
        <v/>
      </c>
      <c r="L75" s="21" t="str">
        <f aca="false">IF(Variants!$G76="","",Variants!$G76)</f>
        <v/>
      </c>
      <c r="M75" s="21" t="str">
        <f aca="false">Variants!$A76</f>
        <v>KARNI-PEND-ALPHA-CHA-TURQUOISE</v>
      </c>
      <c r="N75" s="21" t="str">
        <f aca="false">IF(Variants!$X76="","",Variants!$X76)</f>
        <v/>
      </c>
      <c r="O75" s="21" t="n">
        <f aca="false">IF(Variants!$O76="","",Variants!$O76)</f>
        <v>0</v>
      </c>
      <c r="P75" s="18" t="n">
        <f aca="false">IF(Variants!$J76="","",Variants!$J76)</f>
        <v>49.4</v>
      </c>
      <c r="Q75" s="21" t="str">
        <f aca="false">IF(Variants!$U76="","",Variants!$U76)</f>
        <v/>
      </c>
      <c r="R75" s="21" t="str">
        <f aca="false">IF(Variants!$Y76="","",Variants!$Y76)</f>
        <v/>
      </c>
      <c r="S75" s="21" t="n">
        <f aca="false">IFERROR(VLOOKUP(Variants!$B76,Designs!$A$3:$AP$165,37,FALSE()),"")</f>
        <v>0</v>
      </c>
      <c r="T75" s="21" t="str">
        <f aca="false">IFERROR(VLOOKUP(Variants!$B76,Designs!$A$3:$AP$165,38,FALSE()),"")</f>
        <v>No</v>
      </c>
      <c r="U75" s="21" t="str">
        <f aca="false">IF(Variants!$AD76="Active","active","draft")</f>
        <v>active</v>
      </c>
    </row>
    <row r="76" customFormat="false" ht="15.75" hidden="false" customHeight="true" outlineLevel="0" collapsed="false">
      <c r="A76" s="21" t="str">
        <f aca="false">IF(Variants!$B77="","",LOWER(Variants!$B77))</f>
        <v>dsgn-pend-alpha-cha</v>
      </c>
      <c r="B76" s="21" t="str">
        <f aca="false">IF(Variants!$B77="","",Variants!$C77&amp;IF(Variants!$F77="",""," "&amp;Variants!$F77))</f>
        <v>Bird Letter Pendant Չ</v>
      </c>
      <c r="C76" s="21" t="str">
        <f aca="false">IFERROR(IF(Variants!$B77="","","&lt;p&gt;"&amp;VLOOKUP(Variants!$B77,Designs!$A$3:$AP$165,9,FALSE())&amp;"&lt;/p&gt;"),"")</f>
        <v>&lt;p&gt;Bird letters are an ornamental medieval Armenian script where each letter is formed from stylised birds, used in illuminated manuscripts.&lt;/p&gt;</v>
      </c>
      <c r="D76" s="21" t="str">
        <f aca="false">IF(Variants!$B77="","","Karni Jewellery")</f>
        <v>Karni Jewellery</v>
      </c>
      <c r="E76" s="21" t="str">
        <f aca="false">IF(Variants!$B77="","","Apparel &amp; Accessories &gt; Jewelry")</f>
        <v>Apparel &amp; Accessories &gt; Jewelry</v>
      </c>
      <c r="F76" s="21" t="str">
        <f aca="false">IF(Variants!$D77="","",Variants!$D77)</f>
        <v>Pendant</v>
      </c>
      <c r="G76" s="21" t="str">
        <f aca="false">IF(Variants!$E77="","",Variants!$E77&amp;", Armenian jewellery, handmade")</f>
        <v>Alphabet, Armenian jewellery, handmade</v>
      </c>
      <c r="H76" s="21" t="str">
        <f aca="false">IF(Variants!$AD77="Active","TRUE","FALSE")</f>
        <v>TRUE</v>
      </c>
      <c r="I76" s="21" t="str">
        <f aca="false">IF(Variants!$H77="","","Color")</f>
        <v>Color</v>
      </c>
      <c r="J76" s="21" t="str">
        <f aca="false">IF(Variants!$H77="","",Variants!$H77)</f>
        <v>white</v>
      </c>
      <c r="K76" s="21" t="str">
        <f aca="false">IF(Variants!$G77="","","Size")</f>
        <v/>
      </c>
      <c r="L76" s="21" t="str">
        <f aca="false">IF(Variants!$G77="","",Variants!$G77)</f>
        <v/>
      </c>
      <c r="M76" s="21" t="str">
        <f aca="false">Variants!$A77</f>
        <v>KARNI-PEND-ALPHA-CHA-WHITE</v>
      </c>
      <c r="N76" s="21" t="str">
        <f aca="false">IF(Variants!$X77="","",Variants!$X77)</f>
        <v/>
      </c>
      <c r="O76" s="21" t="n">
        <f aca="false">IF(Variants!$O77="","",Variants!$O77)</f>
        <v>0</v>
      </c>
      <c r="P76" s="18" t="n">
        <f aca="false">IF(Variants!$J77="","",Variants!$J77)</f>
        <v>49.4</v>
      </c>
      <c r="Q76" s="21" t="str">
        <f aca="false">IF(Variants!$U77="","",Variants!$U77)</f>
        <v/>
      </c>
      <c r="R76" s="21" t="str">
        <f aca="false">IF(Variants!$Y77="","",Variants!$Y77)</f>
        <v/>
      </c>
      <c r="S76" s="21" t="n">
        <f aca="false">IFERROR(VLOOKUP(Variants!$B77,Designs!$A$3:$AP$165,37,FALSE()),"")</f>
        <v>0</v>
      </c>
      <c r="T76" s="21" t="str">
        <f aca="false">IFERROR(VLOOKUP(Variants!$B77,Designs!$A$3:$AP$165,38,FALSE()),"")</f>
        <v>No</v>
      </c>
      <c r="U76" s="21" t="str">
        <f aca="false">IF(Variants!$AD77="Active","active","draft")</f>
        <v>active</v>
      </c>
    </row>
    <row r="77" customFormat="false" ht="15.75" hidden="false" customHeight="true" outlineLevel="0" collapsed="false">
      <c r="A77" s="21" t="str">
        <f aca="false">IF(Variants!$B78="","",LOWER(Variants!$B78))</f>
        <v>dsgn-pend-alpha-peh</v>
      </c>
      <c r="B77" s="21" t="str">
        <f aca="false">IF(Variants!$B78="","",Variants!$C78&amp;IF(Variants!$F78="",""," "&amp;Variants!$F78))</f>
        <v>Bird Letter Pendant Պ</v>
      </c>
      <c r="C77" s="21" t="str">
        <f aca="false">IFERROR(IF(Variants!$B78="","","&lt;p&gt;"&amp;VLOOKUP(Variants!$B78,Designs!$A$3:$AP$165,9,FALSE())&amp;"&lt;/p&gt;"),"")</f>
        <v>&lt;p&gt;Bird letters are an ornamental medieval Armenian script where each letter is formed from stylised birds, used in illuminated manuscripts.&lt;/p&gt;</v>
      </c>
      <c r="D77" s="21" t="str">
        <f aca="false">IF(Variants!$B78="","","Karni Jewellery")</f>
        <v>Karni Jewellery</v>
      </c>
      <c r="E77" s="21" t="str">
        <f aca="false">IF(Variants!$B78="","","Apparel &amp; Accessories &gt; Jewelry")</f>
        <v>Apparel &amp; Accessories &gt; Jewelry</v>
      </c>
      <c r="F77" s="21" t="str">
        <f aca="false">IF(Variants!$D78="","",Variants!$D78)</f>
        <v>Pendant</v>
      </c>
      <c r="G77" s="21" t="str">
        <f aca="false">IF(Variants!$E78="","",Variants!$E78&amp;", Armenian jewellery, handmade")</f>
        <v>Alphabet, Armenian jewellery, handmade</v>
      </c>
      <c r="H77" s="21" t="str">
        <f aca="false">IF(Variants!$AD78="Active","TRUE","FALSE")</f>
        <v>TRUE</v>
      </c>
      <c r="I77" s="21" t="str">
        <f aca="false">IF(Variants!$H78="","","Color")</f>
        <v>Color</v>
      </c>
      <c r="J77" s="21" t="str">
        <f aca="false">IF(Variants!$H78="","",Variants!$H78)</f>
        <v>red</v>
      </c>
      <c r="K77" s="21" t="str">
        <f aca="false">IF(Variants!$G78="","","Size")</f>
        <v/>
      </c>
      <c r="L77" s="21" t="str">
        <f aca="false">IF(Variants!$G78="","",Variants!$G78)</f>
        <v/>
      </c>
      <c r="M77" s="21" t="str">
        <f aca="false">Variants!$A78</f>
        <v>KARNI-PEND-ALPHA-PEH-RED</v>
      </c>
      <c r="N77" s="21" t="str">
        <f aca="false">IF(Variants!$X78="","",Variants!$X78)</f>
        <v/>
      </c>
      <c r="O77" s="21" t="n">
        <f aca="false">IF(Variants!$O78="","",Variants!$O78)</f>
        <v>0</v>
      </c>
      <c r="P77" s="18" t="n">
        <f aca="false">IF(Variants!$J78="","",Variants!$J78)</f>
        <v>49.4</v>
      </c>
      <c r="Q77" s="21" t="str">
        <f aca="false">IF(Variants!$U78="","",Variants!$U78)</f>
        <v/>
      </c>
      <c r="R77" s="21" t="str">
        <f aca="false">IF(Variants!$Y78="","",Variants!$Y78)</f>
        <v/>
      </c>
      <c r="S77" s="21" t="n">
        <f aca="false">IFERROR(VLOOKUP(Variants!$B78,Designs!$A$3:$AP$165,37,FALSE()),"")</f>
        <v>0</v>
      </c>
      <c r="T77" s="21" t="str">
        <f aca="false">IFERROR(VLOOKUP(Variants!$B78,Designs!$A$3:$AP$165,38,FALSE()),"")</f>
        <v>No</v>
      </c>
      <c r="U77" s="21" t="str">
        <f aca="false">IF(Variants!$AD78="Active","active","draft")</f>
        <v>active</v>
      </c>
    </row>
    <row r="78" customFormat="false" ht="15.75" hidden="false" customHeight="true" outlineLevel="0" collapsed="false">
      <c r="A78" s="21" t="str">
        <f aca="false">IF(Variants!$B79="","",LOWER(Variants!$B79))</f>
        <v>dsgn-pend-alpha-peh</v>
      </c>
      <c r="B78" s="21" t="str">
        <f aca="false">IF(Variants!$B79="","",Variants!$C79&amp;IF(Variants!$F79="",""," "&amp;Variants!$F79))</f>
        <v>Bird Letter Pendant Պ</v>
      </c>
      <c r="C78" s="21" t="str">
        <f aca="false">IFERROR(IF(Variants!$B79="","","&lt;p&gt;"&amp;VLOOKUP(Variants!$B79,Designs!$A$3:$AP$165,9,FALSE())&amp;"&lt;/p&gt;"),"")</f>
        <v>&lt;p&gt;Bird letters are an ornamental medieval Armenian script where each letter is formed from stylised birds, used in illuminated manuscripts.&lt;/p&gt;</v>
      </c>
      <c r="D78" s="21" t="str">
        <f aca="false">IF(Variants!$B79="","","Karni Jewellery")</f>
        <v>Karni Jewellery</v>
      </c>
      <c r="E78" s="21" t="str">
        <f aca="false">IF(Variants!$B79="","","Apparel &amp; Accessories &gt; Jewelry")</f>
        <v>Apparel &amp; Accessories &gt; Jewelry</v>
      </c>
      <c r="F78" s="21" t="str">
        <f aca="false">IF(Variants!$D79="","",Variants!$D79)</f>
        <v>Pendant</v>
      </c>
      <c r="G78" s="21" t="str">
        <f aca="false">IF(Variants!$E79="","",Variants!$E79&amp;", Armenian jewellery, handmade")</f>
        <v>Alphabet, Armenian jewellery, handmade</v>
      </c>
      <c r="H78" s="21" t="str">
        <f aca="false">IF(Variants!$AD79="Active","TRUE","FALSE")</f>
        <v>TRUE</v>
      </c>
      <c r="I78" s="21" t="str">
        <f aca="false">IF(Variants!$H79="","","Color")</f>
        <v>Color</v>
      </c>
      <c r="J78" s="21" t="str">
        <f aca="false">IF(Variants!$H79="","",Variants!$H79)</f>
        <v>turquoise</v>
      </c>
      <c r="K78" s="21" t="str">
        <f aca="false">IF(Variants!$G79="","","Size")</f>
        <v/>
      </c>
      <c r="L78" s="21" t="str">
        <f aca="false">IF(Variants!$G79="","",Variants!$G79)</f>
        <v/>
      </c>
      <c r="M78" s="21" t="str">
        <f aca="false">Variants!$A79</f>
        <v>KARNI-PEND-ALPHA-PEH-TURQUOISE</v>
      </c>
      <c r="N78" s="21" t="str">
        <f aca="false">IF(Variants!$X79="","",Variants!$X79)</f>
        <v/>
      </c>
      <c r="O78" s="21" t="n">
        <f aca="false">IF(Variants!$O79="","",Variants!$O79)</f>
        <v>0</v>
      </c>
      <c r="P78" s="18" t="n">
        <f aca="false">IF(Variants!$J79="","",Variants!$J79)</f>
        <v>49.4</v>
      </c>
      <c r="Q78" s="21" t="str">
        <f aca="false">IF(Variants!$U79="","",Variants!$U79)</f>
        <v/>
      </c>
      <c r="R78" s="21" t="str">
        <f aca="false">IF(Variants!$Y79="","",Variants!$Y79)</f>
        <v/>
      </c>
      <c r="S78" s="21" t="n">
        <f aca="false">IFERROR(VLOOKUP(Variants!$B79,Designs!$A$3:$AP$165,37,FALSE()),"")</f>
        <v>0</v>
      </c>
      <c r="T78" s="21" t="str">
        <f aca="false">IFERROR(VLOOKUP(Variants!$B79,Designs!$A$3:$AP$165,38,FALSE()),"")</f>
        <v>No</v>
      </c>
      <c r="U78" s="21" t="str">
        <f aca="false">IF(Variants!$AD79="Active","active","draft")</f>
        <v>active</v>
      </c>
    </row>
    <row r="79" customFormat="false" ht="15.75" hidden="false" customHeight="true" outlineLevel="0" collapsed="false">
      <c r="A79" s="21" t="str">
        <f aca="false">IF(Variants!$B80="","",LOWER(Variants!$B80))</f>
        <v>dsgn-pend-alpha-peh</v>
      </c>
      <c r="B79" s="21" t="str">
        <f aca="false">IF(Variants!$B80="","",Variants!$C80&amp;IF(Variants!$F80="",""," "&amp;Variants!$F80))</f>
        <v>Bird Letter Pendant Պ</v>
      </c>
      <c r="C79" s="21" t="str">
        <f aca="false">IFERROR(IF(Variants!$B80="","","&lt;p&gt;"&amp;VLOOKUP(Variants!$B80,Designs!$A$3:$AP$165,9,FALSE())&amp;"&lt;/p&gt;"),"")</f>
        <v>&lt;p&gt;Bird letters are an ornamental medieval Armenian script where each letter is formed from stylised birds, used in illuminated manuscripts.&lt;/p&gt;</v>
      </c>
      <c r="D79" s="21" t="str">
        <f aca="false">IF(Variants!$B80="","","Karni Jewellery")</f>
        <v>Karni Jewellery</v>
      </c>
      <c r="E79" s="21" t="str">
        <f aca="false">IF(Variants!$B80="","","Apparel &amp; Accessories &gt; Jewelry")</f>
        <v>Apparel &amp; Accessories &gt; Jewelry</v>
      </c>
      <c r="F79" s="21" t="str">
        <f aca="false">IF(Variants!$D80="","",Variants!$D80)</f>
        <v>Pendant</v>
      </c>
      <c r="G79" s="21" t="str">
        <f aca="false">IF(Variants!$E80="","",Variants!$E80&amp;", Armenian jewellery, handmade")</f>
        <v>Alphabet, Armenian jewellery, handmade</v>
      </c>
      <c r="H79" s="21" t="str">
        <f aca="false">IF(Variants!$AD80="Active","TRUE","FALSE")</f>
        <v>TRUE</v>
      </c>
      <c r="I79" s="21" t="str">
        <f aca="false">IF(Variants!$H80="","","Color")</f>
        <v>Color</v>
      </c>
      <c r="J79" s="21" t="str">
        <f aca="false">IF(Variants!$H80="","",Variants!$H80)</f>
        <v>white</v>
      </c>
      <c r="K79" s="21" t="str">
        <f aca="false">IF(Variants!$G80="","","Size")</f>
        <v/>
      </c>
      <c r="L79" s="21" t="str">
        <f aca="false">IF(Variants!$G80="","",Variants!$G80)</f>
        <v/>
      </c>
      <c r="M79" s="21" t="str">
        <f aca="false">Variants!$A80</f>
        <v>KARNI-PEND-ALPHA-PEH-WHITE</v>
      </c>
      <c r="N79" s="21" t="str">
        <f aca="false">IF(Variants!$X80="","",Variants!$X80)</f>
        <v/>
      </c>
      <c r="O79" s="21" t="n">
        <f aca="false">IF(Variants!$O80="","",Variants!$O80)</f>
        <v>0</v>
      </c>
      <c r="P79" s="18" t="n">
        <f aca="false">IF(Variants!$J80="","",Variants!$J80)</f>
        <v>49.4</v>
      </c>
      <c r="Q79" s="21" t="str">
        <f aca="false">IF(Variants!$U80="","",Variants!$U80)</f>
        <v/>
      </c>
      <c r="R79" s="21" t="str">
        <f aca="false">IF(Variants!$Y80="","",Variants!$Y80)</f>
        <v/>
      </c>
      <c r="S79" s="21" t="n">
        <f aca="false">IFERROR(VLOOKUP(Variants!$B80,Designs!$A$3:$AP$165,37,FALSE()),"")</f>
        <v>0</v>
      </c>
      <c r="T79" s="21" t="str">
        <f aca="false">IFERROR(VLOOKUP(Variants!$B80,Designs!$A$3:$AP$165,38,FALSE()),"")</f>
        <v>No</v>
      </c>
      <c r="U79" s="21" t="str">
        <f aca="false">IF(Variants!$AD80="Active","active","draft")</f>
        <v>active</v>
      </c>
    </row>
    <row r="80" customFormat="false" ht="15.75" hidden="false" customHeight="true" outlineLevel="0" collapsed="false">
      <c r="A80" s="21" t="str">
        <f aca="false">IF(Variants!$B81="","",LOWER(Variants!$B81))</f>
        <v>dsgn-pend-alpha-jheh</v>
      </c>
      <c r="B80" s="21" t="str">
        <f aca="false">IF(Variants!$B81="","",Variants!$C81&amp;IF(Variants!$F81="",""," "&amp;Variants!$F81))</f>
        <v>Bird Letter Pendant Ջ</v>
      </c>
      <c r="C80" s="21" t="str">
        <f aca="false">IFERROR(IF(Variants!$B81="","","&lt;p&gt;"&amp;VLOOKUP(Variants!$B81,Designs!$A$3:$AP$165,9,FALSE())&amp;"&lt;/p&gt;"),"")</f>
        <v>&lt;p&gt;Bird letters are an ornamental medieval Armenian script where each letter is formed from stylised birds, used in illuminated manuscripts.&lt;/p&gt;</v>
      </c>
      <c r="D80" s="21" t="str">
        <f aca="false">IF(Variants!$B81="","","Karni Jewellery")</f>
        <v>Karni Jewellery</v>
      </c>
      <c r="E80" s="21" t="str">
        <f aca="false">IF(Variants!$B81="","","Apparel &amp; Accessories &gt; Jewelry")</f>
        <v>Apparel &amp; Accessories &gt; Jewelry</v>
      </c>
      <c r="F80" s="21" t="str">
        <f aca="false">IF(Variants!$D81="","",Variants!$D81)</f>
        <v>Pendant</v>
      </c>
      <c r="G80" s="21" t="str">
        <f aca="false">IF(Variants!$E81="","",Variants!$E81&amp;", Armenian jewellery, handmade")</f>
        <v>Alphabet, Armenian jewellery, handmade</v>
      </c>
      <c r="H80" s="21" t="str">
        <f aca="false">IF(Variants!$AD81="Active","TRUE","FALSE")</f>
        <v>TRUE</v>
      </c>
      <c r="I80" s="21" t="str">
        <f aca="false">IF(Variants!$H81="","","Color")</f>
        <v>Color</v>
      </c>
      <c r="J80" s="21" t="str">
        <f aca="false">IF(Variants!$H81="","",Variants!$H81)</f>
        <v>red</v>
      </c>
      <c r="K80" s="21" t="str">
        <f aca="false">IF(Variants!$G81="","","Size")</f>
        <v/>
      </c>
      <c r="L80" s="21" t="str">
        <f aca="false">IF(Variants!$G81="","",Variants!$G81)</f>
        <v/>
      </c>
      <c r="M80" s="21" t="str">
        <f aca="false">Variants!$A81</f>
        <v>KARNI-PEND-ALPHA-JHEH-RED</v>
      </c>
      <c r="N80" s="21" t="str">
        <f aca="false">IF(Variants!$X81="","",Variants!$X81)</f>
        <v/>
      </c>
      <c r="O80" s="21" t="n">
        <f aca="false">IF(Variants!$O81="","",Variants!$O81)</f>
        <v>0</v>
      </c>
      <c r="P80" s="18" t="n">
        <f aca="false">IF(Variants!$J81="","",Variants!$J81)</f>
        <v>49.4</v>
      </c>
      <c r="Q80" s="21" t="str">
        <f aca="false">IF(Variants!$U81="","",Variants!$U81)</f>
        <v/>
      </c>
      <c r="R80" s="21" t="str">
        <f aca="false">IF(Variants!$Y81="","",Variants!$Y81)</f>
        <v/>
      </c>
      <c r="S80" s="21" t="n">
        <f aca="false">IFERROR(VLOOKUP(Variants!$B81,Designs!$A$3:$AP$165,37,FALSE()),"")</f>
        <v>0</v>
      </c>
      <c r="T80" s="21" t="str">
        <f aca="false">IFERROR(VLOOKUP(Variants!$B81,Designs!$A$3:$AP$165,38,FALSE()),"")</f>
        <v>No</v>
      </c>
      <c r="U80" s="21" t="str">
        <f aca="false">IF(Variants!$AD81="Active","active","draft")</f>
        <v>active</v>
      </c>
    </row>
    <row r="81" customFormat="false" ht="15.75" hidden="false" customHeight="true" outlineLevel="0" collapsed="false">
      <c r="A81" s="21" t="str">
        <f aca="false">IF(Variants!$B82="","",LOWER(Variants!$B82))</f>
        <v>dsgn-pend-alpha-jheh</v>
      </c>
      <c r="B81" s="21" t="str">
        <f aca="false">IF(Variants!$B82="","",Variants!$C82&amp;IF(Variants!$F82="",""," "&amp;Variants!$F82))</f>
        <v>Bird Letter Pendant Ջ</v>
      </c>
      <c r="C81" s="21" t="str">
        <f aca="false">IFERROR(IF(Variants!$B82="","","&lt;p&gt;"&amp;VLOOKUP(Variants!$B82,Designs!$A$3:$AP$165,9,FALSE())&amp;"&lt;/p&gt;"),"")</f>
        <v>&lt;p&gt;Bird letters are an ornamental medieval Armenian script where each letter is formed from stylised birds, used in illuminated manuscripts.&lt;/p&gt;</v>
      </c>
      <c r="D81" s="21" t="str">
        <f aca="false">IF(Variants!$B82="","","Karni Jewellery")</f>
        <v>Karni Jewellery</v>
      </c>
      <c r="E81" s="21" t="str">
        <f aca="false">IF(Variants!$B82="","","Apparel &amp; Accessories &gt; Jewelry")</f>
        <v>Apparel &amp; Accessories &gt; Jewelry</v>
      </c>
      <c r="F81" s="21" t="str">
        <f aca="false">IF(Variants!$D82="","",Variants!$D82)</f>
        <v>Pendant</v>
      </c>
      <c r="G81" s="21" t="str">
        <f aca="false">IF(Variants!$E82="","",Variants!$E82&amp;", Armenian jewellery, handmade")</f>
        <v>Alphabet, Armenian jewellery, handmade</v>
      </c>
      <c r="H81" s="21" t="str">
        <f aca="false">IF(Variants!$AD82="Active","TRUE","FALSE")</f>
        <v>TRUE</v>
      </c>
      <c r="I81" s="21" t="str">
        <f aca="false">IF(Variants!$H82="","","Color")</f>
        <v>Color</v>
      </c>
      <c r="J81" s="21" t="str">
        <f aca="false">IF(Variants!$H82="","",Variants!$H82)</f>
        <v>turquoise</v>
      </c>
      <c r="K81" s="21" t="str">
        <f aca="false">IF(Variants!$G82="","","Size")</f>
        <v/>
      </c>
      <c r="L81" s="21" t="str">
        <f aca="false">IF(Variants!$G82="","",Variants!$G82)</f>
        <v/>
      </c>
      <c r="M81" s="21" t="str">
        <f aca="false">Variants!$A82</f>
        <v>KARNI-PEND-ALPHA-JHEH-TURQUOISE</v>
      </c>
      <c r="N81" s="21" t="str">
        <f aca="false">IF(Variants!$X82="","",Variants!$X82)</f>
        <v/>
      </c>
      <c r="O81" s="21" t="n">
        <f aca="false">IF(Variants!$O82="","",Variants!$O82)</f>
        <v>0</v>
      </c>
      <c r="P81" s="18" t="n">
        <f aca="false">IF(Variants!$J82="","",Variants!$J82)</f>
        <v>49.4</v>
      </c>
      <c r="Q81" s="21" t="str">
        <f aca="false">IF(Variants!$U82="","",Variants!$U82)</f>
        <v/>
      </c>
      <c r="R81" s="21" t="str">
        <f aca="false">IF(Variants!$Y82="","",Variants!$Y82)</f>
        <v/>
      </c>
      <c r="S81" s="21" t="n">
        <f aca="false">IFERROR(VLOOKUP(Variants!$B82,Designs!$A$3:$AP$165,37,FALSE()),"")</f>
        <v>0</v>
      </c>
      <c r="T81" s="21" t="str">
        <f aca="false">IFERROR(VLOOKUP(Variants!$B82,Designs!$A$3:$AP$165,38,FALSE()),"")</f>
        <v>No</v>
      </c>
      <c r="U81" s="21" t="str">
        <f aca="false">IF(Variants!$AD82="Active","active","draft")</f>
        <v>active</v>
      </c>
    </row>
    <row r="82" customFormat="false" ht="15.75" hidden="false" customHeight="true" outlineLevel="0" collapsed="false">
      <c r="A82" s="21" t="str">
        <f aca="false">IF(Variants!$B83="","",LOWER(Variants!$B83))</f>
        <v>dsgn-pend-alpha-jheh</v>
      </c>
      <c r="B82" s="21" t="str">
        <f aca="false">IF(Variants!$B83="","",Variants!$C83&amp;IF(Variants!$F83="",""," "&amp;Variants!$F83))</f>
        <v>Bird Letter Pendant Ջ</v>
      </c>
      <c r="C82" s="21" t="str">
        <f aca="false">IFERROR(IF(Variants!$B83="","","&lt;p&gt;"&amp;VLOOKUP(Variants!$B83,Designs!$A$3:$AP$165,9,FALSE())&amp;"&lt;/p&gt;"),"")</f>
        <v>&lt;p&gt;Bird letters are an ornamental medieval Armenian script where each letter is formed from stylised birds, used in illuminated manuscripts.&lt;/p&gt;</v>
      </c>
      <c r="D82" s="21" t="str">
        <f aca="false">IF(Variants!$B83="","","Karni Jewellery")</f>
        <v>Karni Jewellery</v>
      </c>
      <c r="E82" s="21" t="str">
        <f aca="false">IF(Variants!$B83="","","Apparel &amp; Accessories &gt; Jewelry")</f>
        <v>Apparel &amp; Accessories &gt; Jewelry</v>
      </c>
      <c r="F82" s="21" t="str">
        <f aca="false">IF(Variants!$D83="","",Variants!$D83)</f>
        <v>Pendant</v>
      </c>
      <c r="G82" s="21" t="str">
        <f aca="false">IF(Variants!$E83="","",Variants!$E83&amp;", Armenian jewellery, handmade")</f>
        <v>Alphabet, Armenian jewellery, handmade</v>
      </c>
      <c r="H82" s="21" t="str">
        <f aca="false">IF(Variants!$AD83="Active","TRUE","FALSE")</f>
        <v>TRUE</v>
      </c>
      <c r="I82" s="21" t="str">
        <f aca="false">IF(Variants!$H83="","","Color")</f>
        <v>Color</v>
      </c>
      <c r="J82" s="21" t="str">
        <f aca="false">IF(Variants!$H83="","",Variants!$H83)</f>
        <v>white</v>
      </c>
      <c r="K82" s="21" t="str">
        <f aca="false">IF(Variants!$G83="","","Size")</f>
        <v/>
      </c>
      <c r="L82" s="21" t="str">
        <f aca="false">IF(Variants!$G83="","",Variants!$G83)</f>
        <v/>
      </c>
      <c r="M82" s="21" t="str">
        <f aca="false">Variants!$A83</f>
        <v>KARNI-PEND-ALPHA-JHEH-WHITE</v>
      </c>
      <c r="N82" s="21" t="str">
        <f aca="false">IF(Variants!$X83="","",Variants!$X83)</f>
        <v/>
      </c>
      <c r="O82" s="21" t="n">
        <f aca="false">IF(Variants!$O83="","",Variants!$O83)</f>
        <v>0</v>
      </c>
      <c r="P82" s="18" t="n">
        <f aca="false">IF(Variants!$J83="","",Variants!$J83)</f>
        <v>49.4</v>
      </c>
      <c r="Q82" s="21" t="str">
        <f aca="false">IF(Variants!$U83="","",Variants!$U83)</f>
        <v/>
      </c>
      <c r="R82" s="21" t="str">
        <f aca="false">IF(Variants!$Y83="","",Variants!$Y83)</f>
        <v/>
      </c>
      <c r="S82" s="21" t="n">
        <f aca="false">IFERROR(VLOOKUP(Variants!$B83,Designs!$A$3:$AP$165,37,FALSE()),"")</f>
        <v>0</v>
      </c>
      <c r="T82" s="21" t="str">
        <f aca="false">IFERROR(VLOOKUP(Variants!$B83,Designs!$A$3:$AP$165,38,FALSE()),"")</f>
        <v>No</v>
      </c>
      <c r="U82" s="21" t="str">
        <f aca="false">IF(Variants!$AD83="Active","active","draft")</f>
        <v>active</v>
      </c>
    </row>
    <row r="83" customFormat="false" ht="15.75" hidden="false" customHeight="true" outlineLevel="0" collapsed="false">
      <c r="A83" s="21" t="str">
        <f aca="false">IF(Variants!$B84="","",LOWER(Variants!$B84))</f>
        <v>dsgn-pend-alpha-ra</v>
      </c>
      <c r="B83" s="21" t="str">
        <f aca="false">IF(Variants!$B84="","",Variants!$C84&amp;IF(Variants!$F84="",""," "&amp;Variants!$F84))</f>
        <v>Bird Letter Pendant Ռ</v>
      </c>
      <c r="C83" s="21" t="str">
        <f aca="false">IFERROR(IF(Variants!$B84="","","&lt;p&gt;"&amp;VLOOKUP(Variants!$B84,Designs!$A$3:$AP$165,9,FALSE())&amp;"&lt;/p&gt;"),"")</f>
        <v>&lt;p&gt;Bird letters are an ornamental medieval Armenian script where each letter is formed from stylised birds, used in illuminated manuscripts.&lt;/p&gt;</v>
      </c>
      <c r="D83" s="21" t="str">
        <f aca="false">IF(Variants!$B84="","","Karni Jewellery")</f>
        <v>Karni Jewellery</v>
      </c>
      <c r="E83" s="21" t="str">
        <f aca="false">IF(Variants!$B84="","","Apparel &amp; Accessories &gt; Jewelry")</f>
        <v>Apparel &amp; Accessories &gt; Jewelry</v>
      </c>
      <c r="F83" s="21" t="str">
        <f aca="false">IF(Variants!$D84="","",Variants!$D84)</f>
        <v>Pendant</v>
      </c>
      <c r="G83" s="21" t="str">
        <f aca="false">IF(Variants!$E84="","",Variants!$E84&amp;", Armenian jewellery, handmade")</f>
        <v>Alphabet, Armenian jewellery, handmade</v>
      </c>
      <c r="H83" s="21" t="str">
        <f aca="false">IF(Variants!$AD84="Active","TRUE","FALSE")</f>
        <v>TRUE</v>
      </c>
      <c r="I83" s="21" t="str">
        <f aca="false">IF(Variants!$H84="","","Color")</f>
        <v>Color</v>
      </c>
      <c r="J83" s="21" t="str">
        <f aca="false">IF(Variants!$H84="","",Variants!$H84)</f>
        <v>red</v>
      </c>
      <c r="K83" s="21" t="str">
        <f aca="false">IF(Variants!$G84="","","Size")</f>
        <v/>
      </c>
      <c r="L83" s="21" t="str">
        <f aca="false">IF(Variants!$G84="","",Variants!$G84)</f>
        <v/>
      </c>
      <c r="M83" s="21" t="str">
        <f aca="false">Variants!$A84</f>
        <v>KARNI-PEND-ALPHA-RA-RED</v>
      </c>
      <c r="N83" s="21" t="str">
        <f aca="false">IF(Variants!$X84="","",Variants!$X84)</f>
        <v/>
      </c>
      <c r="O83" s="21" t="n">
        <f aca="false">IF(Variants!$O84="","",Variants!$O84)</f>
        <v>0</v>
      </c>
      <c r="P83" s="18" t="n">
        <f aca="false">IF(Variants!$J84="","",Variants!$J84)</f>
        <v>49.4</v>
      </c>
      <c r="Q83" s="21" t="str">
        <f aca="false">IF(Variants!$U84="","",Variants!$U84)</f>
        <v/>
      </c>
      <c r="R83" s="21" t="str">
        <f aca="false">IF(Variants!$Y84="","",Variants!$Y84)</f>
        <v/>
      </c>
      <c r="S83" s="21" t="n">
        <f aca="false">IFERROR(VLOOKUP(Variants!$B84,Designs!$A$3:$AP$165,37,FALSE()),"")</f>
        <v>0</v>
      </c>
      <c r="T83" s="21" t="str">
        <f aca="false">IFERROR(VLOOKUP(Variants!$B84,Designs!$A$3:$AP$165,38,FALSE()),"")</f>
        <v>No</v>
      </c>
      <c r="U83" s="21" t="str">
        <f aca="false">IF(Variants!$AD84="Active","active","draft")</f>
        <v>active</v>
      </c>
    </row>
    <row r="84" customFormat="false" ht="15.75" hidden="false" customHeight="true" outlineLevel="0" collapsed="false">
      <c r="A84" s="21" t="str">
        <f aca="false">IF(Variants!$B85="","",LOWER(Variants!$B85))</f>
        <v>dsgn-pend-alpha-ra</v>
      </c>
      <c r="B84" s="21" t="str">
        <f aca="false">IF(Variants!$B85="","",Variants!$C85&amp;IF(Variants!$F85="",""," "&amp;Variants!$F85))</f>
        <v>Bird Letter Pendant Ռ</v>
      </c>
      <c r="C84" s="21" t="str">
        <f aca="false">IFERROR(IF(Variants!$B85="","","&lt;p&gt;"&amp;VLOOKUP(Variants!$B85,Designs!$A$3:$AP$165,9,FALSE())&amp;"&lt;/p&gt;"),"")</f>
        <v>&lt;p&gt;Bird letters are an ornamental medieval Armenian script where each letter is formed from stylised birds, used in illuminated manuscripts.&lt;/p&gt;</v>
      </c>
      <c r="D84" s="21" t="str">
        <f aca="false">IF(Variants!$B85="","","Karni Jewellery")</f>
        <v>Karni Jewellery</v>
      </c>
      <c r="E84" s="21" t="str">
        <f aca="false">IF(Variants!$B85="","","Apparel &amp; Accessories &gt; Jewelry")</f>
        <v>Apparel &amp; Accessories &gt; Jewelry</v>
      </c>
      <c r="F84" s="21" t="str">
        <f aca="false">IF(Variants!$D85="","",Variants!$D85)</f>
        <v>Pendant</v>
      </c>
      <c r="G84" s="21" t="str">
        <f aca="false">IF(Variants!$E85="","",Variants!$E85&amp;", Armenian jewellery, handmade")</f>
        <v>Alphabet, Armenian jewellery, handmade</v>
      </c>
      <c r="H84" s="21" t="str">
        <f aca="false">IF(Variants!$AD85="Active","TRUE","FALSE")</f>
        <v>TRUE</v>
      </c>
      <c r="I84" s="21" t="str">
        <f aca="false">IF(Variants!$H85="","","Color")</f>
        <v>Color</v>
      </c>
      <c r="J84" s="21" t="str">
        <f aca="false">IF(Variants!$H85="","",Variants!$H85)</f>
        <v>turquoise</v>
      </c>
      <c r="K84" s="21" t="str">
        <f aca="false">IF(Variants!$G85="","","Size")</f>
        <v/>
      </c>
      <c r="L84" s="21" t="str">
        <f aca="false">IF(Variants!$G85="","",Variants!$G85)</f>
        <v/>
      </c>
      <c r="M84" s="21" t="str">
        <f aca="false">Variants!$A85</f>
        <v>KARNI-PEND-ALPHA-RA-TURQUOISE</v>
      </c>
      <c r="N84" s="21" t="str">
        <f aca="false">IF(Variants!$X85="","",Variants!$X85)</f>
        <v/>
      </c>
      <c r="O84" s="21" t="n">
        <f aca="false">IF(Variants!$O85="","",Variants!$O85)</f>
        <v>0</v>
      </c>
      <c r="P84" s="18" t="n">
        <f aca="false">IF(Variants!$J85="","",Variants!$J85)</f>
        <v>49.4</v>
      </c>
      <c r="Q84" s="21" t="str">
        <f aca="false">IF(Variants!$U85="","",Variants!$U85)</f>
        <v/>
      </c>
      <c r="R84" s="21" t="str">
        <f aca="false">IF(Variants!$Y85="","",Variants!$Y85)</f>
        <v/>
      </c>
      <c r="S84" s="21" t="n">
        <f aca="false">IFERROR(VLOOKUP(Variants!$B85,Designs!$A$3:$AP$165,37,FALSE()),"")</f>
        <v>0</v>
      </c>
      <c r="T84" s="21" t="str">
        <f aca="false">IFERROR(VLOOKUP(Variants!$B85,Designs!$A$3:$AP$165,38,FALSE()),"")</f>
        <v>No</v>
      </c>
      <c r="U84" s="21" t="str">
        <f aca="false">IF(Variants!$AD85="Active","active","draft")</f>
        <v>active</v>
      </c>
    </row>
    <row r="85" customFormat="false" ht="15.75" hidden="false" customHeight="true" outlineLevel="0" collapsed="false">
      <c r="A85" s="21" t="str">
        <f aca="false">IF(Variants!$B86="","",LOWER(Variants!$B86))</f>
        <v>dsgn-pend-alpha-ra</v>
      </c>
      <c r="B85" s="21" t="str">
        <f aca="false">IF(Variants!$B86="","",Variants!$C86&amp;IF(Variants!$F86="",""," "&amp;Variants!$F86))</f>
        <v>Bird Letter Pendant Ռ</v>
      </c>
      <c r="C85" s="21" t="str">
        <f aca="false">IFERROR(IF(Variants!$B86="","","&lt;p&gt;"&amp;VLOOKUP(Variants!$B86,Designs!$A$3:$AP$165,9,FALSE())&amp;"&lt;/p&gt;"),"")</f>
        <v>&lt;p&gt;Bird letters are an ornamental medieval Armenian script where each letter is formed from stylised birds, used in illuminated manuscripts.&lt;/p&gt;</v>
      </c>
      <c r="D85" s="21" t="str">
        <f aca="false">IF(Variants!$B86="","","Karni Jewellery")</f>
        <v>Karni Jewellery</v>
      </c>
      <c r="E85" s="21" t="str">
        <f aca="false">IF(Variants!$B86="","","Apparel &amp; Accessories &gt; Jewelry")</f>
        <v>Apparel &amp; Accessories &gt; Jewelry</v>
      </c>
      <c r="F85" s="21" t="str">
        <f aca="false">IF(Variants!$D86="","",Variants!$D86)</f>
        <v>Pendant</v>
      </c>
      <c r="G85" s="21" t="str">
        <f aca="false">IF(Variants!$E86="","",Variants!$E86&amp;", Armenian jewellery, handmade")</f>
        <v>Alphabet, Armenian jewellery, handmade</v>
      </c>
      <c r="H85" s="21" t="str">
        <f aca="false">IF(Variants!$AD86="Active","TRUE","FALSE")</f>
        <v>TRUE</v>
      </c>
      <c r="I85" s="21" t="str">
        <f aca="false">IF(Variants!$H86="","","Color")</f>
        <v>Color</v>
      </c>
      <c r="J85" s="21" t="str">
        <f aca="false">IF(Variants!$H86="","",Variants!$H86)</f>
        <v>white</v>
      </c>
      <c r="K85" s="21" t="str">
        <f aca="false">IF(Variants!$G86="","","Size")</f>
        <v/>
      </c>
      <c r="L85" s="21" t="str">
        <f aca="false">IF(Variants!$G86="","",Variants!$G86)</f>
        <v/>
      </c>
      <c r="M85" s="21" t="str">
        <f aca="false">Variants!$A86</f>
        <v>KARNI-PEND-ALPHA-RA-WHITE</v>
      </c>
      <c r="N85" s="21" t="str">
        <f aca="false">IF(Variants!$X86="","",Variants!$X86)</f>
        <v/>
      </c>
      <c r="O85" s="21" t="n">
        <f aca="false">IF(Variants!$O86="","",Variants!$O86)</f>
        <v>0</v>
      </c>
      <c r="P85" s="18" t="n">
        <f aca="false">IF(Variants!$J86="","",Variants!$J86)</f>
        <v>49.4</v>
      </c>
      <c r="Q85" s="21" t="str">
        <f aca="false">IF(Variants!$U86="","",Variants!$U86)</f>
        <v/>
      </c>
      <c r="R85" s="21" t="str">
        <f aca="false">IF(Variants!$Y86="","",Variants!$Y86)</f>
        <v/>
      </c>
      <c r="S85" s="21" t="n">
        <f aca="false">IFERROR(VLOOKUP(Variants!$B86,Designs!$A$3:$AP$165,37,FALSE()),"")</f>
        <v>0</v>
      </c>
      <c r="T85" s="21" t="str">
        <f aca="false">IFERROR(VLOOKUP(Variants!$B86,Designs!$A$3:$AP$165,38,FALSE()),"")</f>
        <v>No</v>
      </c>
      <c r="U85" s="21" t="str">
        <f aca="false">IF(Variants!$AD86="Active","active","draft")</f>
        <v>active</v>
      </c>
    </row>
    <row r="86" customFormat="false" ht="15.75" hidden="false" customHeight="true" outlineLevel="0" collapsed="false">
      <c r="A86" s="21" t="str">
        <f aca="false">IF(Variants!$B87="","",LOWER(Variants!$B87))</f>
        <v>dsgn-pend-alpha-seh</v>
      </c>
      <c r="B86" s="21" t="str">
        <f aca="false">IF(Variants!$B87="","",Variants!$C87&amp;IF(Variants!$F87="",""," "&amp;Variants!$F87))</f>
        <v>Bird Letter Pendant Ս</v>
      </c>
      <c r="C86" s="21" t="str">
        <f aca="false">IFERROR(IF(Variants!$B87="","","&lt;p&gt;"&amp;VLOOKUP(Variants!$B87,Designs!$A$3:$AP$165,9,FALSE())&amp;"&lt;/p&gt;"),"")</f>
        <v>&lt;p&gt;Bird letters are an ornamental medieval Armenian script where each letter is formed from stylised birds, used in illuminated manuscripts.&lt;/p&gt;</v>
      </c>
      <c r="D86" s="21" t="str">
        <f aca="false">IF(Variants!$B87="","","Karni Jewellery")</f>
        <v>Karni Jewellery</v>
      </c>
      <c r="E86" s="21" t="str">
        <f aca="false">IF(Variants!$B87="","","Apparel &amp; Accessories &gt; Jewelry")</f>
        <v>Apparel &amp; Accessories &gt; Jewelry</v>
      </c>
      <c r="F86" s="21" t="str">
        <f aca="false">IF(Variants!$D87="","",Variants!$D87)</f>
        <v>Pendant</v>
      </c>
      <c r="G86" s="21" t="str">
        <f aca="false">IF(Variants!$E87="","",Variants!$E87&amp;", Armenian jewellery, handmade")</f>
        <v>Alphabet, Armenian jewellery, handmade</v>
      </c>
      <c r="H86" s="21" t="str">
        <f aca="false">IF(Variants!$AD87="Active","TRUE","FALSE")</f>
        <v>TRUE</v>
      </c>
      <c r="I86" s="21" t="str">
        <f aca="false">IF(Variants!$H87="","","Color")</f>
        <v>Color</v>
      </c>
      <c r="J86" s="21" t="str">
        <f aca="false">IF(Variants!$H87="","",Variants!$H87)</f>
        <v>red</v>
      </c>
      <c r="K86" s="21" t="str">
        <f aca="false">IF(Variants!$G87="","","Size")</f>
        <v/>
      </c>
      <c r="L86" s="21" t="str">
        <f aca="false">IF(Variants!$G87="","",Variants!$G87)</f>
        <v/>
      </c>
      <c r="M86" s="21" t="str">
        <f aca="false">Variants!$A87</f>
        <v>KARNI-PEND-ALPHA-SEH-RED</v>
      </c>
      <c r="N86" s="21" t="str">
        <f aca="false">IF(Variants!$X87="","",Variants!$X87)</f>
        <v/>
      </c>
      <c r="O86" s="21" t="n">
        <f aca="false">IF(Variants!$O87="","",Variants!$O87)</f>
        <v>0</v>
      </c>
      <c r="P86" s="18" t="n">
        <f aca="false">IF(Variants!$J87="","",Variants!$J87)</f>
        <v>49.4</v>
      </c>
      <c r="Q86" s="21" t="str">
        <f aca="false">IF(Variants!$U87="","",Variants!$U87)</f>
        <v/>
      </c>
      <c r="R86" s="21" t="str">
        <f aca="false">IF(Variants!$Y87="","",Variants!$Y87)</f>
        <v/>
      </c>
      <c r="S86" s="21" t="n">
        <f aca="false">IFERROR(VLOOKUP(Variants!$B87,Designs!$A$3:$AP$165,37,FALSE()),"")</f>
        <v>0</v>
      </c>
      <c r="T86" s="21" t="str">
        <f aca="false">IFERROR(VLOOKUP(Variants!$B87,Designs!$A$3:$AP$165,38,FALSE()),"")</f>
        <v>No</v>
      </c>
      <c r="U86" s="21" t="str">
        <f aca="false">IF(Variants!$AD87="Active","active","draft")</f>
        <v>active</v>
      </c>
    </row>
    <row r="87" customFormat="false" ht="15.75" hidden="false" customHeight="true" outlineLevel="0" collapsed="false">
      <c r="A87" s="21" t="str">
        <f aca="false">IF(Variants!$B88="","",LOWER(Variants!$B88))</f>
        <v>dsgn-pend-alpha-seh</v>
      </c>
      <c r="B87" s="21" t="str">
        <f aca="false">IF(Variants!$B88="","",Variants!$C88&amp;IF(Variants!$F88="",""," "&amp;Variants!$F88))</f>
        <v>Bird Letter Pendant Ս</v>
      </c>
      <c r="C87" s="21" t="str">
        <f aca="false">IFERROR(IF(Variants!$B88="","","&lt;p&gt;"&amp;VLOOKUP(Variants!$B88,Designs!$A$3:$AP$165,9,FALSE())&amp;"&lt;/p&gt;"),"")</f>
        <v>&lt;p&gt;Bird letters are an ornamental medieval Armenian script where each letter is formed from stylised birds, used in illuminated manuscripts.&lt;/p&gt;</v>
      </c>
      <c r="D87" s="21" t="str">
        <f aca="false">IF(Variants!$B88="","","Karni Jewellery")</f>
        <v>Karni Jewellery</v>
      </c>
      <c r="E87" s="21" t="str">
        <f aca="false">IF(Variants!$B88="","","Apparel &amp; Accessories &gt; Jewelry")</f>
        <v>Apparel &amp; Accessories &gt; Jewelry</v>
      </c>
      <c r="F87" s="21" t="str">
        <f aca="false">IF(Variants!$D88="","",Variants!$D88)</f>
        <v>Pendant</v>
      </c>
      <c r="G87" s="21" t="str">
        <f aca="false">IF(Variants!$E88="","",Variants!$E88&amp;", Armenian jewellery, handmade")</f>
        <v>Alphabet, Armenian jewellery, handmade</v>
      </c>
      <c r="H87" s="21" t="str">
        <f aca="false">IF(Variants!$AD88="Active","TRUE","FALSE")</f>
        <v>TRUE</v>
      </c>
      <c r="I87" s="21" t="str">
        <f aca="false">IF(Variants!$H88="","","Color")</f>
        <v>Color</v>
      </c>
      <c r="J87" s="21" t="str">
        <f aca="false">IF(Variants!$H88="","",Variants!$H88)</f>
        <v>turquoise</v>
      </c>
      <c r="K87" s="21" t="str">
        <f aca="false">IF(Variants!$G88="","","Size")</f>
        <v/>
      </c>
      <c r="L87" s="21" t="str">
        <f aca="false">IF(Variants!$G88="","",Variants!$G88)</f>
        <v/>
      </c>
      <c r="M87" s="21" t="str">
        <f aca="false">Variants!$A88</f>
        <v>KARNI-PEND-ALPHA-SEH-TURQUOISE</v>
      </c>
      <c r="N87" s="21" t="str">
        <f aca="false">IF(Variants!$X88="","",Variants!$X88)</f>
        <v/>
      </c>
      <c r="O87" s="21" t="n">
        <f aca="false">IF(Variants!$O88="","",Variants!$O88)</f>
        <v>0</v>
      </c>
      <c r="P87" s="18" t="n">
        <f aca="false">IF(Variants!$J88="","",Variants!$J88)</f>
        <v>49.4</v>
      </c>
      <c r="Q87" s="21" t="str">
        <f aca="false">IF(Variants!$U88="","",Variants!$U88)</f>
        <v/>
      </c>
      <c r="R87" s="21" t="str">
        <f aca="false">IF(Variants!$Y88="","",Variants!$Y88)</f>
        <v/>
      </c>
      <c r="S87" s="21" t="n">
        <f aca="false">IFERROR(VLOOKUP(Variants!$B88,Designs!$A$3:$AP$165,37,FALSE()),"")</f>
        <v>0</v>
      </c>
      <c r="T87" s="21" t="str">
        <f aca="false">IFERROR(VLOOKUP(Variants!$B88,Designs!$A$3:$AP$165,38,FALSE()),"")</f>
        <v>No</v>
      </c>
      <c r="U87" s="21" t="str">
        <f aca="false">IF(Variants!$AD88="Active","active","draft")</f>
        <v>active</v>
      </c>
    </row>
    <row r="88" customFormat="false" ht="15.75" hidden="false" customHeight="true" outlineLevel="0" collapsed="false">
      <c r="A88" s="21" t="str">
        <f aca="false">IF(Variants!$B89="","",LOWER(Variants!$B89))</f>
        <v>dsgn-pend-alpha-seh</v>
      </c>
      <c r="B88" s="21" t="str">
        <f aca="false">IF(Variants!$B89="","",Variants!$C89&amp;IF(Variants!$F89="",""," "&amp;Variants!$F89))</f>
        <v>Bird Letter Pendant Ս</v>
      </c>
      <c r="C88" s="21" t="str">
        <f aca="false">IFERROR(IF(Variants!$B89="","","&lt;p&gt;"&amp;VLOOKUP(Variants!$B89,Designs!$A$3:$AP$165,9,FALSE())&amp;"&lt;/p&gt;"),"")</f>
        <v>&lt;p&gt;Bird letters are an ornamental medieval Armenian script where each letter is formed from stylised birds, used in illuminated manuscripts.&lt;/p&gt;</v>
      </c>
      <c r="D88" s="21" t="str">
        <f aca="false">IF(Variants!$B89="","","Karni Jewellery")</f>
        <v>Karni Jewellery</v>
      </c>
      <c r="E88" s="21" t="str">
        <f aca="false">IF(Variants!$B89="","","Apparel &amp; Accessories &gt; Jewelry")</f>
        <v>Apparel &amp; Accessories &gt; Jewelry</v>
      </c>
      <c r="F88" s="21" t="str">
        <f aca="false">IF(Variants!$D89="","",Variants!$D89)</f>
        <v>Pendant</v>
      </c>
      <c r="G88" s="21" t="str">
        <f aca="false">IF(Variants!$E89="","",Variants!$E89&amp;", Armenian jewellery, handmade")</f>
        <v>Alphabet, Armenian jewellery, handmade</v>
      </c>
      <c r="H88" s="21" t="str">
        <f aca="false">IF(Variants!$AD89="Active","TRUE","FALSE")</f>
        <v>TRUE</v>
      </c>
      <c r="I88" s="21" t="str">
        <f aca="false">IF(Variants!$H89="","","Color")</f>
        <v>Color</v>
      </c>
      <c r="J88" s="21" t="str">
        <f aca="false">IF(Variants!$H89="","",Variants!$H89)</f>
        <v>white</v>
      </c>
      <c r="K88" s="21" t="str">
        <f aca="false">IF(Variants!$G89="","","Size")</f>
        <v/>
      </c>
      <c r="L88" s="21" t="str">
        <f aca="false">IF(Variants!$G89="","",Variants!$G89)</f>
        <v/>
      </c>
      <c r="M88" s="21" t="str">
        <f aca="false">Variants!$A89</f>
        <v>KARNI-PEND-ALPHA-SEH-WHITE</v>
      </c>
      <c r="N88" s="21" t="str">
        <f aca="false">IF(Variants!$X89="","",Variants!$X89)</f>
        <v/>
      </c>
      <c r="O88" s="21" t="n">
        <f aca="false">IF(Variants!$O89="","",Variants!$O89)</f>
        <v>0</v>
      </c>
      <c r="P88" s="18" t="n">
        <f aca="false">IF(Variants!$J89="","",Variants!$J89)</f>
        <v>49.4</v>
      </c>
      <c r="Q88" s="21" t="str">
        <f aca="false">IF(Variants!$U89="","",Variants!$U89)</f>
        <v/>
      </c>
      <c r="R88" s="21" t="str">
        <f aca="false">IF(Variants!$Y89="","",Variants!$Y89)</f>
        <v/>
      </c>
      <c r="S88" s="21" t="n">
        <f aca="false">IFERROR(VLOOKUP(Variants!$B89,Designs!$A$3:$AP$165,37,FALSE()),"")</f>
        <v>0</v>
      </c>
      <c r="T88" s="21" t="str">
        <f aca="false">IFERROR(VLOOKUP(Variants!$B89,Designs!$A$3:$AP$165,38,FALSE()),"")</f>
        <v>No</v>
      </c>
      <c r="U88" s="21" t="str">
        <f aca="false">IF(Variants!$AD89="Active","active","draft")</f>
        <v>active</v>
      </c>
    </row>
    <row r="89" customFormat="false" ht="15.75" hidden="false" customHeight="true" outlineLevel="0" collapsed="false">
      <c r="A89" s="21" t="str">
        <f aca="false">IF(Variants!$B90="","",LOWER(Variants!$B90))</f>
        <v>dsgn-pend-alpha-vev</v>
      </c>
      <c r="B89" s="21" t="str">
        <f aca="false">IF(Variants!$B90="","",Variants!$C90&amp;IF(Variants!$F90="",""," "&amp;Variants!$F90))</f>
        <v>Bird Letter Pendant Վ</v>
      </c>
      <c r="C89" s="21" t="str">
        <f aca="false">IFERROR(IF(Variants!$B90="","","&lt;p&gt;"&amp;VLOOKUP(Variants!$B90,Designs!$A$3:$AP$165,9,FALSE())&amp;"&lt;/p&gt;"),"")</f>
        <v>&lt;p&gt;Bird letters are an ornamental medieval Armenian script where each letter is formed from stylised birds, used in illuminated manuscripts.&lt;/p&gt;</v>
      </c>
      <c r="D89" s="21" t="str">
        <f aca="false">IF(Variants!$B90="","","Karni Jewellery")</f>
        <v>Karni Jewellery</v>
      </c>
      <c r="E89" s="21" t="str">
        <f aca="false">IF(Variants!$B90="","","Apparel &amp; Accessories &gt; Jewelry")</f>
        <v>Apparel &amp; Accessories &gt; Jewelry</v>
      </c>
      <c r="F89" s="21" t="str">
        <f aca="false">IF(Variants!$D90="","",Variants!$D90)</f>
        <v>Pendant</v>
      </c>
      <c r="G89" s="21" t="str">
        <f aca="false">IF(Variants!$E90="","",Variants!$E90&amp;", Armenian jewellery, handmade")</f>
        <v>Alphabet, Armenian jewellery, handmade</v>
      </c>
      <c r="H89" s="21" t="str">
        <f aca="false">IF(Variants!$AD90="Active","TRUE","FALSE")</f>
        <v>TRUE</v>
      </c>
      <c r="I89" s="21" t="str">
        <f aca="false">IF(Variants!$H90="","","Color")</f>
        <v>Color</v>
      </c>
      <c r="J89" s="21" t="str">
        <f aca="false">IF(Variants!$H90="","",Variants!$H90)</f>
        <v>red</v>
      </c>
      <c r="K89" s="21" t="str">
        <f aca="false">IF(Variants!$G90="","","Size")</f>
        <v/>
      </c>
      <c r="L89" s="21" t="str">
        <f aca="false">IF(Variants!$G90="","",Variants!$G90)</f>
        <v/>
      </c>
      <c r="M89" s="21" t="str">
        <f aca="false">Variants!$A90</f>
        <v>KARNI-PEND-ALPHA-VEV-RED</v>
      </c>
      <c r="N89" s="21" t="str">
        <f aca="false">IF(Variants!$X90="","",Variants!$X90)</f>
        <v/>
      </c>
      <c r="O89" s="21" t="n">
        <f aca="false">IF(Variants!$O90="","",Variants!$O90)</f>
        <v>0</v>
      </c>
      <c r="P89" s="18" t="n">
        <f aca="false">IF(Variants!$J90="","",Variants!$J90)</f>
        <v>49.4</v>
      </c>
      <c r="Q89" s="21" t="str">
        <f aca="false">IF(Variants!$U90="","",Variants!$U90)</f>
        <v/>
      </c>
      <c r="R89" s="21" t="str">
        <f aca="false">IF(Variants!$Y90="","",Variants!$Y90)</f>
        <v/>
      </c>
      <c r="S89" s="21" t="n">
        <f aca="false">IFERROR(VLOOKUP(Variants!$B90,Designs!$A$3:$AP$165,37,FALSE()),"")</f>
        <v>0</v>
      </c>
      <c r="T89" s="21" t="str">
        <f aca="false">IFERROR(VLOOKUP(Variants!$B90,Designs!$A$3:$AP$165,38,FALSE()),"")</f>
        <v>No</v>
      </c>
      <c r="U89" s="21" t="str">
        <f aca="false">IF(Variants!$AD90="Active","active","draft")</f>
        <v>active</v>
      </c>
    </row>
    <row r="90" customFormat="false" ht="15.75" hidden="false" customHeight="true" outlineLevel="0" collapsed="false">
      <c r="A90" s="21" t="str">
        <f aca="false">IF(Variants!$B91="","",LOWER(Variants!$B91))</f>
        <v>dsgn-pend-alpha-vev</v>
      </c>
      <c r="B90" s="21" t="str">
        <f aca="false">IF(Variants!$B91="","",Variants!$C91&amp;IF(Variants!$F91="",""," "&amp;Variants!$F91))</f>
        <v>Bird Letter Pendant Վ</v>
      </c>
      <c r="C90" s="21" t="str">
        <f aca="false">IFERROR(IF(Variants!$B91="","","&lt;p&gt;"&amp;VLOOKUP(Variants!$B91,Designs!$A$3:$AP$165,9,FALSE())&amp;"&lt;/p&gt;"),"")</f>
        <v>&lt;p&gt;Bird letters are an ornamental medieval Armenian script where each letter is formed from stylised birds, used in illuminated manuscripts.&lt;/p&gt;</v>
      </c>
      <c r="D90" s="21" t="str">
        <f aca="false">IF(Variants!$B91="","","Karni Jewellery")</f>
        <v>Karni Jewellery</v>
      </c>
      <c r="E90" s="21" t="str">
        <f aca="false">IF(Variants!$B91="","","Apparel &amp; Accessories &gt; Jewelry")</f>
        <v>Apparel &amp; Accessories &gt; Jewelry</v>
      </c>
      <c r="F90" s="21" t="str">
        <f aca="false">IF(Variants!$D91="","",Variants!$D91)</f>
        <v>Pendant</v>
      </c>
      <c r="G90" s="21" t="str">
        <f aca="false">IF(Variants!$E91="","",Variants!$E91&amp;", Armenian jewellery, handmade")</f>
        <v>Alphabet, Armenian jewellery, handmade</v>
      </c>
      <c r="H90" s="21" t="str">
        <f aca="false">IF(Variants!$AD91="Active","TRUE","FALSE")</f>
        <v>TRUE</v>
      </c>
      <c r="I90" s="21" t="str">
        <f aca="false">IF(Variants!$H91="","","Color")</f>
        <v>Color</v>
      </c>
      <c r="J90" s="21" t="str">
        <f aca="false">IF(Variants!$H91="","",Variants!$H91)</f>
        <v>turquoise</v>
      </c>
      <c r="K90" s="21" t="str">
        <f aca="false">IF(Variants!$G91="","","Size")</f>
        <v/>
      </c>
      <c r="L90" s="21" t="str">
        <f aca="false">IF(Variants!$G91="","",Variants!$G91)</f>
        <v/>
      </c>
      <c r="M90" s="21" t="str">
        <f aca="false">Variants!$A91</f>
        <v>KARNI-PEND-ALPHA-VEV-TURQUOISE</v>
      </c>
      <c r="N90" s="21" t="str">
        <f aca="false">IF(Variants!$X91="","",Variants!$X91)</f>
        <v/>
      </c>
      <c r="O90" s="21" t="n">
        <f aca="false">IF(Variants!$O91="","",Variants!$O91)</f>
        <v>0</v>
      </c>
      <c r="P90" s="18" t="n">
        <f aca="false">IF(Variants!$J91="","",Variants!$J91)</f>
        <v>49.4</v>
      </c>
      <c r="Q90" s="21" t="str">
        <f aca="false">IF(Variants!$U91="","",Variants!$U91)</f>
        <v/>
      </c>
      <c r="R90" s="21" t="str">
        <f aca="false">IF(Variants!$Y91="","",Variants!$Y91)</f>
        <v/>
      </c>
      <c r="S90" s="21" t="n">
        <f aca="false">IFERROR(VLOOKUP(Variants!$B91,Designs!$A$3:$AP$165,37,FALSE()),"")</f>
        <v>0</v>
      </c>
      <c r="T90" s="21" t="str">
        <f aca="false">IFERROR(VLOOKUP(Variants!$B91,Designs!$A$3:$AP$165,38,FALSE()),"")</f>
        <v>No</v>
      </c>
      <c r="U90" s="21" t="str">
        <f aca="false">IF(Variants!$AD91="Active","active","draft")</f>
        <v>active</v>
      </c>
    </row>
    <row r="91" customFormat="false" ht="15.75" hidden="false" customHeight="true" outlineLevel="0" collapsed="false">
      <c r="A91" s="21" t="str">
        <f aca="false">IF(Variants!$B92="","",LOWER(Variants!$B92))</f>
        <v>dsgn-pend-alpha-vev</v>
      </c>
      <c r="B91" s="21" t="str">
        <f aca="false">IF(Variants!$B92="","",Variants!$C92&amp;IF(Variants!$F92="",""," "&amp;Variants!$F92))</f>
        <v>Bird Letter Pendant Վ</v>
      </c>
      <c r="C91" s="21" t="str">
        <f aca="false">IFERROR(IF(Variants!$B92="","","&lt;p&gt;"&amp;VLOOKUP(Variants!$B92,Designs!$A$3:$AP$165,9,FALSE())&amp;"&lt;/p&gt;"),"")</f>
        <v>&lt;p&gt;Bird letters are an ornamental medieval Armenian script where each letter is formed from stylised birds, used in illuminated manuscripts.&lt;/p&gt;</v>
      </c>
      <c r="D91" s="21" t="str">
        <f aca="false">IF(Variants!$B92="","","Karni Jewellery")</f>
        <v>Karni Jewellery</v>
      </c>
      <c r="E91" s="21" t="str">
        <f aca="false">IF(Variants!$B92="","","Apparel &amp; Accessories &gt; Jewelry")</f>
        <v>Apparel &amp; Accessories &gt; Jewelry</v>
      </c>
      <c r="F91" s="21" t="str">
        <f aca="false">IF(Variants!$D92="","",Variants!$D92)</f>
        <v>Pendant</v>
      </c>
      <c r="G91" s="21" t="str">
        <f aca="false">IF(Variants!$E92="","",Variants!$E92&amp;", Armenian jewellery, handmade")</f>
        <v>Alphabet, Armenian jewellery, handmade</v>
      </c>
      <c r="H91" s="21" t="str">
        <f aca="false">IF(Variants!$AD92="Active","TRUE","FALSE")</f>
        <v>TRUE</v>
      </c>
      <c r="I91" s="21" t="str">
        <f aca="false">IF(Variants!$H92="","","Color")</f>
        <v>Color</v>
      </c>
      <c r="J91" s="21" t="str">
        <f aca="false">IF(Variants!$H92="","",Variants!$H92)</f>
        <v>white</v>
      </c>
      <c r="K91" s="21" t="str">
        <f aca="false">IF(Variants!$G92="","","Size")</f>
        <v/>
      </c>
      <c r="L91" s="21" t="str">
        <f aca="false">IF(Variants!$G92="","",Variants!$G92)</f>
        <v/>
      </c>
      <c r="M91" s="21" t="str">
        <f aca="false">Variants!$A92</f>
        <v>KARNI-PEND-ALPHA-VEV-WHITE</v>
      </c>
      <c r="N91" s="21" t="str">
        <f aca="false">IF(Variants!$X92="","",Variants!$X92)</f>
        <v/>
      </c>
      <c r="O91" s="21" t="n">
        <f aca="false">IF(Variants!$O92="","",Variants!$O92)</f>
        <v>0</v>
      </c>
      <c r="P91" s="18" t="n">
        <f aca="false">IF(Variants!$J92="","",Variants!$J92)</f>
        <v>49.4</v>
      </c>
      <c r="Q91" s="21" t="str">
        <f aca="false">IF(Variants!$U92="","",Variants!$U92)</f>
        <v/>
      </c>
      <c r="R91" s="21" t="str">
        <f aca="false">IF(Variants!$Y92="","",Variants!$Y92)</f>
        <v/>
      </c>
      <c r="S91" s="21" t="n">
        <f aca="false">IFERROR(VLOOKUP(Variants!$B92,Designs!$A$3:$AP$165,37,FALSE()),"")</f>
        <v>0</v>
      </c>
      <c r="T91" s="21" t="str">
        <f aca="false">IFERROR(VLOOKUP(Variants!$B92,Designs!$A$3:$AP$165,38,FALSE()),"")</f>
        <v>No</v>
      </c>
      <c r="U91" s="21" t="str">
        <f aca="false">IF(Variants!$AD92="Active","active","draft")</f>
        <v>active</v>
      </c>
    </row>
    <row r="92" customFormat="false" ht="15.75" hidden="false" customHeight="true" outlineLevel="0" collapsed="false">
      <c r="A92" s="21" t="str">
        <f aca="false">IF(Variants!$B93="","",LOWER(Variants!$B93))</f>
        <v>dsgn-pend-alpha-tyun</v>
      </c>
      <c r="B92" s="21" t="str">
        <f aca="false">IF(Variants!$B93="","",Variants!$C93&amp;IF(Variants!$F93="",""," "&amp;Variants!$F93))</f>
        <v>Bird Letter Pendant Տ</v>
      </c>
      <c r="C92" s="21" t="str">
        <f aca="false">IFERROR(IF(Variants!$B93="","","&lt;p&gt;"&amp;VLOOKUP(Variants!$B93,Designs!$A$3:$AP$165,9,FALSE())&amp;"&lt;/p&gt;"),"")</f>
        <v>&lt;p&gt;Bird letters are an ornamental medieval Armenian script where each letter is formed from stylised birds, used in illuminated manuscripts.&lt;/p&gt;</v>
      </c>
      <c r="D92" s="21" t="str">
        <f aca="false">IF(Variants!$B93="","","Karni Jewellery")</f>
        <v>Karni Jewellery</v>
      </c>
      <c r="E92" s="21" t="str">
        <f aca="false">IF(Variants!$B93="","","Apparel &amp; Accessories &gt; Jewelry")</f>
        <v>Apparel &amp; Accessories &gt; Jewelry</v>
      </c>
      <c r="F92" s="21" t="str">
        <f aca="false">IF(Variants!$D93="","",Variants!$D93)</f>
        <v>Pendant</v>
      </c>
      <c r="G92" s="21" t="str">
        <f aca="false">IF(Variants!$E93="","",Variants!$E93&amp;", Armenian jewellery, handmade")</f>
        <v>Alphabet, Armenian jewellery, handmade</v>
      </c>
      <c r="H92" s="21" t="str">
        <f aca="false">IF(Variants!$AD93="Active","TRUE","FALSE")</f>
        <v>TRUE</v>
      </c>
      <c r="I92" s="21" t="str">
        <f aca="false">IF(Variants!$H93="","","Color")</f>
        <v>Color</v>
      </c>
      <c r="J92" s="21" t="str">
        <f aca="false">IF(Variants!$H93="","",Variants!$H93)</f>
        <v>red</v>
      </c>
      <c r="K92" s="21" t="str">
        <f aca="false">IF(Variants!$G93="","","Size")</f>
        <v/>
      </c>
      <c r="L92" s="21" t="str">
        <f aca="false">IF(Variants!$G93="","",Variants!$G93)</f>
        <v/>
      </c>
      <c r="M92" s="21" t="str">
        <f aca="false">Variants!$A93</f>
        <v>KARNI-PEND-ALPHA-TYUN-RED</v>
      </c>
      <c r="N92" s="21" t="str">
        <f aca="false">IF(Variants!$X93="","",Variants!$X93)</f>
        <v/>
      </c>
      <c r="O92" s="21" t="n">
        <f aca="false">IF(Variants!$O93="","",Variants!$O93)</f>
        <v>0</v>
      </c>
      <c r="P92" s="18" t="n">
        <f aca="false">IF(Variants!$J93="","",Variants!$J93)</f>
        <v>49.4</v>
      </c>
      <c r="Q92" s="21" t="str">
        <f aca="false">IF(Variants!$U93="","",Variants!$U93)</f>
        <v/>
      </c>
      <c r="R92" s="21" t="str">
        <f aca="false">IF(Variants!$Y93="","",Variants!$Y93)</f>
        <v/>
      </c>
      <c r="S92" s="21" t="n">
        <f aca="false">IFERROR(VLOOKUP(Variants!$B93,Designs!$A$3:$AP$165,37,FALSE()),"")</f>
        <v>0</v>
      </c>
      <c r="T92" s="21" t="str">
        <f aca="false">IFERROR(VLOOKUP(Variants!$B93,Designs!$A$3:$AP$165,38,FALSE()),"")</f>
        <v>No</v>
      </c>
      <c r="U92" s="21" t="str">
        <f aca="false">IF(Variants!$AD93="Active","active","draft")</f>
        <v>active</v>
      </c>
    </row>
    <row r="93" customFormat="false" ht="15.75" hidden="false" customHeight="true" outlineLevel="0" collapsed="false">
      <c r="A93" s="21" t="str">
        <f aca="false">IF(Variants!$B94="","",LOWER(Variants!$B94))</f>
        <v>dsgn-pend-alpha-tyun</v>
      </c>
      <c r="B93" s="21" t="str">
        <f aca="false">IF(Variants!$B94="","",Variants!$C94&amp;IF(Variants!$F94="",""," "&amp;Variants!$F94))</f>
        <v>Bird Letter Pendant Տ</v>
      </c>
      <c r="C93" s="21" t="str">
        <f aca="false">IFERROR(IF(Variants!$B94="","","&lt;p&gt;"&amp;VLOOKUP(Variants!$B94,Designs!$A$3:$AP$165,9,FALSE())&amp;"&lt;/p&gt;"),"")</f>
        <v>&lt;p&gt;Bird letters are an ornamental medieval Armenian script where each letter is formed from stylised birds, used in illuminated manuscripts.&lt;/p&gt;</v>
      </c>
      <c r="D93" s="21" t="str">
        <f aca="false">IF(Variants!$B94="","","Karni Jewellery")</f>
        <v>Karni Jewellery</v>
      </c>
      <c r="E93" s="21" t="str">
        <f aca="false">IF(Variants!$B94="","","Apparel &amp; Accessories &gt; Jewelry")</f>
        <v>Apparel &amp; Accessories &gt; Jewelry</v>
      </c>
      <c r="F93" s="21" t="str">
        <f aca="false">IF(Variants!$D94="","",Variants!$D94)</f>
        <v>Pendant</v>
      </c>
      <c r="G93" s="21" t="str">
        <f aca="false">IF(Variants!$E94="","",Variants!$E94&amp;", Armenian jewellery, handmade")</f>
        <v>Alphabet, Armenian jewellery, handmade</v>
      </c>
      <c r="H93" s="21" t="str">
        <f aca="false">IF(Variants!$AD94="Active","TRUE","FALSE")</f>
        <v>TRUE</v>
      </c>
      <c r="I93" s="21" t="str">
        <f aca="false">IF(Variants!$H94="","","Color")</f>
        <v>Color</v>
      </c>
      <c r="J93" s="21" t="str">
        <f aca="false">IF(Variants!$H94="","",Variants!$H94)</f>
        <v>turquoise</v>
      </c>
      <c r="K93" s="21" t="str">
        <f aca="false">IF(Variants!$G94="","","Size")</f>
        <v/>
      </c>
      <c r="L93" s="21" t="str">
        <f aca="false">IF(Variants!$G94="","",Variants!$G94)</f>
        <v/>
      </c>
      <c r="M93" s="21" t="str">
        <f aca="false">Variants!$A94</f>
        <v>KARNI-PEND-ALPHA-TYUN-TURQUOISE</v>
      </c>
      <c r="N93" s="21" t="str">
        <f aca="false">IF(Variants!$X94="","",Variants!$X94)</f>
        <v/>
      </c>
      <c r="O93" s="21" t="n">
        <f aca="false">IF(Variants!$O94="","",Variants!$O94)</f>
        <v>0</v>
      </c>
      <c r="P93" s="18" t="n">
        <f aca="false">IF(Variants!$J94="","",Variants!$J94)</f>
        <v>49.4</v>
      </c>
      <c r="Q93" s="21" t="str">
        <f aca="false">IF(Variants!$U94="","",Variants!$U94)</f>
        <v/>
      </c>
      <c r="R93" s="21" t="str">
        <f aca="false">IF(Variants!$Y94="","",Variants!$Y94)</f>
        <v/>
      </c>
      <c r="S93" s="21" t="n">
        <f aca="false">IFERROR(VLOOKUP(Variants!$B94,Designs!$A$3:$AP$165,37,FALSE()),"")</f>
        <v>0</v>
      </c>
      <c r="T93" s="21" t="str">
        <f aca="false">IFERROR(VLOOKUP(Variants!$B94,Designs!$A$3:$AP$165,38,FALSE()),"")</f>
        <v>No</v>
      </c>
      <c r="U93" s="21" t="str">
        <f aca="false">IF(Variants!$AD94="Active","active","draft")</f>
        <v>active</v>
      </c>
    </row>
    <row r="94" customFormat="false" ht="15.75" hidden="false" customHeight="true" outlineLevel="0" collapsed="false">
      <c r="A94" s="21" t="str">
        <f aca="false">IF(Variants!$B95="","",LOWER(Variants!$B95))</f>
        <v>dsgn-pend-alpha-tyun</v>
      </c>
      <c r="B94" s="21" t="str">
        <f aca="false">IF(Variants!$B95="","",Variants!$C95&amp;IF(Variants!$F95="",""," "&amp;Variants!$F95))</f>
        <v>Bird Letter Pendant Տ</v>
      </c>
      <c r="C94" s="21" t="str">
        <f aca="false">IFERROR(IF(Variants!$B95="","","&lt;p&gt;"&amp;VLOOKUP(Variants!$B95,Designs!$A$3:$AP$165,9,FALSE())&amp;"&lt;/p&gt;"),"")</f>
        <v>&lt;p&gt;Bird letters are an ornamental medieval Armenian script where each letter is formed from stylised birds, used in illuminated manuscripts.&lt;/p&gt;</v>
      </c>
      <c r="D94" s="21" t="str">
        <f aca="false">IF(Variants!$B95="","","Karni Jewellery")</f>
        <v>Karni Jewellery</v>
      </c>
      <c r="E94" s="21" t="str">
        <f aca="false">IF(Variants!$B95="","","Apparel &amp; Accessories &gt; Jewelry")</f>
        <v>Apparel &amp; Accessories &gt; Jewelry</v>
      </c>
      <c r="F94" s="21" t="str">
        <f aca="false">IF(Variants!$D95="","",Variants!$D95)</f>
        <v>Pendant</v>
      </c>
      <c r="G94" s="21" t="str">
        <f aca="false">IF(Variants!$E95="","",Variants!$E95&amp;", Armenian jewellery, handmade")</f>
        <v>Alphabet, Armenian jewellery, handmade</v>
      </c>
      <c r="H94" s="21" t="str">
        <f aca="false">IF(Variants!$AD95="Active","TRUE","FALSE")</f>
        <v>TRUE</v>
      </c>
      <c r="I94" s="21" t="str">
        <f aca="false">IF(Variants!$H95="","","Color")</f>
        <v>Color</v>
      </c>
      <c r="J94" s="21" t="str">
        <f aca="false">IF(Variants!$H95="","",Variants!$H95)</f>
        <v>white</v>
      </c>
      <c r="K94" s="21" t="str">
        <f aca="false">IF(Variants!$G95="","","Size")</f>
        <v/>
      </c>
      <c r="L94" s="21" t="str">
        <f aca="false">IF(Variants!$G95="","",Variants!$G95)</f>
        <v/>
      </c>
      <c r="M94" s="21" t="str">
        <f aca="false">Variants!$A95</f>
        <v>KARNI-PEND-ALPHA-TYUN-WHITE</v>
      </c>
      <c r="N94" s="21" t="str">
        <f aca="false">IF(Variants!$X95="","",Variants!$X95)</f>
        <v/>
      </c>
      <c r="O94" s="21" t="n">
        <f aca="false">IF(Variants!$O95="","",Variants!$O95)</f>
        <v>0</v>
      </c>
      <c r="P94" s="18" t="n">
        <f aca="false">IF(Variants!$J95="","",Variants!$J95)</f>
        <v>49.4</v>
      </c>
      <c r="Q94" s="21" t="str">
        <f aca="false">IF(Variants!$U95="","",Variants!$U95)</f>
        <v/>
      </c>
      <c r="R94" s="21" t="str">
        <f aca="false">IF(Variants!$Y95="","",Variants!$Y95)</f>
        <v/>
      </c>
      <c r="S94" s="21" t="n">
        <f aca="false">IFERROR(VLOOKUP(Variants!$B95,Designs!$A$3:$AP$165,37,FALSE()),"")</f>
        <v>0</v>
      </c>
      <c r="T94" s="21" t="str">
        <f aca="false">IFERROR(VLOOKUP(Variants!$B95,Designs!$A$3:$AP$165,38,FALSE()),"")</f>
        <v>No</v>
      </c>
      <c r="U94" s="21" t="str">
        <f aca="false">IF(Variants!$AD95="Active","active","draft")</f>
        <v>active</v>
      </c>
    </row>
    <row r="95" customFormat="false" ht="15.75" hidden="false" customHeight="true" outlineLevel="0" collapsed="false">
      <c r="A95" s="21" t="str">
        <f aca="false">IF(Variants!$B96="","",LOWER(Variants!$B96))</f>
        <v>dsgn-pend-alpha-reh</v>
      </c>
      <c r="B95" s="21" t="str">
        <f aca="false">IF(Variants!$B96="","",Variants!$C96&amp;IF(Variants!$F96="",""," "&amp;Variants!$F96))</f>
        <v>Bird Letter Pendant Ր</v>
      </c>
      <c r="C95" s="21" t="str">
        <f aca="false">IFERROR(IF(Variants!$B96="","","&lt;p&gt;"&amp;VLOOKUP(Variants!$B96,Designs!$A$3:$AP$165,9,FALSE())&amp;"&lt;/p&gt;"),"")</f>
        <v>&lt;p&gt;Bird letters are an ornamental medieval Armenian script where each letter is formed from stylised birds, used in illuminated manuscripts.&lt;/p&gt;</v>
      </c>
      <c r="D95" s="21" t="str">
        <f aca="false">IF(Variants!$B96="","","Karni Jewellery")</f>
        <v>Karni Jewellery</v>
      </c>
      <c r="E95" s="21" t="str">
        <f aca="false">IF(Variants!$B96="","","Apparel &amp; Accessories &gt; Jewelry")</f>
        <v>Apparel &amp; Accessories &gt; Jewelry</v>
      </c>
      <c r="F95" s="21" t="str">
        <f aca="false">IF(Variants!$D96="","",Variants!$D96)</f>
        <v>Pendant</v>
      </c>
      <c r="G95" s="21" t="str">
        <f aca="false">IF(Variants!$E96="","",Variants!$E96&amp;", Armenian jewellery, handmade")</f>
        <v>Alphabet, Armenian jewellery, handmade</v>
      </c>
      <c r="H95" s="21" t="str">
        <f aca="false">IF(Variants!$AD96="Active","TRUE","FALSE")</f>
        <v>TRUE</v>
      </c>
      <c r="I95" s="21" t="str">
        <f aca="false">IF(Variants!$H96="","","Color")</f>
        <v>Color</v>
      </c>
      <c r="J95" s="21" t="str">
        <f aca="false">IF(Variants!$H96="","",Variants!$H96)</f>
        <v>red</v>
      </c>
      <c r="K95" s="21" t="str">
        <f aca="false">IF(Variants!$G96="","","Size")</f>
        <v/>
      </c>
      <c r="L95" s="21" t="str">
        <f aca="false">IF(Variants!$G96="","",Variants!$G96)</f>
        <v/>
      </c>
      <c r="M95" s="21" t="str">
        <f aca="false">Variants!$A96</f>
        <v>KARNI-PEND-ALPHA-REH-RED</v>
      </c>
      <c r="N95" s="21" t="str">
        <f aca="false">IF(Variants!$X96="","",Variants!$X96)</f>
        <v/>
      </c>
      <c r="O95" s="21" t="n">
        <f aca="false">IF(Variants!$O96="","",Variants!$O96)</f>
        <v>0</v>
      </c>
      <c r="P95" s="18" t="n">
        <f aca="false">IF(Variants!$J96="","",Variants!$J96)</f>
        <v>49.4</v>
      </c>
      <c r="Q95" s="21" t="str">
        <f aca="false">IF(Variants!$U96="","",Variants!$U96)</f>
        <v/>
      </c>
      <c r="R95" s="21" t="str">
        <f aca="false">IF(Variants!$Y96="","",Variants!$Y96)</f>
        <v/>
      </c>
      <c r="S95" s="21" t="n">
        <f aca="false">IFERROR(VLOOKUP(Variants!$B96,Designs!$A$3:$AP$165,37,FALSE()),"")</f>
        <v>0</v>
      </c>
      <c r="T95" s="21" t="str">
        <f aca="false">IFERROR(VLOOKUP(Variants!$B96,Designs!$A$3:$AP$165,38,FALSE()),"")</f>
        <v>No</v>
      </c>
      <c r="U95" s="21" t="str">
        <f aca="false">IF(Variants!$AD96="Active","active","draft")</f>
        <v>active</v>
      </c>
    </row>
    <row r="96" customFormat="false" ht="15.75" hidden="false" customHeight="true" outlineLevel="0" collapsed="false">
      <c r="A96" s="21" t="str">
        <f aca="false">IF(Variants!$B97="","",LOWER(Variants!$B97))</f>
        <v>dsgn-pend-alpha-reh</v>
      </c>
      <c r="B96" s="21" t="str">
        <f aca="false">IF(Variants!$B97="","",Variants!$C97&amp;IF(Variants!$F97="",""," "&amp;Variants!$F97))</f>
        <v>Bird Letter Pendant Ր</v>
      </c>
      <c r="C96" s="21" t="str">
        <f aca="false">IFERROR(IF(Variants!$B97="","","&lt;p&gt;"&amp;VLOOKUP(Variants!$B97,Designs!$A$3:$AP$165,9,FALSE())&amp;"&lt;/p&gt;"),"")</f>
        <v>&lt;p&gt;Bird letters are an ornamental medieval Armenian script where each letter is formed from stylised birds, used in illuminated manuscripts.&lt;/p&gt;</v>
      </c>
      <c r="D96" s="21" t="str">
        <f aca="false">IF(Variants!$B97="","","Karni Jewellery")</f>
        <v>Karni Jewellery</v>
      </c>
      <c r="E96" s="21" t="str">
        <f aca="false">IF(Variants!$B97="","","Apparel &amp; Accessories &gt; Jewelry")</f>
        <v>Apparel &amp; Accessories &gt; Jewelry</v>
      </c>
      <c r="F96" s="21" t="str">
        <f aca="false">IF(Variants!$D97="","",Variants!$D97)</f>
        <v>Pendant</v>
      </c>
      <c r="G96" s="21" t="str">
        <f aca="false">IF(Variants!$E97="","",Variants!$E97&amp;", Armenian jewellery, handmade")</f>
        <v>Alphabet, Armenian jewellery, handmade</v>
      </c>
      <c r="H96" s="21" t="str">
        <f aca="false">IF(Variants!$AD97="Active","TRUE","FALSE")</f>
        <v>TRUE</v>
      </c>
      <c r="I96" s="21" t="str">
        <f aca="false">IF(Variants!$H97="","","Color")</f>
        <v>Color</v>
      </c>
      <c r="J96" s="21" t="str">
        <f aca="false">IF(Variants!$H97="","",Variants!$H97)</f>
        <v>turquoise</v>
      </c>
      <c r="K96" s="21" t="str">
        <f aca="false">IF(Variants!$G97="","","Size")</f>
        <v/>
      </c>
      <c r="L96" s="21" t="str">
        <f aca="false">IF(Variants!$G97="","",Variants!$G97)</f>
        <v/>
      </c>
      <c r="M96" s="21" t="str">
        <f aca="false">Variants!$A97</f>
        <v>KARNI-PEND-ALPHA-REH-TURQUOISE</v>
      </c>
      <c r="N96" s="21" t="str">
        <f aca="false">IF(Variants!$X97="","",Variants!$X97)</f>
        <v/>
      </c>
      <c r="O96" s="21" t="n">
        <f aca="false">IF(Variants!$O97="","",Variants!$O97)</f>
        <v>0</v>
      </c>
      <c r="P96" s="18" t="n">
        <f aca="false">IF(Variants!$J97="","",Variants!$J97)</f>
        <v>49.4</v>
      </c>
      <c r="Q96" s="21" t="str">
        <f aca="false">IF(Variants!$U97="","",Variants!$U97)</f>
        <v/>
      </c>
      <c r="R96" s="21" t="str">
        <f aca="false">IF(Variants!$Y97="","",Variants!$Y97)</f>
        <v/>
      </c>
      <c r="S96" s="21" t="n">
        <f aca="false">IFERROR(VLOOKUP(Variants!$B97,Designs!$A$3:$AP$165,37,FALSE()),"")</f>
        <v>0</v>
      </c>
      <c r="T96" s="21" t="str">
        <f aca="false">IFERROR(VLOOKUP(Variants!$B97,Designs!$A$3:$AP$165,38,FALSE()),"")</f>
        <v>No</v>
      </c>
      <c r="U96" s="21" t="str">
        <f aca="false">IF(Variants!$AD97="Active","active","draft")</f>
        <v>active</v>
      </c>
    </row>
    <row r="97" customFormat="false" ht="15.75" hidden="false" customHeight="true" outlineLevel="0" collapsed="false">
      <c r="A97" s="21" t="str">
        <f aca="false">IF(Variants!$B98="","",LOWER(Variants!$B98))</f>
        <v>dsgn-pend-alpha-reh</v>
      </c>
      <c r="B97" s="21" t="str">
        <f aca="false">IF(Variants!$B98="","",Variants!$C98&amp;IF(Variants!$F98="",""," "&amp;Variants!$F98))</f>
        <v>Bird Letter Pendant Ր</v>
      </c>
      <c r="C97" s="21" t="str">
        <f aca="false">IFERROR(IF(Variants!$B98="","","&lt;p&gt;"&amp;VLOOKUP(Variants!$B98,Designs!$A$3:$AP$165,9,FALSE())&amp;"&lt;/p&gt;"),"")</f>
        <v>&lt;p&gt;Bird letters are an ornamental medieval Armenian script where each letter is formed from stylised birds, used in illuminated manuscripts.&lt;/p&gt;</v>
      </c>
      <c r="D97" s="21" t="str">
        <f aca="false">IF(Variants!$B98="","","Karni Jewellery")</f>
        <v>Karni Jewellery</v>
      </c>
      <c r="E97" s="21" t="str">
        <f aca="false">IF(Variants!$B98="","","Apparel &amp; Accessories &gt; Jewelry")</f>
        <v>Apparel &amp; Accessories &gt; Jewelry</v>
      </c>
      <c r="F97" s="21" t="str">
        <f aca="false">IF(Variants!$D98="","",Variants!$D98)</f>
        <v>Pendant</v>
      </c>
      <c r="G97" s="21" t="str">
        <f aca="false">IF(Variants!$E98="","",Variants!$E98&amp;", Armenian jewellery, handmade")</f>
        <v>Alphabet, Armenian jewellery, handmade</v>
      </c>
      <c r="H97" s="21" t="str">
        <f aca="false">IF(Variants!$AD98="Active","TRUE","FALSE")</f>
        <v>TRUE</v>
      </c>
      <c r="I97" s="21" t="str">
        <f aca="false">IF(Variants!$H98="","","Color")</f>
        <v>Color</v>
      </c>
      <c r="J97" s="21" t="str">
        <f aca="false">IF(Variants!$H98="","",Variants!$H98)</f>
        <v>white</v>
      </c>
      <c r="K97" s="21" t="str">
        <f aca="false">IF(Variants!$G98="","","Size")</f>
        <v/>
      </c>
      <c r="L97" s="21" t="str">
        <f aca="false">IF(Variants!$G98="","",Variants!$G98)</f>
        <v/>
      </c>
      <c r="M97" s="21" t="str">
        <f aca="false">Variants!$A98</f>
        <v>KARNI-PEND-ALPHA-REH-WHITE</v>
      </c>
      <c r="N97" s="21" t="str">
        <f aca="false">IF(Variants!$X98="","",Variants!$X98)</f>
        <v/>
      </c>
      <c r="O97" s="21" t="n">
        <f aca="false">IF(Variants!$O98="","",Variants!$O98)</f>
        <v>0</v>
      </c>
      <c r="P97" s="18" t="n">
        <f aca="false">IF(Variants!$J98="","",Variants!$J98)</f>
        <v>49.4</v>
      </c>
      <c r="Q97" s="21" t="str">
        <f aca="false">IF(Variants!$U98="","",Variants!$U98)</f>
        <v/>
      </c>
      <c r="R97" s="21" t="str">
        <f aca="false">IF(Variants!$Y98="","",Variants!$Y98)</f>
        <v/>
      </c>
      <c r="S97" s="21" t="n">
        <f aca="false">IFERROR(VLOOKUP(Variants!$B98,Designs!$A$3:$AP$165,37,FALSE()),"")</f>
        <v>0</v>
      </c>
      <c r="T97" s="21" t="str">
        <f aca="false">IFERROR(VLOOKUP(Variants!$B98,Designs!$A$3:$AP$165,38,FALSE()),"")</f>
        <v>No</v>
      </c>
      <c r="U97" s="21" t="str">
        <f aca="false">IF(Variants!$AD98="Active","active","draft")</f>
        <v>active</v>
      </c>
    </row>
    <row r="98" customFormat="false" ht="15.75" hidden="false" customHeight="true" outlineLevel="0" collapsed="false">
      <c r="A98" s="21" t="str">
        <f aca="false">IF(Variants!$B99="","",LOWER(Variants!$B99))</f>
        <v>dsgn-pend-alpha-tso</v>
      </c>
      <c r="B98" s="21" t="str">
        <f aca="false">IF(Variants!$B99="","",Variants!$C99&amp;IF(Variants!$F99="",""," "&amp;Variants!$F99))</f>
        <v>Bird Letter Pendant Ց</v>
      </c>
      <c r="C98" s="21" t="str">
        <f aca="false">IFERROR(IF(Variants!$B99="","","&lt;p&gt;"&amp;VLOOKUP(Variants!$B99,Designs!$A$3:$AP$165,9,FALSE())&amp;"&lt;/p&gt;"),"")</f>
        <v>&lt;p&gt;Bird letters are an ornamental medieval Armenian script where each letter is formed from stylised birds, used in illuminated manuscripts.&lt;/p&gt;</v>
      </c>
      <c r="D98" s="21" t="str">
        <f aca="false">IF(Variants!$B99="","","Karni Jewellery")</f>
        <v>Karni Jewellery</v>
      </c>
      <c r="E98" s="21" t="str">
        <f aca="false">IF(Variants!$B99="","","Apparel &amp; Accessories &gt; Jewelry")</f>
        <v>Apparel &amp; Accessories &gt; Jewelry</v>
      </c>
      <c r="F98" s="21" t="str">
        <f aca="false">IF(Variants!$D99="","",Variants!$D99)</f>
        <v>Pendant</v>
      </c>
      <c r="G98" s="21" t="str">
        <f aca="false">IF(Variants!$E99="","",Variants!$E99&amp;", Armenian jewellery, handmade")</f>
        <v>Alphabet, Armenian jewellery, handmade</v>
      </c>
      <c r="H98" s="21" t="str">
        <f aca="false">IF(Variants!$AD99="Active","TRUE","FALSE")</f>
        <v>TRUE</v>
      </c>
      <c r="I98" s="21" t="str">
        <f aca="false">IF(Variants!$H99="","","Color")</f>
        <v>Color</v>
      </c>
      <c r="J98" s="21" t="str">
        <f aca="false">IF(Variants!$H99="","",Variants!$H99)</f>
        <v>red</v>
      </c>
      <c r="K98" s="21" t="str">
        <f aca="false">IF(Variants!$G99="","","Size")</f>
        <v/>
      </c>
      <c r="L98" s="21" t="str">
        <f aca="false">IF(Variants!$G99="","",Variants!$G99)</f>
        <v/>
      </c>
      <c r="M98" s="21" t="str">
        <f aca="false">Variants!$A99</f>
        <v>KARNI-PEND-ALPHA-TSO-RED</v>
      </c>
      <c r="N98" s="21" t="str">
        <f aca="false">IF(Variants!$X99="","",Variants!$X99)</f>
        <v/>
      </c>
      <c r="O98" s="21" t="n">
        <f aca="false">IF(Variants!$O99="","",Variants!$O99)</f>
        <v>0</v>
      </c>
      <c r="P98" s="18" t="n">
        <f aca="false">IF(Variants!$J99="","",Variants!$J99)</f>
        <v>49.4</v>
      </c>
      <c r="Q98" s="21" t="str">
        <f aca="false">IF(Variants!$U99="","",Variants!$U99)</f>
        <v/>
      </c>
      <c r="R98" s="21" t="str">
        <f aca="false">IF(Variants!$Y99="","",Variants!$Y99)</f>
        <v/>
      </c>
      <c r="S98" s="21" t="n">
        <f aca="false">IFERROR(VLOOKUP(Variants!$B99,Designs!$A$3:$AP$165,37,FALSE()),"")</f>
        <v>0</v>
      </c>
      <c r="T98" s="21" t="str">
        <f aca="false">IFERROR(VLOOKUP(Variants!$B99,Designs!$A$3:$AP$165,38,FALSE()),"")</f>
        <v>No</v>
      </c>
      <c r="U98" s="21" t="str">
        <f aca="false">IF(Variants!$AD99="Active","active","draft")</f>
        <v>active</v>
      </c>
    </row>
    <row r="99" customFormat="false" ht="15.75" hidden="false" customHeight="true" outlineLevel="0" collapsed="false">
      <c r="A99" s="21" t="str">
        <f aca="false">IF(Variants!$B100="","",LOWER(Variants!$B100))</f>
        <v>dsgn-pend-alpha-tso</v>
      </c>
      <c r="B99" s="21" t="str">
        <f aca="false">IF(Variants!$B100="","",Variants!$C100&amp;IF(Variants!$F100="",""," "&amp;Variants!$F100))</f>
        <v>Bird Letter Pendant Ց</v>
      </c>
      <c r="C99" s="21" t="str">
        <f aca="false">IFERROR(IF(Variants!$B100="","","&lt;p&gt;"&amp;VLOOKUP(Variants!$B100,Designs!$A$3:$AP$165,9,FALSE())&amp;"&lt;/p&gt;"),"")</f>
        <v>&lt;p&gt;Bird letters are an ornamental medieval Armenian script where each letter is formed from stylised birds, used in illuminated manuscripts.&lt;/p&gt;</v>
      </c>
      <c r="D99" s="21" t="str">
        <f aca="false">IF(Variants!$B100="","","Karni Jewellery")</f>
        <v>Karni Jewellery</v>
      </c>
      <c r="E99" s="21" t="str">
        <f aca="false">IF(Variants!$B100="","","Apparel &amp; Accessories &gt; Jewelry")</f>
        <v>Apparel &amp; Accessories &gt; Jewelry</v>
      </c>
      <c r="F99" s="21" t="str">
        <f aca="false">IF(Variants!$D100="","",Variants!$D100)</f>
        <v>Pendant</v>
      </c>
      <c r="G99" s="21" t="str">
        <f aca="false">IF(Variants!$E100="","",Variants!$E100&amp;", Armenian jewellery, handmade")</f>
        <v>Alphabet, Armenian jewellery, handmade</v>
      </c>
      <c r="H99" s="21" t="str">
        <f aca="false">IF(Variants!$AD100="Active","TRUE","FALSE")</f>
        <v>TRUE</v>
      </c>
      <c r="I99" s="21" t="str">
        <f aca="false">IF(Variants!$H100="","","Color")</f>
        <v>Color</v>
      </c>
      <c r="J99" s="21" t="str">
        <f aca="false">IF(Variants!$H100="","",Variants!$H100)</f>
        <v>turquoise</v>
      </c>
      <c r="K99" s="21" t="str">
        <f aca="false">IF(Variants!$G100="","","Size")</f>
        <v/>
      </c>
      <c r="L99" s="21" t="str">
        <f aca="false">IF(Variants!$G100="","",Variants!$G100)</f>
        <v/>
      </c>
      <c r="M99" s="21" t="str">
        <f aca="false">Variants!$A100</f>
        <v>KARNI-PEND-ALPHA-TSO-TURQUOISE</v>
      </c>
      <c r="N99" s="21" t="str">
        <f aca="false">IF(Variants!$X100="","",Variants!$X100)</f>
        <v/>
      </c>
      <c r="O99" s="21" t="n">
        <f aca="false">IF(Variants!$O100="","",Variants!$O100)</f>
        <v>0</v>
      </c>
      <c r="P99" s="18" t="n">
        <f aca="false">IF(Variants!$J100="","",Variants!$J100)</f>
        <v>49.4</v>
      </c>
      <c r="Q99" s="21" t="str">
        <f aca="false">IF(Variants!$U100="","",Variants!$U100)</f>
        <v/>
      </c>
      <c r="R99" s="21" t="str">
        <f aca="false">IF(Variants!$Y100="","",Variants!$Y100)</f>
        <v/>
      </c>
      <c r="S99" s="21" t="n">
        <f aca="false">IFERROR(VLOOKUP(Variants!$B100,Designs!$A$3:$AP$165,37,FALSE()),"")</f>
        <v>0</v>
      </c>
      <c r="T99" s="21" t="str">
        <f aca="false">IFERROR(VLOOKUP(Variants!$B100,Designs!$A$3:$AP$165,38,FALSE()),"")</f>
        <v>No</v>
      </c>
      <c r="U99" s="21" t="str">
        <f aca="false">IF(Variants!$AD100="Active","active","draft")</f>
        <v>active</v>
      </c>
    </row>
    <row r="100" customFormat="false" ht="15.75" hidden="false" customHeight="true" outlineLevel="0" collapsed="false">
      <c r="A100" s="21" t="str">
        <f aca="false">IF(Variants!$B101="","",LOWER(Variants!$B101))</f>
        <v>dsgn-pend-alpha-tso</v>
      </c>
      <c r="B100" s="21" t="str">
        <f aca="false">IF(Variants!$B101="","",Variants!$C101&amp;IF(Variants!$F101="",""," "&amp;Variants!$F101))</f>
        <v>Bird Letter Pendant Ց</v>
      </c>
      <c r="C100" s="21" t="str">
        <f aca="false">IFERROR(IF(Variants!$B101="","","&lt;p&gt;"&amp;VLOOKUP(Variants!$B101,Designs!$A$3:$AP$165,9,FALSE())&amp;"&lt;/p&gt;"),"")</f>
        <v>&lt;p&gt;Bird letters are an ornamental medieval Armenian script where each letter is formed from stylised birds, used in illuminated manuscripts.&lt;/p&gt;</v>
      </c>
      <c r="D100" s="21" t="str">
        <f aca="false">IF(Variants!$B101="","","Karni Jewellery")</f>
        <v>Karni Jewellery</v>
      </c>
      <c r="E100" s="21" t="str">
        <f aca="false">IF(Variants!$B101="","","Apparel &amp; Accessories &gt; Jewelry")</f>
        <v>Apparel &amp; Accessories &gt; Jewelry</v>
      </c>
      <c r="F100" s="21" t="str">
        <f aca="false">IF(Variants!$D101="","",Variants!$D101)</f>
        <v>Pendant</v>
      </c>
      <c r="G100" s="21" t="str">
        <f aca="false">IF(Variants!$E101="","",Variants!$E101&amp;", Armenian jewellery, handmade")</f>
        <v>Alphabet, Armenian jewellery, handmade</v>
      </c>
      <c r="H100" s="21" t="str">
        <f aca="false">IF(Variants!$AD101="Active","TRUE","FALSE")</f>
        <v>TRUE</v>
      </c>
      <c r="I100" s="21" t="str">
        <f aca="false">IF(Variants!$H101="","","Color")</f>
        <v>Color</v>
      </c>
      <c r="J100" s="21" t="str">
        <f aca="false">IF(Variants!$H101="","",Variants!$H101)</f>
        <v>white</v>
      </c>
      <c r="K100" s="21" t="str">
        <f aca="false">IF(Variants!$G101="","","Size")</f>
        <v/>
      </c>
      <c r="L100" s="21" t="str">
        <f aca="false">IF(Variants!$G101="","",Variants!$G101)</f>
        <v/>
      </c>
      <c r="M100" s="21" t="str">
        <f aca="false">Variants!$A101</f>
        <v>KARNI-PEND-ALPHA-TSO-WHITE</v>
      </c>
      <c r="N100" s="21" t="str">
        <f aca="false">IF(Variants!$X101="","",Variants!$X101)</f>
        <v/>
      </c>
      <c r="O100" s="21" t="n">
        <f aca="false">IF(Variants!$O101="","",Variants!$O101)</f>
        <v>0</v>
      </c>
      <c r="P100" s="18" t="n">
        <f aca="false">IF(Variants!$J101="","",Variants!$J101)</f>
        <v>49.4</v>
      </c>
      <c r="Q100" s="21" t="str">
        <f aca="false">IF(Variants!$U101="","",Variants!$U101)</f>
        <v/>
      </c>
      <c r="R100" s="21" t="str">
        <f aca="false">IF(Variants!$Y101="","",Variants!$Y101)</f>
        <v/>
      </c>
      <c r="S100" s="21" t="n">
        <f aca="false">IFERROR(VLOOKUP(Variants!$B101,Designs!$A$3:$AP$165,37,FALSE()),"")</f>
        <v>0</v>
      </c>
      <c r="T100" s="21" t="str">
        <f aca="false">IFERROR(VLOOKUP(Variants!$B101,Designs!$A$3:$AP$165,38,FALSE()),"")</f>
        <v>No</v>
      </c>
      <c r="U100" s="21" t="str">
        <f aca="false">IF(Variants!$AD101="Active","active","draft")</f>
        <v>active</v>
      </c>
    </row>
    <row r="101" customFormat="false" ht="15.75" hidden="false" customHeight="true" outlineLevel="0" collapsed="false">
      <c r="A101" s="21" t="str">
        <f aca="false">IF(Variants!$B102="","",LOWER(Variants!$B102))</f>
        <v>dsgn-pend-alpha-vyun</v>
      </c>
      <c r="B101" s="21" t="str">
        <f aca="false">IF(Variants!$B102="","",Variants!$C102&amp;IF(Variants!$F102="",""," "&amp;Variants!$F102))</f>
        <v>Bird Letter Pendant Ւ</v>
      </c>
      <c r="C101" s="21" t="str">
        <f aca="false">IFERROR(IF(Variants!$B102="","","&lt;p&gt;"&amp;VLOOKUP(Variants!$B102,Designs!$A$3:$AP$165,9,FALSE())&amp;"&lt;/p&gt;"),"")</f>
        <v>&lt;p&gt;Bird letters are an ornamental medieval Armenian script where each letter is formed from stylised birds, used in illuminated manuscripts.&lt;/p&gt;</v>
      </c>
      <c r="D101" s="21" t="str">
        <f aca="false">IF(Variants!$B102="","","Karni Jewellery")</f>
        <v>Karni Jewellery</v>
      </c>
      <c r="E101" s="21" t="str">
        <f aca="false">IF(Variants!$B102="","","Apparel &amp; Accessories &gt; Jewelry")</f>
        <v>Apparel &amp; Accessories &gt; Jewelry</v>
      </c>
      <c r="F101" s="21" t="str">
        <f aca="false">IF(Variants!$D102="","",Variants!$D102)</f>
        <v>Pendant</v>
      </c>
      <c r="G101" s="21" t="str">
        <f aca="false">IF(Variants!$E102="","",Variants!$E102&amp;", Armenian jewellery, handmade")</f>
        <v>Alphabet, Armenian jewellery, handmade</v>
      </c>
      <c r="H101" s="21" t="str">
        <f aca="false">IF(Variants!$AD102="Active","TRUE","FALSE")</f>
        <v>TRUE</v>
      </c>
      <c r="I101" s="21" t="str">
        <f aca="false">IF(Variants!$H102="","","Color")</f>
        <v>Color</v>
      </c>
      <c r="J101" s="21" t="str">
        <f aca="false">IF(Variants!$H102="","",Variants!$H102)</f>
        <v>red</v>
      </c>
      <c r="K101" s="21" t="str">
        <f aca="false">IF(Variants!$G102="","","Size")</f>
        <v/>
      </c>
      <c r="L101" s="21" t="str">
        <f aca="false">IF(Variants!$G102="","",Variants!$G102)</f>
        <v/>
      </c>
      <c r="M101" s="21" t="str">
        <f aca="false">Variants!$A102</f>
        <v>KARNI-PEND-ALPHA-VYUN-RED</v>
      </c>
      <c r="N101" s="21" t="str">
        <f aca="false">IF(Variants!$X102="","",Variants!$X102)</f>
        <v/>
      </c>
      <c r="O101" s="21" t="n">
        <f aca="false">IF(Variants!$O102="","",Variants!$O102)</f>
        <v>0</v>
      </c>
      <c r="P101" s="18" t="n">
        <f aca="false">IF(Variants!$J102="","",Variants!$J102)</f>
        <v>49.4</v>
      </c>
      <c r="Q101" s="21" t="str">
        <f aca="false">IF(Variants!$U102="","",Variants!$U102)</f>
        <v/>
      </c>
      <c r="R101" s="21" t="str">
        <f aca="false">IF(Variants!$Y102="","",Variants!$Y102)</f>
        <v/>
      </c>
      <c r="S101" s="21" t="n">
        <f aca="false">IFERROR(VLOOKUP(Variants!$B102,Designs!$A$3:$AP$165,37,FALSE()),"")</f>
        <v>0</v>
      </c>
      <c r="T101" s="21" t="str">
        <f aca="false">IFERROR(VLOOKUP(Variants!$B102,Designs!$A$3:$AP$165,38,FALSE()),"")</f>
        <v>No</v>
      </c>
      <c r="U101" s="21" t="str">
        <f aca="false">IF(Variants!$AD102="Active","active","draft")</f>
        <v>active</v>
      </c>
    </row>
    <row r="102" customFormat="false" ht="15.75" hidden="false" customHeight="true" outlineLevel="0" collapsed="false">
      <c r="A102" s="21" t="str">
        <f aca="false">IF(Variants!$B103="","",LOWER(Variants!$B103))</f>
        <v>dsgn-pend-alpha-vyun</v>
      </c>
      <c r="B102" s="21" t="str">
        <f aca="false">IF(Variants!$B103="","",Variants!$C103&amp;IF(Variants!$F103="",""," "&amp;Variants!$F103))</f>
        <v>Bird Letter Pendant Ւ</v>
      </c>
      <c r="C102" s="21" t="str">
        <f aca="false">IFERROR(IF(Variants!$B103="","","&lt;p&gt;"&amp;VLOOKUP(Variants!$B103,Designs!$A$3:$AP$165,9,FALSE())&amp;"&lt;/p&gt;"),"")</f>
        <v>&lt;p&gt;Bird letters are an ornamental medieval Armenian script where each letter is formed from stylised birds, used in illuminated manuscripts.&lt;/p&gt;</v>
      </c>
      <c r="D102" s="21" t="str">
        <f aca="false">IF(Variants!$B103="","","Karni Jewellery")</f>
        <v>Karni Jewellery</v>
      </c>
      <c r="E102" s="21" t="str">
        <f aca="false">IF(Variants!$B103="","","Apparel &amp; Accessories &gt; Jewelry")</f>
        <v>Apparel &amp; Accessories &gt; Jewelry</v>
      </c>
      <c r="F102" s="21" t="str">
        <f aca="false">IF(Variants!$D103="","",Variants!$D103)</f>
        <v>Pendant</v>
      </c>
      <c r="G102" s="21" t="str">
        <f aca="false">IF(Variants!$E103="","",Variants!$E103&amp;", Armenian jewellery, handmade")</f>
        <v>Alphabet, Armenian jewellery, handmade</v>
      </c>
      <c r="H102" s="21" t="str">
        <f aca="false">IF(Variants!$AD103="Active","TRUE","FALSE")</f>
        <v>TRUE</v>
      </c>
      <c r="I102" s="21" t="str">
        <f aca="false">IF(Variants!$H103="","","Color")</f>
        <v>Color</v>
      </c>
      <c r="J102" s="21" t="str">
        <f aca="false">IF(Variants!$H103="","",Variants!$H103)</f>
        <v>turquoise</v>
      </c>
      <c r="K102" s="21" t="str">
        <f aca="false">IF(Variants!$G103="","","Size")</f>
        <v/>
      </c>
      <c r="L102" s="21" t="str">
        <f aca="false">IF(Variants!$G103="","",Variants!$G103)</f>
        <v/>
      </c>
      <c r="M102" s="21" t="str">
        <f aca="false">Variants!$A103</f>
        <v>KARNI-PEND-ALPHA-VYUN-TURQUOISE</v>
      </c>
      <c r="N102" s="21" t="str">
        <f aca="false">IF(Variants!$X103="","",Variants!$X103)</f>
        <v/>
      </c>
      <c r="O102" s="21" t="n">
        <f aca="false">IF(Variants!$O103="","",Variants!$O103)</f>
        <v>0</v>
      </c>
      <c r="P102" s="18" t="n">
        <f aca="false">IF(Variants!$J103="","",Variants!$J103)</f>
        <v>49.4</v>
      </c>
      <c r="Q102" s="21" t="str">
        <f aca="false">IF(Variants!$U103="","",Variants!$U103)</f>
        <v/>
      </c>
      <c r="R102" s="21" t="str">
        <f aca="false">IF(Variants!$Y103="","",Variants!$Y103)</f>
        <v/>
      </c>
      <c r="S102" s="21" t="n">
        <f aca="false">IFERROR(VLOOKUP(Variants!$B103,Designs!$A$3:$AP$165,37,FALSE()),"")</f>
        <v>0</v>
      </c>
      <c r="T102" s="21" t="str">
        <f aca="false">IFERROR(VLOOKUP(Variants!$B103,Designs!$A$3:$AP$165,38,FALSE()),"")</f>
        <v>No</v>
      </c>
      <c r="U102" s="21" t="str">
        <f aca="false">IF(Variants!$AD103="Active","active","draft")</f>
        <v>active</v>
      </c>
    </row>
    <row r="103" customFormat="false" ht="15.75" hidden="false" customHeight="true" outlineLevel="0" collapsed="false">
      <c r="A103" s="21" t="str">
        <f aca="false">IF(Variants!$B104="","",LOWER(Variants!$B104))</f>
        <v>dsgn-pend-alpha-vyun</v>
      </c>
      <c r="B103" s="21" t="str">
        <f aca="false">IF(Variants!$B104="","",Variants!$C104&amp;IF(Variants!$F104="",""," "&amp;Variants!$F104))</f>
        <v>Bird Letter Pendant Ւ</v>
      </c>
      <c r="C103" s="21" t="str">
        <f aca="false">IFERROR(IF(Variants!$B104="","","&lt;p&gt;"&amp;VLOOKUP(Variants!$B104,Designs!$A$3:$AP$165,9,FALSE())&amp;"&lt;/p&gt;"),"")</f>
        <v>&lt;p&gt;Bird letters are an ornamental medieval Armenian script where each letter is formed from stylised birds, used in illuminated manuscripts.&lt;/p&gt;</v>
      </c>
      <c r="D103" s="21" t="str">
        <f aca="false">IF(Variants!$B104="","","Karni Jewellery")</f>
        <v>Karni Jewellery</v>
      </c>
      <c r="E103" s="21" t="str">
        <f aca="false">IF(Variants!$B104="","","Apparel &amp; Accessories &gt; Jewelry")</f>
        <v>Apparel &amp; Accessories &gt; Jewelry</v>
      </c>
      <c r="F103" s="21" t="str">
        <f aca="false">IF(Variants!$D104="","",Variants!$D104)</f>
        <v>Pendant</v>
      </c>
      <c r="G103" s="21" t="str">
        <f aca="false">IF(Variants!$E104="","",Variants!$E104&amp;", Armenian jewellery, handmade")</f>
        <v>Alphabet, Armenian jewellery, handmade</v>
      </c>
      <c r="H103" s="21" t="str">
        <f aca="false">IF(Variants!$AD104="Active","TRUE","FALSE")</f>
        <v>TRUE</v>
      </c>
      <c r="I103" s="21" t="str">
        <f aca="false">IF(Variants!$H104="","","Color")</f>
        <v>Color</v>
      </c>
      <c r="J103" s="21" t="str">
        <f aca="false">IF(Variants!$H104="","",Variants!$H104)</f>
        <v>white</v>
      </c>
      <c r="K103" s="21" t="str">
        <f aca="false">IF(Variants!$G104="","","Size")</f>
        <v/>
      </c>
      <c r="L103" s="21" t="str">
        <f aca="false">IF(Variants!$G104="","",Variants!$G104)</f>
        <v/>
      </c>
      <c r="M103" s="21" t="str">
        <f aca="false">Variants!$A104</f>
        <v>KARNI-PEND-ALPHA-VYUN-WHITE</v>
      </c>
      <c r="N103" s="21" t="str">
        <f aca="false">IF(Variants!$X104="","",Variants!$X104)</f>
        <v/>
      </c>
      <c r="O103" s="21" t="n">
        <f aca="false">IF(Variants!$O104="","",Variants!$O104)</f>
        <v>0</v>
      </c>
      <c r="P103" s="18" t="n">
        <f aca="false">IF(Variants!$J104="","",Variants!$J104)</f>
        <v>49.4</v>
      </c>
      <c r="Q103" s="21" t="str">
        <f aca="false">IF(Variants!$U104="","",Variants!$U104)</f>
        <v/>
      </c>
      <c r="R103" s="21" t="str">
        <f aca="false">IF(Variants!$Y104="","",Variants!$Y104)</f>
        <v/>
      </c>
      <c r="S103" s="21" t="n">
        <f aca="false">IFERROR(VLOOKUP(Variants!$B104,Designs!$A$3:$AP$165,37,FALSE()),"")</f>
        <v>0</v>
      </c>
      <c r="T103" s="21" t="str">
        <f aca="false">IFERROR(VLOOKUP(Variants!$B104,Designs!$A$3:$AP$165,38,FALSE()),"")</f>
        <v>No</v>
      </c>
      <c r="U103" s="21" t="str">
        <f aca="false">IF(Variants!$AD104="Active","active","draft")</f>
        <v>active</v>
      </c>
    </row>
    <row r="104" customFormat="false" ht="15.75" hidden="false" customHeight="true" outlineLevel="0" collapsed="false">
      <c r="A104" s="21" t="str">
        <f aca="false">IF(Variants!$B105="","",LOWER(Variants!$B105))</f>
        <v>dsgn-pend-alpha-pyur</v>
      </c>
      <c r="B104" s="21" t="str">
        <f aca="false">IF(Variants!$B105="","",Variants!$C105&amp;IF(Variants!$F105="",""," "&amp;Variants!$F105))</f>
        <v>Bird Letter Pendant Փ</v>
      </c>
      <c r="C104" s="21" t="str">
        <f aca="false">IFERROR(IF(Variants!$B105="","","&lt;p&gt;"&amp;VLOOKUP(Variants!$B105,Designs!$A$3:$AP$165,9,FALSE())&amp;"&lt;/p&gt;"),"")</f>
        <v>&lt;p&gt;Bird letters are an ornamental medieval Armenian script where each letter is formed from stylised birds, used in illuminated manuscripts.&lt;/p&gt;</v>
      </c>
      <c r="D104" s="21" t="str">
        <f aca="false">IF(Variants!$B105="","","Karni Jewellery")</f>
        <v>Karni Jewellery</v>
      </c>
      <c r="E104" s="21" t="str">
        <f aca="false">IF(Variants!$B105="","","Apparel &amp; Accessories &gt; Jewelry")</f>
        <v>Apparel &amp; Accessories &gt; Jewelry</v>
      </c>
      <c r="F104" s="21" t="str">
        <f aca="false">IF(Variants!$D105="","",Variants!$D105)</f>
        <v>Pendant</v>
      </c>
      <c r="G104" s="21" t="str">
        <f aca="false">IF(Variants!$E105="","",Variants!$E105&amp;", Armenian jewellery, handmade")</f>
        <v>Alphabet, Armenian jewellery, handmade</v>
      </c>
      <c r="H104" s="21" t="str">
        <f aca="false">IF(Variants!$AD105="Active","TRUE","FALSE")</f>
        <v>TRUE</v>
      </c>
      <c r="I104" s="21" t="str">
        <f aca="false">IF(Variants!$H105="","","Color")</f>
        <v>Color</v>
      </c>
      <c r="J104" s="21" t="str">
        <f aca="false">IF(Variants!$H105="","",Variants!$H105)</f>
        <v>red</v>
      </c>
      <c r="K104" s="21" t="str">
        <f aca="false">IF(Variants!$G105="","","Size")</f>
        <v/>
      </c>
      <c r="L104" s="21" t="str">
        <f aca="false">IF(Variants!$G105="","",Variants!$G105)</f>
        <v/>
      </c>
      <c r="M104" s="21" t="str">
        <f aca="false">Variants!$A105</f>
        <v>KARNI-PEND-ALPHA-PYUR-RED</v>
      </c>
      <c r="N104" s="21" t="str">
        <f aca="false">IF(Variants!$X105="","",Variants!$X105)</f>
        <v/>
      </c>
      <c r="O104" s="21" t="n">
        <f aca="false">IF(Variants!$O105="","",Variants!$O105)</f>
        <v>0</v>
      </c>
      <c r="P104" s="18" t="n">
        <f aca="false">IF(Variants!$J105="","",Variants!$J105)</f>
        <v>49.4</v>
      </c>
      <c r="Q104" s="21" t="str">
        <f aca="false">IF(Variants!$U105="","",Variants!$U105)</f>
        <v/>
      </c>
      <c r="R104" s="21" t="str">
        <f aca="false">IF(Variants!$Y105="","",Variants!$Y105)</f>
        <v/>
      </c>
      <c r="S104" s="21" t="n">
        <f aca="false">IFERROR(VLOOKUP(Variants!$B105,Designs!$A$3:$AP$165,37,FALSE()),"")</f>
        <v>0</v>
      </c>
      <c r="T104" s="21" t="str">
        <f aca="false">IFERROR(VLOOKUP(Variants!$B105,Designs!$A$3:$AP$165,38,FALSE()),"")</f>
        <v>No</v>
      </c>
      <c r="U104" s="21" t="str">
        <f aca="false">IF(Variants!$AD105="Active","active","draft")</f>
        <v>active</v>
      </c>
    </row>
    <row r="105" customFormat="false" ht="15.75" hidden="false" customHeight="true" outlineLevel="0" collapsed="false">
      <c r="A105" s="21" t="str">
        <f aca="false">IF(Variants!$B106="","",LOWER(Variants!$B106))</f>
        <v>dsgn-pend-alpha-pyur</v>
      </c>
      <c r="B105" s="21" t="str">
        <f aca="false">IF(Variants!$B106="","",Variants!$C106&amp;IF(Variants!$F106="",""," "&amp;Variants!$F106))</f>
        <v>Bird Letter Pendant Փ</v>
      </c>
      <c r="C105" s="21" t="str">
        <f aca="false">IFERROR(IF(Variants!$B106="","","&lt;p&gt;"&amp;VLOOKUP(Variants!$B106,Designs!$A$3:$AP$165,9,FALSE())&amp;"&lt;/p&gt;"),"")</f>
        <v>&lt;p&gt;Bird letters are an ornamental medieval Armenian script where each letter is formed from stylised birds, used in illuminated manuscripts.&lt;/p&gt;</v>
      </c>
      <c r="D105" s="21" t="str">
        <f aca="false">IF(Variants!$B106="","","Karni Jewellery")</f>
        <v>Karni Jewellery</v>
      </c>
      <c r="E105" s="21" t="str">
        <f aca="false">IF(Variants!$B106="","","Apparel &amp; Accessories &gt; Jewelry")</f>
        <v>Apparel &amp; Accessories &gt; Jewelry</v>
      </c>
      <c r="F105" s="21" t="str">
        <f aca="false">IF(Variants!$D106="","",Variants!$D106)</f>
        <v>Pendant</v>
      </c>
      <c r="G105" s="21" t="str">
        <f aca="false">IF(Variants!$E106="","",Variants!$E106&amp;", Armenian jewellery, handmade")</f>
        <v>Alphabet, Armenian jewellery, handmade</v>
      </c>
      <c r="H105" s="21" t="str">
        <f aca="false">IF(Variants!$AD106="Active","TRUE","FALSE")</f>
        <v>TRUE</v>
      </c>
      <c r="I105" s="21" t="str">
        <f aca="false">IF(Variants!$H106="","","Color")</f>
        <v>Color</v>
      </c>
      <c r="J105" s="21" t="str">
        <f aca="false">IF(Variants!$H106="","",Variants!$H106)</f>
        <v>turquoise</v>
      </c>
      <c r="K105" s="21" t="str">
        <f aca="false">IF(Variants!$G106="","","Size")</f>
        <v/>
      </c>
      <c r="L105" s="21" t="str">
        <f aca="false">IF(Variants!$G106="","",Variants!$G106)</f>
        <v/>
      </c>
      <c r="M105" s="21" t="str">
        <f aca="false">Variants!$A106</f>
        <v>KARNI-PEND-ALPHA-PYUR-TURQUOISE</v>
      </c>
      <c r="N105" s="21" t="str">
        <f aca="false">IF(Variants!$X106="","",Variants!$X106)</f>
        <v/>
      </c>
      <c r="O105" s="21" t="n">
        <f aca="false">IF(Variants!$O106="","",Variants!$O106)</f>
        <v>0</v>
      </c>
      <c r="P105" s="18" t="n">
        <f aca="false">IF(Variants!$J106="","",Variants!$J106)</f>
        <v>49.4</v>
      </c>
      <c r="Q105" s="21" t="str">
        <f aca="false">IF(Variants!$U106="","",Variants!$U106)</f>
        <v/>
      </c>
      <c r="R105" s="21" t="str">
        <f aca="false">IF(Variants!$Y106="","",Variants!$Y106)</f>
        <v/>
      </c>
      <c r="S105" s="21" t="n">
        <f aca="false">IFERROR(VLOOKUP(Variants!$B106,Designs!$A$3:$AP$165,37,FALSE()),"")</f>
        <v>0</v>
      </c>
      <c r="T105" s="21" t="str">
        <f aca="false">IFERROR(VLOOKUP(Variants!$B106,Designs!$A$3:$AP$165,38,FALSE()),"")</f>
        <v>No</v>
      </c>
      <c r="U105" s="21" t="str">
        <f aca="false">IF(Variants!$AD106="Active","active","draft")</f>
        <v>active</v>
      </c>
    </row>
    <row r="106" customFormat="false" ht="15.75" hidden="false" customHeight="true" outlineLevel="0" collapsed="false">
      <c r="A106" s="21" t="str">
        <f aca="false">IF(Variants!$B107="","",LOWER(Variants!$B107))</f>
        <v>dsgn-pend-alpha-pyur</v>
      </c>
      <c r="B106" s="21" t="str">
        <f aca="false">IF(Variants!$B107="","",Variants!$C107&amp;IF(Variants!$F107="",""," "&amp;Variants!$F107))</f>
        <v>Bird Letter Pendant Փ</v>
      </c>
      <c r="C106" s="21" t="str">
        <f aca="false">IFERROR(IF(Variants!$B107="","","&lt;p&gt;"&amp;VLOOKUP(Variants!$B107,Designs!$A$3:$AP$165,9,FALSE())&amp;"&lt;/p&gt;"),"")</f>
        <v>&lt;p&gt;Bird letters are an ornamental medieval Armenian script where each letter is formed from stylised birds, used in illuminated manuscripts.&lt;/p&gt;</v>
      </c>
      <c r="D106" s="21" t="str">
        <f aca="false">IF(Variants!$B107="","","Karni Jewellery")</f>
        <v>Karni Jewellery</v>
      </c>
      <c r="E106" s="21" t="str">
        <f aca="false">IF(Variants!$B107="","","Apparel &amp; Accessories &gt; Jewelry")</f>
        <v>Apparel &amp; Accessories &gt; Jewelry</v>
      </c>
      <c r="F106" s="21" t="str">
        <f aca="false">IF(Variants!$D107="","",Variants!$D107)</f>
        <v>Pendant</v>
      </c>
      <c r="G106" s="21" t="str">
        <f aca="false">IF(Variants!$E107="","",Variants!$E107&amp;", Armenian jewellery, handmade")</f>
        <v>Alphabet, Armenian jewellery, handmade</v>
      </c>
      <c r="H106" s="21" t="str">
        <f aca="false">IF(Variants!$AD107="Active","TRUE","FALSE")</f>
        <v>TRUE</v>
      </c>
      <c r="I106" s="21" t="str">
        <f aca="false">IF(Variants!$H107="","","Color")</f>
        <v>Color</v>
      </c>
      <c r="J106" s="21" t="str">
        <f aca="false">IF(Variants!$H107="","",Variants!$H107)</f>
        <v>white</v>
      </c>
      <c r="K106" s="21" t="str">
        <f aca="false">IF(Variants!$G107="","","Size")</f>
        <v/>
      </c>
      <c r="L106" s="21" t="str">
        <f aca="false">IF(Variants!$G107="","",Variants!$G107)</f>
        <v/>
      </c>
      <c r="M106" s="21" t="str">
        <f aca="false">Variants!$A107</f>
        <v>KARNI-PEND-ALPHA-PYUR-WHITE</v>
      </c>
      <c r="N106" s="21" t="str">
        <f aca="false">IF(Variants!$X107="","",Variants!$X107)</f>
        <v/>
      </c>
      <c r="O106" s="21" t="n">
        <f aca="false">IF(Variants!$O107="","",Variants!$O107)</f>
        <v>0</v>
      </c>
      <c r="P106" s="18" t="n">
        <f aca="false">IF(Variants!$J107="","",Variants!$J107)</f>
        <v>49.4</v>
      </c>
      <c r="Q106" s="21" t="str">
        <f aca="false">IF(Variants!$U107="","",Variants!$U107)</f>
        <v/>
      </c>
      <c r="R106" s="21" t="str">
        <f aca="false">IF(Variants!$Y107="","",Variants!$Y107)</f>
        <v/>
      </c>
      <c r="S106" s="21" t="n">
        <f aca="false">IFERROR(VLOOKUP(Variants!$B107,Designs!$A$3:$AP$165,37,FALSE()),"")</f>
        <v>0</v>
      </c>
      <c r="T106" s="21" t="str">
        <f aca="false">IFERROR(VLOOKUP(Variants!$B107,Designs!$A$3:$AP$165,38,FALSE()),"")</f>
        <v>No</v>
      </c>
      <c r="U106" s="21" t="str">
        <f aca="false">IF(Variants!$AD107="Active","active","draft")</f>
        <v>active</v>
      </c>
    </row>
    <row r="107" customFormat="false" ht="15.75" hidden="false" customHeight="true" outlineLevel="0" collapsed="false">
      <c r="A107" s="21" t="str">
        <f aca="false">IF(Variants!$B108="","",LOWER(Variants!$B108))</f>
        <v>dsgn-pend-alpha-qeh</v>
      </c>
      <c r="B107" s="21" t="str">
        <f aca="false">IF(Variants!$B108="","",Variants!$C108&amp;IF(Variants!$F108="",""," "&amp;Variants!$F108))</f>
        <v>Bird Letter Pendant Ք</v>
      </c>
      <c r="C107" s="21" t="str">
        <f aca="false">IFERROR(IF(Variants!$B108="","","&lt;p&gt;"&amp;VLOOKUP(Variants!$B108,Designs!$A$3:$AP$165,9,FALSE())&amp;"&lt;/p&gt;"),"")</f>
        <v>&lt;p&gt;Bird letters are an ornamental medieval Armenian script where each letter is formed from stylised birds, used in illuminated manuscripts.&lt;/p&gt;</v>
      </c>
      <c r="D107" s="21" t="str">
        <f aca="false">IF(Variants!$B108="","","Karni Jewellery")</f>
        <v>Karni Jewellery</v>
      </c>
      <c r="E107" s="21" t="str">
        <f aca="false">IF(Variants!$B108="","","Apparel &amp; Accessories &gt; Jewelry")</f>
        <v>Apparel &amp; Accessories &gt; Jewelry</v>
      </c>
      <c r="F107" s="21" t="str">
        <f aca="false">IF(Variants!$D108="","",Variants!$D108)</f>
        <v>Pendant</v>
      </c>
      <c r="G107" s="21" t="str">
        <f aca="false">IF(Variants!$E108="","",Variants!$E108&amp;", Armenian jewellery, handmade")</f>
        <v>Alphabet, Armenian jewellery, handmade</v>
      </c>
      <c r="H107" s="21" t="str">
        <f aca="false">IF(Variants!$AD108="Active","TRUE","FALSE")</f>
        <v>TRUE</v>
      </c>
      <c r="I107" s="21" t="str">
        <f aca="false">IF(Variants!$H108="","","Color")</f>
        <v>Color</v>
      </c>
      <c r="J107" s="21" t="str">
        <f aca="false">IF(Variants!$H108="","",Variants!$H108)</f>
        <v>red</v>
      </c>
      <c r="K107" s="21" t="str">
        <f aca="false">IF(Variants!$G108="","","Size")</f>
        <v/>
      </c>
      <c r="L107" s="21" t="str">
        <f aca="false">IF(Variants!$G108="","",Variants!$G108)</f>
        <v/>
      </c>
      <c r="M107" s="21" t="str">
        <f aca="false">Variants!$A108</f>
        <v>KARNI-PEND-ALPHA-QEH-RED</v>
      </c>
      <c r="N107" s="21" t="str">
        <f aca="false">IF(Variants!$X108="","",Variants!$X108)</f>
        <v/>
      </c>
      <c r="O107" s="21" t="n">
        <f aca="false">IF(Variants!$O108="","",Variants!$O108)</f>
        <v>0</v>
      </c>
      <c r="P107" s="18" t="n">
        <f aca="false">IF(Variants!$J108="","",Variants!$J108)</f>
        <v>49.4</v>
      </c>
      <c r="Q107" s="21" t="str">
        <f aca="false">IF(Variants!$U108="","",Variants!$U108)</f>
        <v/>
      </c>
      <c r="R107" s="21" t="str">
        <f aca="false">IF(Variants!$Y108="","",Variants!$Y108)</f>
        <v/>
      </c>
      <c r="S107" s="21" t="n">
        <f aca="false">IFERROR(VLOOKUP(Variants!$B108,Designs!$A$3:$AP$165,37,FALSE()),"")</f>
        <v>0</v>
      </c>
      <c r="T107" s="21" t="str">
        <f aca="false">IFERROR(VLOOKUP(Variants!$B108,Designs!$A$3:$AP$165,38,FALSE()),"")</f>
        <v>No</v>
      </c>
      <c r="U107" s="21" t="str">
        <f aca="false">IF(Variants!$AD108="Active","active","draft")</f>
        <v>active</v>
      </c>
    </row>
    <row r="108" customFormat="false" ht="15.75" hidden="false" customHeight="true" outlineLevel="0" collapsed="false">
      <c r="A108" s="21" t="str">
        <f aca="false">IF(Variants!$B109="","",LOWER(Variants!$B109))</f>
        <v>dsgn-pend-alpha-qeh</v>
      </c>
      <c r="B108" s="21" t="str">
        <f aca="false">IF(Variants!$B109="","",Variants!$C109&amp;IF(Variants!$F109="",""," "&amp;Variants!$F109))</f>
        <v>Bird Letter Pendant Ք</v>
      </c>
      <c r="C108" s="21" t="str">
        <f aca="false">IFERROR(IF(Variants!$B109="","","&lt;p&gt;"&amp;VLOOKUP(Variants!$B109,Designs!$A$3:$AP$165,9,FALSE())&amp;"&lt;/p&gt;"),"")</f>
        <v>&lt;p&gt;Bird letters are an ornamental medieval Armenian script where each letter is formed from stylised birds, used in illuminated manuscripts.&lt;/p&gt;</v>
      </c>
      <c r="D108" s="21" t="str">
        <f aca="false">IF(Variants!$B109="","","Karni Jewellery")</f>
        <v>Karni Jewellery</v>
      </c>
      <c r="E108" s="21" t="str">
        <f aca="false">IF(Variants!$B109="","","Apparel &amp; Accessories &gt; Jewelry")</f>
        <v>Apparel &amp; Accessories &gt; Jewelry</v>
      </c>
      <c r="F108" s="21" t="str">
        <f aca="false">IF(Variants!$D109="","",Variants!$D109)</f>
        <v>Pendant</v>
      </c>
      <c r="G108" s="21" t="str">
        <f aca="false">IF(Variants!$E109="","",Variants!$E109&amp;", Armenian jewellery, handmade")</f>
        <v>Alphabet, Armenian jewellery, handmade</v>
      </c>
      <c r="H108" s="21" t="str">
        <f aca="false">IF(Variants!$AD109="Active","TRUE","FALSE")</f>
        <v>TRUE</v>
      </c>
      <c r="I108" s="21" t="str">
        <f aca="false">IF(Variants!$H109="","","Color")</f>
        <v>Color</v>
      </c>
      <c r="J108" s="21" t="str">
        <f aca="false">IF(Variants!$H109="","",Variants!$H109)</f>
        <v>turquoise</v>
      </c>
      <c r="K108" s="21" t="str">
        <f aca="false">IF(Variants!$G109="","","Size")</f>
        <v/>
      </c>
      <c r="L108" s="21" t="str">
        <f aca="false">IF(Variants!$G109="","",Variants!$G109)</f>
        <v/>
      </c>
      <c r="M108" s="21" t="str">
        <f aca="false">Variants!$A109</f>
        <v>KARNI-PEND-ALPHA-QEH-TURQUOISE</v>
      </c>
      <c r="N108" s="21" t="str">
        <f aca="false">IF(Variants!$X109="","",Variants!$X109)</f>
        <v/>
      </c>
      <c r="O108" s="21" t="n">
        <f aca="false">IF(Variants!$O109="","",Variants!$O109)</f>
        <v>0</v>
      </c>
      <c r="P108" s="18" t="n">
        <f aca="false">IF(Variants!$J109="","",Variants!$J109)</f>
        <v>49.4</v>
      </c>
      <c r="Q108" s="21" t="str">
        <f aca="false">IF(Variants!$U109="","",Variants!$U109)</f>
        <v/>
      </c>
      <c r="R108" s="21" t="str">
        <f aca="false">IF(Variants!$Y109="","",Variants!$Y109)</f>
        <v/>
      </c>
      <c r="S108" s="21" t="n">
        <f aca="false">IFERROR(VLOOKUP(Variants!$B109,Designs!$A$3:$AP$165,37,FALSE()),"")</f>
        <v>0</v>
      </c>
      <c r="T108" s="21" t="str">
        <f aca="false">IFERROR(VLOOKUP(Variants!$B109,Designs!$A$3:$AP$165,38,FALSE()),"")</f>
        <v>No</v>
      </c>
      <c r="U108" s="21" t="str">
        <f aca="false">IF(Variants!$AD109="Active","active","draft")</f>
        <v>active</v>
      </c>
    </row>
    <row r="109" customFormat="false" ht="15.75" hidden="false" customHeight="true" outlineLevel="0" collapsed="false">
      <c r="A109" s="21" t="str">
        <f aca="false">IF(Variants!$B110="","",LOWER(Variants!$B110))</f>
        <v>dsgn-pend-alpha-qeh</v>
      </c>
      <c r="B109" s="21" t="str">
        <f aca="false">IF(Variants!$B110="","",Variants!$C110&amp;IF(Variants!$F110="",""," "&amp;Variants!$F110))</f>
        <v>Bird Letter Pendant Ք</v>
      </c>
      <c r="C109" s="21" t="str">
        <f aca="false">IFERROR(IF(Variants!$B110="","","&lt;p&gt;"&amp;VLOOKUP(Variants!$B110,Designs!$A$3:$AP$165,9,FALSE())&amp;"&lt;/p&gt;"),"")</f>
        <v>&lt;p&gt;Bird letters are an ornamental medieval Armenian script where each letter is formed from stylised birds, used in illuminated manuscripts.&lt;/p&gt;</v>
      </c>
      <c r="D109" s="21" t="str">
        <f aca="false">IF(Variants!$B110="","","Karni Jewellery")</f>
        <v>Karni Jewellery</v>
      </c>
      <c r="E109" s="21" t="str">
        <f aca="false">IF(Variants!$B110="","","Apparel &amp; Accessories &gt; Jewelry")</f>
        <v>Apparel &amp; Accessories &gt; Jewelry</v>
      </c>
      <c r="F109" s="21" t="str">
        <f aca="false">IF(Variants!$D110="","",Variants!$D110)</f>
        <v>Pendant</v>
      </c>
      <c r="G109" s="21" t="str">
        <f aca="false">IF(Variants!$E110="","",Variants!$E110&amp;", Armenian jewellery, handmade")</f>
        <v>Alphabet, Armenian jewellery, handmade</v>
      </c>
      <c r="H109" s="21" t="str">
        <f aca="false">IF(Variants!$AD110="Active","TRUE","FALSE")</f>
        <v>TRUE</v>
      </c>
      <c r="I109" s="21" t="str">
        <f aca="false">IF(Variants!$H110="","","Color")</f>
        <v>Color</v>
      </c>
      <c r="J109" s="21" t="str">
        <f aca="false">IF(Variants!$H110="","",Variants!$H110)</f>
        <v>white</v>
      </c>
      <c r="K109" s="21" t="str">
        <f aca="false">IF(Variants!$G110="","","Size")</f>
        <v/>
      </c>
      <c r="L109" s="21" t="str">
        <f aca="false">IF(Variants!$G110="","",Variants!$G110)</f>
        <v/>
      </c>
      <c r="M109" s="21" t="str">
        <f aca="false">Variants!$A110</f>
        <v>KARNI-PEND-ALPHA-QEH-WHITE</v>
      </c>
      <c r="N109" s="21" t="str">
        <f aca="false">IF(Variants!$X110="","",Variants!$X110)</f>
        <v/>
      </c>
      <c r="O109" s="21" t="n">
        <f aca="false">IF(Variants!$O110="","",Variants!$O110)</f>
        <v>0</v>
      </c>
      <c r="P109" s="18" t="n">
        <f aca="false">IF(Variants!$J110="","",Variants!$J110)</f>
        <v>49.4</v>
      </c>
      <c r="Q109" s="21" t="str">
        <f aca="false">IF(Variants!$U110="","",Variants!$U110)</f>
        <v/>
      </c>
      <c r="R109" s="21" t="str">
        <f aca="false">IF(Variants!$Y110="","",Variants!$Y110)</f>
        <v/>
      </c>
      <c r="S109" s="21" t="n">
        <f aca="false">IFERROR(VLOOKUP(Variants!$B110,Designs!$A$3:$AP$165,37,FALSE()),"")</f>
        <v>0</v>
      </c>
      <c r="T109" s="21" t="str">
        <f aca="false">IFERROR(VLOOKUP(Variants!$B110,Designs!$A$3:$AP$165,38,FALSE()),"")</f>
        <v>No</v>
      </c>
      <c r="U109" s="21" t="str">
        <f aca="false">IF(Variants!$AD110="Active","active","draft")</f>
        <v>active</v>
      </c>
    </row>
    <row r="110" customFormat="false" ht="15.75" hidden="false" customHeight="true" outlineLevel="0" collapsed="false">
      <c r="A110" s="21" t="str">
        <f aca="false">IF(Variants!$B111="","",LOWER(Variants!$B111))</f>
        <v>dsgn-pend-alpha-oh</v>
      </c>
      <c r="B110" s="21" t="str">
        <f aca="false">IF(Variants!$B111="","",Variants!$C111&amp;IF(Variants!$F111="",""," "&amp;Variants!$F111))</f>
        <v>Bird Letter Pendant Օ</v>
      </c>
      <c r="C110" s="21" t="str">
        <f aca="false">IFERROR(IF(Variants!$B111="","","&lt;p&gt;"&amp;VLOOKUP(Variants!$B111,Designs!$A$3:$AP$165,9,FALSE())&amp;"&lt;/p&gt;"),"")</f>
        <v>&lt;p&gt;Bird letters are an ornamental medieval Armenian script where each letter is formed from stylised birds, used in illuminated manuscripts.&lt;/p&gt;</v>
      </c>
      <c r="D110" s="21" t="str">
        <f aca="false">IF(Variants!$B111="","","Karni Jewellery")</f>
        <v>Karni Jewellery</v>
      </c>
      <c r="E110" s="21" t="str">
        <f aca="false">IF(Variants!$B111="","","Apparel &amp; Accessories &gt; Jewelry")</f>
        <v>Apparel &amp; Accessories &gt; Jewelry</v>
      </c>
      <c r="F110" s="21" t="str">
        <f aca="false">IF(Variants!$D111="","",Variants!$D111)</f>
        <v>Pendant</v>
      </c>
      <c r="G110" s="21" t="str">
        <f aca="false">IF(Variants!$E111="","",Variants!$E111&amp;", Armenian jewellery, handmade")</f>
        <v>Alphabet, Armenian jewellery, handmade</v>
      </c>
      <c r="H110" s="21" t="str">
        <f aca="false">IF(Variants!$AD111="Active","TRUE","FALSE")</f>
        <v>TRUE</v>
      </c>
      <c r="I110" s="21" t="str">
        <f aca="false">IF(Variants!$H111="","","Color")</f>
        <v>Color</v>
      </c>
      <c r="J110" s="21" t="str">
        <f aca="false">IF(Variants!$H111="","",Variants!$H111)</f>
        <v>red</v>
      </c>
      <c r="K110" s="21" t="str">
        <f aca="false">IF(Variants!$G111="","","Size")</f>
        <v/>
      </c>
      <c r="L110" s="21" t="str">
        <f aca="false">IF(Variants!$G111="","",Variants!$G111)</f>
        <v/>
      </c>
      <c r="M110" s="21" t="str">
        <f aca="false">Variants!$A111</f>
        <v>KARNI-PEND-ALPHA-OH-RED</v>
      </c>
      <c r="N110" s="21" t="str">
        <f aca="false">IF(Variants!$X111="","",Variants!$X111)</f>
        <v/>
      </c>
      <c r="O110" s="21" t="n">
        <f aca="false">IF(Variants!$O111="","",Variants!$O111)</f>
        <v>0</v>
      </c>
      <c r="P110" s="18" t="n">
        <f aca="false">IF(Variants!$J111="","",Variants!$J111)</f>
        <v>49.4</v>
      </c>
      <c r="Q110" s="21" t="str">
        <f aca="false">IF(Variants!$U111="","",Variants!$U111)</f>
        <v/>
      </c>
      <c r="R110" s="21" t="str">
        <f aca="false">IF(Variants!$Y111="","",Variants!$Y111)</f>
        <v/>
      </c>
      <c r="S110" s="21" t="n">
        <f aca="false">IFERROR(VLOOKUP(Variants!$B111,Designs!$A$3:$AP$165,37,FALSE()),"")</f>
        <v>0</v>
      </c>
      <c r="T110" s="21" t="str">
        <f aca="false">IFERROR(VLOOKUP(Variants!$B111,Designs!$A$3:$AP$165,38,FALSE()),"")</f>
        <v>No</v>
      </c>
      <c r="U110" s="21" t="str">
        <f aca="false">IF(Variants!$AD111="Active","active","draft")</f>
        <v>active</v>
      </c>
    </row>
    <row r="111" customFormat="false" ht="15.75" hidden="false" customHeight="true" outlineLevel="0" collapsed="false">
      <c r="A111" s="21" t="str">
        <f aca="false">IF(Variants!$B112="","",LOWER(Variants!$B112))</f>
        <v>dsgn-pend-alpha-oh</v>
      </c>
      <c r="B111" s="21" t="str">
        <f aca="false">IF(Variants!$B112="","",Variants!$C112&amp;IF(Variants!$F112="",""," "&amp;Variants!$F112))</f>
        <v>Bird Letter Pendant Օ</v>
      </c>
      <c r="C111" s="21" t="str">
        <f aca="false">IFERROR(IF(Variants!$B112="","","&lt;p&gt;"&amp;VLOOKUP(Variants!$B112,Designs!$A$3:$AP$165,9,FALSE())&amp;"&lt;/p&gt;"),"")</f>
        <v>&lt;p&gt;Bird letters are an ornamental medieval Armenian script where each letter is formed from stylised birds, used in illuminated manuscripts.&lt;/p&gt;</v>
      </c>
      <c r="D111" s="21" t="str">
        <f aca="false">IF(Variants!$B112="","","Karni Jewellery")</f>
        <v>Karni Jewellery</v>
      </c>
      <c r="E111" s="21" t="str">
        <f aca="false">IF(Variants!$B112="","","Apparel &amp; Accessories &gt; Jewelry")</f>
        <v>Apparel &amp; Accessories &gt; Jewelry</v>
      </c>
      <c r="F111" s="21" t="str">
        <f aca="false">IF(Variants!$D112="","",Variants!$D112)</f>
        <v>Pendant</v>
      </c>
      <c r="G111" s="21" t="str">
        <f aca="false">IF(Variants!$E112="","",Variants!$E112&amp;", Armenian jewellery, handmade")</f>
        <v>Alphabet, Armenian jewellery, handmade</v>
      </c>
      <c r="H111" s="21" t="str">
        <f aca="false">IF(Variants!$AD112="Active","TRUE","FALSE")</f>
        <v>TRUE</v>
      </c>
      <c r="I111" s="21" t="str">
        <f aca="false">IF(Variants!$H112="","","Color")</f>
        <v>Color</v>
      </c>
      <c r="J111" s="21" t="str">
        <f aca="false">IF(Variants!$H112="","",Variants!$H112)</f>
        <v>turquoise</v>
      </c>
      <c r="K111" s="21" t="str">
        <f aca="false">IF(Variants!$G112="","","Size")</f>
        <v/>
      </c>
      <c r="L111" s="21" t="str">
        <f aca="false">IF(Variants!$G112="","",Variants!$G112)</f>
        <v/>
      </c>
      <c r="M111" s="21" t="str">
        <f aca="false">Variants!$A112</f>
        <v>KARNI-PEND-ALPHA-OH-TURQUOISE</v>
      </c>
      <c r="N111" s="21" t="str">
        <f aca="false">IF(Variants!$X112="","",Variants!$X112)</f>
        <v/>
      </c>
      <c r="O111" s="21" t="n">
        <f aca="false">IF(Variants!$O112="","",Variants!$O112)</f>
        <v>0</v>
      </c>
      <c r="P111" s="18" t="n">
        <f aca="false">IF(Variants!$J112="","",Variants!$J112)</f>
        <v>49.4</v>
      </c>
      <c r="Q111" s="21" t="str">
        <f aca="false">IF(Variants!$U112="","",Variants!$U112)</f>
        <v/>
      </c>
      <c r="R111" s="21" t="str">
        <f aca="false">IF(Variants!$Y112="","",Variants!$Y112)</f>
        <v/>
      </c>
      <c r="S111" s="21" t="n">
        <f aca="false">IFERROR(VLOOKUP(Variants!$B112,Designs!$A$3:$AP$165,37,FALSE()),"")</f>
        <v>0</v>
      </c>
      <c r="T111" s="21" t="str">
        <f aca="false">IFERROR(VLOOKUP(Variants!$B112,Designs!$A$3:$AP$165,38,FALSE()),"")</f>
        <v>No</v>
      </c>
      <c r="U111" s="21" t="str">
        <f aca="false">IF(Variants!$AD112="Active","active","draft")</f>
        <v>active</v>
      </c>
    </row>
    <row r="112" customFormat="false" ht="15.75" hidden="false" customHeight="true" outlineLevel="0" collapsed="false">
      <c r="A112" s="21" t="str">
        <f aca="false">IF(Variants!$B113="","",LOWER(Variants!$B113))</f>
        <v>dsgn-pend-alpha-oh</v>
      </c>
      <c r="B112" s="21" t="str">
        <f aca="false">IF(Variants!$B113="","",Variants!$C113&amp;IF(Variants!$F113="",""," "&amp;Variants!$F113))</f>
        <v>Bird Letter Pendant Օ</v>
      </c>
      <c r="C112" s="21" t="str">
        <f aca="false">IFERROR(IF(Variants!$B113="","","&lt;p&gt;"&amp;VLOOKUP(Variants!$B113,Designs!$A$3:$AP$165,9,FALSE())&amp;"&lt;/p&gt;"),"")</f>
        <v>&lt;p&gt;Bird letters are an ornamental medieval Armenian script where each letter is formed from stylised birds, used in illuminated manuscripts.&lt;/p&gt;</v>
      </c>
      <c r="D112" s="21" t="str">
        <f aca="false">IF(Variants!$B113="","","Karni Jewellery")</f>
        <v>Karni Jewellery</v>
      </c>
      <c r="E112" s="21" t="str">
        <f aca="false">IF(Variants!$B113="","","Apparel &amp; Accessories &gt; Jewelry")</f>
        <v>Apparel &amp; Accessories &gt; Jewelry</v>
      </c>
      <c r="F112" s="21" t="str">
        <f aca="false">IF(Variants!$D113="","",Variants!$D113)</f>
        <v>Pendant</v>
      </c>
      <c r="G112" s="21" t="str">
        <f aca="false">IF(Variants!$E113="","",Variants!$E113&amp;", Armenian jewellery, handmade")</f>
        <v>Alphabet, Armenian jewellery, handmade</v>
      </c>
      <c r="H112" s="21" t="str">
        <f aca="false">IF(Variants!$AD113="Active","TRUE","FALSE")</f>
        <v>TRUE</v>
      </c>
      <c r="I112" s="21" t="str">
        <f aca="false">IF(Variants!$H113="","","Color")</f>
        <v>Color</v>
      </c>
      <c r="J112" s="21" t="str">
        <f aca="false">IF(Variants!$H113="","",Variants!$H113)</f>
        <v>white</v>
      </c>
      <c r="K112" s="21" t="str">
        <f aca="false">IF(Variants!$G113="","","Size")</f>
        <v/>
      </c>
      <c r="L112" s="21" t="str">
        <f aca="false">IF(Variants!$G113="","",Variants!$G113)</f>
        <v/>
      </c>
      <c r="M112" s="21" t="str">
        <f aca="false">Variants!$A113</f>
        <v>KARNI-PEND-ALPHA-OH-WHITE</v>
      </c>
      <c r="N112" s="21" t="str">
        <f aca="false">IF(Variants!$X113="","",Variants!$X113)</f>
        <v/>
      </c>
      <c r="O112" s="21" t="n">
        <f aca="false">IF(Variants!$O113="","",Variants!$O113)</f>
        <v>0</v>
      </c>
      <c r="P112" s="18" t="n">
        <f aca="false">IF(Variants!$J113="","",Variants!$J113)</f>
        <v>49.4</v>
      </c>
      <c r="Q112" s="21" t="str">
        <f aca="false">IF(Variants!$U113="","",Variants!$U113)</f>
        <v/>
      </c>
      <c r="R112" s="21" t="str">
        <f aca="false">IF(Variants!$Y113="","",Variants!$Y113)</f>
        <v/>
      </c>
      <c r="S112" s="21" t="n">
        <f aca="false">IFERROR(VLOOKUP(Variants!$B113,Designs!$A$3:$AP$165,37,FALSE()),"")</f>
        <v>0</v>
      </c>
      <c r="T112" s="21" t="str">
        <f aca="false">IFERROR(VLOOKUP(Variants!$B113,Designs!$A$3:$AP$165,38,FALSE()),"")</f>
        <v>No</v>
      </c>
      <c r="U112" s="21" t="str">
        <f aca="false">IF(Variants!$AD113="Active","active","draft")</f>
        <v>active</v>
      </c>
    </row>
    <row r="113" customFormat="false" ht="15.75" hidden="false" customHeight="true" outlineLevel="0" collapsed="false">
      <c r="A113" s="21" t="str">
        <f aca="false">IF(Variants!$B114="","",LOWER(Variants!$B114))</f>
        <v>dsgn-pend-alpha-feh</v>
      </c>
      <c r="B113" s="21" t="str">
        <f aca="false">IF(Variants!$B114="","",Variants!$C114&amp;IF(Variants!$F114="",""," "&amp;Variants!$F114))</f>
        <v>Bird Letter Pendant Ֆ</v>
      </c>
      <c r="C113" s="21" t="str">
        <f aca="false">IFERROR(IF(Variants!$B114="","","&lt;p&gt;"&amp;VLOOKUP(Variants!$B114,Designs!$A$3:$AP$165,9,FALSE())&amp;"&lt;/p&gt;"),"")</f>
        <v>&lt;p&gt;Bird letters are an ornamental medieval Armenian script where each letter is formed from stylised birds, used in illuminated manuscripts.&lt;/p&gt;</v>
      </c>
      <c r="D113" s="21" t="str">
        <f aca="false">IF(Variants!$B114="","","Karni Jewellery")</f>
        <v>Karni Jewellery</v>
      </c>
      <c r="E113" s="21" t="str">
        <f aca="false">IF(Variants!$B114="","","Apparel &amp; Accessories &gt; Jewelry")</f>
        <v>Apparel &amp; Accessories &gt; Jewelry</v>
      </c>
      <c r="F113" s="21" t="str">
        <f aca="false">IF(Variants!$D114="","",Variants!$D114)</f>
        <v>Pendant</v>
      </c>
      <c r="G113" s="21" t="str">
        <f aca="false">IF(Variants!$E114="","",Variants!$E114&amp;", Armenian jewellery, handmade")</f>
        <v>Alphabet, Armenian jewellery, handmade</v>
      </c>
      <c r="H113" s="21" t="str">
        <f aca="false">IF(Variants!$AD114="Active","TRUE","FALSE")</f>
        <v>TRUE</v>
      </c>
      <c r="I113" s="21" t="str">
        <f aca="false">IF(Variants!$H114="","","Color")</f>
        <v>Color</v>
      </c>
      <c r="J113" s="21" t="str">
        <f aca="false">IF(Variants!$H114="","",Variants!$H114)</f>
        <v>red</v>
      </c>
      <c r="K113" s="21" t="str">
        <f aca="false">IF(Variants!$G114="","","Size")</f>
        <v/>
      </c>
      <c r="L113" s="21" t="str">
        <f aca="false">IF(Variants!$G114="","",Variants!$G114)</f>
        <v/>
      </c>
      <c r="M113" s="21" t="str">
        <f aca="false">Variants!$A114</f>
        <v>KARNI-PEND-ALPHA-FEH-RED</v>
      </c>
      <c r="N113" s="21" t="str">
        <f aca="false">IF(Variants!$X114="","",Variants!$X114)</f>
        <v/>
      </c>
      <c r="O113" s="21" t="n">
        <f aca="false">IF(Variants!$O114="","",Variants!$O114)</f>
        <v>0</v>
      </c>
      <c r="P113" s="18" t="n">
        <f aca="false">IF(Variants!$J114="","",Variants!$J114)</f>
        <v>49.4</v>
      </c>
      <c r="Q113" s="21" t="str">
        <f aca="false">IF(Variants!$U114="","",Variants!$U114)</f>
        <v/>
      </c>
      <c r="R113" s="21" t="str">
        <f aca="false">IF(Variants!$Y114="","",Variants!$Y114)</f>
        <v/>
      </c>
      <c r="S113" s="21" t="n">
        <f aca="false">IFERROR(VLOOKUP(Variants!$B114,Designs!$A$3:$AP$165,37,FALSE()),"")</f>
        <v>0</v>
      </c>
      <c r="T113" s="21" t="str">
        <f aca="false">IFERROR(VLOOKUP(Variants!$B114,Designs!$A$3:$AP$165,38,FALSE()),"")</f>
        <v>No</v>
      </c>
      <c r="U113" s="21" t="str">
        <f aca="false">IF(Variants!$AD114="Active","active","draft")</f>
        <v>active</v>
      </c>
    </row>
    <row r="114" customFormat="false" ht="15.75" hidden="false" customHeight="true" outlineLevel="0" collapsed="false">
      <c r="A114" s="21" t="str">
        <f aca="false">IF(Variants!$B115="","",LOWER(Variants!$B115))</f>
        <v>dsgn-pend-alpha-feh</v>
      </c>
      <c r="B114" s="21" t="str">
        <f aca="false">IF(Variants!$B115="","",Variants!$C115&amp;IF(Variants!$F115="",""," "&amp;Variants!$F115))</f>
        <v>Bird Letter Pendant Ֆ</v>
      </c>
      <c r="C114" s="21" t="str">
        <f aca="false">IFERROR(IF(Variants!$B115="","","&lt;p&gt;"&amp;VLOOKUP(Variants!$B115,Designs!$A$3:$AP$165,9,FALSE())&amp;"&lt;/p&gt;"),"")</f>
        <v>&lt;p&gt;Bird letters are an ornamental medieval Armenian script where each letter is formed from stylised birds, used in illuminated manuscripts.&lt;/p&gt;</v>
      </c>
      <c r="D114" s="21" t="str">
        <f aca="false">IF(Variants!$B115="","","Karni Jewellery")</f>
        <v>Karni Jewellery</v>
      </c>
      <c r="E114" s="21" t="str">
        <f aca="false">IF(Variants!$B115="","","Apparel &amp; Accessories &gt; Jewelry")</f>
        <v>Apparel &amp; Accessories &gt; Jewelry</v>
      </c>
      <c r="F114" s="21" t="str">
        <f aca="false">IF(Variants!$D115="","",Variants!$D115)</f>
        <v>Pendant</v>
      </c>
      <c r="G114" s="21" t="str">
        <f aca="false">IF(Variants!$E115="","",Variants!$E115&amp;", Armenian jewellery, handmade")</f>
        <v>Alphabet, Armenian jewellery, handmade</v>
      </c>
      <c r="H114" s="21" t="str">
        <f aca="false">IF(Variants!$AD115="Active","TRUE","FALSE")</f>
        <v>TRUE</v>
      </c>
      <c r="I114" s="21" t="str">
        <f aca="false">IF(Variants!$H115="","","Color")</f>
        <v>Color</v>
      </c>
      <c r="J114" s="21" t="str">
        <f aca="false">IF(Variants!$H115="","",Variants!$H115)</f>
        <v>turquoise</v>
      </c>
      <c r="K114" s="21" t="str">
        <f aca="false">IF(Variants!$G115="","","Size")</f>
        <v/>
      </c>
      <c r="L114" s="21" t="str">
        <f aca="false">IF(Variants!$G115="","",Variants!$G115)</f>
        <v/>
      </c>
      <c r="M114" s="21" t="str">
        <f aca="false">Variants!$A115</f>
        <v>KARNI-PEND-ALPHA-FEH-TURQUOISE</v>
      </c>
      <c r="N114" s="21" t="str">
        <f aca="false">IF(Variants!$X115="","",Variants!$X115)</f>
        <v/>
      </c>
      <c r="O114" s="21" t="n">
        <f aca="false">IF(Variants!$O115="","",Variants!$O115)</f>
        <v>0</v>
      </c>
      <c r="P114" s="18" t="n">
        <f aca="false">IF(Variants!$J115="","",Variants!$J115)</f>
        <v>49.4</v>
      </c>
      <c r="Q114" s="21" t="str">
        <f aca="false">IF(Variants!$U115="","",Variants!$U115)</f>
        <v/>
      </c>
      <c r="R114" s="21" t="str">
        <f aca="false">IF(Variants!$Y115="","",Variants!$Y115)</f>
        <v/>
      </c>
      <c r="S114" s="21" t="n">
        <f aca="false">IFERROR(VLOOKUP(Variants!$B115,Designs!$A$3:$AP$165,37,FALSE()),"")</f>
        <v>0</v>
      </c>
      <c r="T114" s="21" t="str">
        <f aca="false">IFERROR(VLOOKUP(Variants!$B115,Designs!$A$3:$AP$165,38,FALSE()),"")</f>
        <v>No</v>
      </c>
      <c r="U114" s="21" t="str">
        <f aca="false">IF(Variants!$AD115="Active","active","draft")</f>
        <v>active</v>
      </c>
    </row>
    <row r="115" customFormat="false" ht="15.75" hidden="false" customHeight="true" outlineLevel="0" collapsed="false">
      <c r="A115" s="21" t="str">
        <f aca="false">IF(Variants!$B116="","",LOWER(Variants!$B116))</f>
        <v>dsgn-pend-alpha-feh</v>
      </c>
      <c r="B115" s="21" t="str">
        <f aca="false">IF(Variants!$B116="","",Variants!$C116&amp;IF(Variants!$F116="",""," "&amp;Variants!$F116))</f>
        <v>Bird Letter Pendant Ֆ</v>
      </c>
      <c r="C115" s="21" t="str">
        <f aca="false">IFERROR(IF(Variants!$B116="","","&lt;p&gt;"&amp;VLOOKUP(Variants!$B116,Designs!$A$3:$AP$165,9,FALSE())&amp;"&lt;/p&gt;"),"")</f>
        <v>&lt;p&gt;Bird letters are an ornamental medieval Armenian script where each letter is formed from stylised birds, used in illuminated manuscripts.&lt;/p&gt;</v>
      </c>
      <c r="D115" s="21" t="str">
        <f aca="false">IF(Variants!$B116="","","Karni Jewellery")</f>
        <v>Karni Jewellery</v>
      </c>
      <c r="E115" s="21" t="str">
        <f aca="false">IF(Variants!$B116="","","Apparel &amp; Accessories &gt; Jewelry")</f>
        <v>Apparel &amp; Accessories &gt; Jewelry</v>
      </c>
      <c r="F115" s="21" t="str">
        <f aca="false">IF(Variants!$D116="","",Variants!$D116)</f>
        <v>Pendant</v>
      </c>
      <c r="G115" s="21" t="str">
        <f aca="false">IF(Variants!$E116="","",Variants!$E116&amp;", Armenian jewellery, handmade")</f>
        <v>Alphabet, Armenian jewellery, handmade</v>
      </c>
      <c r="H115" s="21" t="str">
        <f aca="false">IF(Variants!$AD116="Active","TRUE","FALSE")</f>
        <v>TRUE</v>
      </c>
      <c r="I115" s="21" t="str">
        <f aca="false">IF(Variants!$H116="","","Color")</f>
        <v>Color</v>
      </c>
      <c r="J115" s="21" t="str">
        <f aca="false">IF(Variants!$H116="","",Variants!$H116)</f>
        <v>white</v>
      </c>
      <c r="K115" s="21" t="str">
        <f aca="false">IF(Variants!$G116="","","Size")</f>
        <v/>
      </c>
      <c r="L115" s="21" t="str">
        <f aca="false">IF(Variants!$G116="","",Variants!$G116)</f>
        <v/>
      </c>
      <c r="M115" s="21" t="str">
        <f aca="false">Variants!$A116</f>
        <v>KARNI-PEND-ALPHA-FEH-WHITE</v>
      </c>
      <c r="N115" s="21" t="str">
        <f aca="false">IF(Variants!$X116="","",Variants!$X116)</f>
        <v/>
      </c>
      <c r="O115" s="21" t="n">
        <f aca="false">IF(Variants!$O116="","",Variants!$O116)</f>
        <v>0</v>
      </c>
      <c r="P115" s="18" t="n">
        <f aca="false">IF(Variants!$J116="","",Variants!$J116)</f>
        <v>49.4</v>
      </c>
      <c r="Q115" s="21" t="str">
        <f aca="false">IF(Variants!$U116="","",Variants!$U116)</f>
        <v/>
      </c>
      <c r="R115" s="21" t="str">
        <f aca="false">IF(Variants!$Y116="","",Variants!$Y116)</f>
        <v/>
      </c>
      <c r="S115" s="21" t="n">
        <f aca="false">IFERROR(VLOOKUP(Variants!$B116,Designs!$A$3:$AP$165,37,FALSE()),"")</f>
        <v>0</v>
      </c>
      <c r="T115" s="21" t="str">
        <f aca="false">IFERROR(VLOOKUP(Variants!$B116,Designs!$A$3:$AP$165,38,FALSE()),"")</f>
        <v>No</v>
      </c>
      <c r="U115" s="21" t="str">
        <f aca="false">IF(Variants!$AD116="Active","active","draft")</f>
        <v>active</v>
      </c>
    </row>
    <row r="116" customFormat="false" ht="15.75" hidden="false" customHeight="true" outlineLevel="0" collapsed="false">
      <c r="A116" s="21" t="str">
        <f aca="false">IF(Variants!$B117="","",LOWER(Variants!$B117))</f>
        <v>dsgn-brac-alpha-ayb</v>
      </c>
      <c r="B116" s="21" t="str">
        <f aca="false">IF(Variants!$B117="","",Variants!$C117&amp;IF(Variants!$F117="",""," "&amp;Variants!$F117))</f>
        <v>Bird Letter Bracelet Ա</v>
      </c>
      <c r="C116" s="21" t="str">
        <f aca="false">IFERROR(IF(Variants!$B117="","","&lt;p&gt;"&amp;VLOOKUP(Variants!$B117,Designs!$A$3:$AP$165,9,FALSE())&amp;"&lt;/p&gt;"),"")</f>
        <v>&lt;p&gt;Bird letters are an ornamental medieval Armenian script where each letter is formed from stylised birds, used in illuminated manuscripts.&lt;/p&gt;</v>
      </c>
      <c r="D116" s="21" t="str">
        <f aca="false">IF(Variants!$B117="","","Karni Jewellery")</f>
        <v>Karni Jewellery</v>
      </c>
      <c r="E116" s="21" t="str">
        <f aca="false">IF(Variants!$B117="","","Apparel &amp; Accessories &gt; Jewelry")</f>
        <v>Apparel &amp; Accessories &gt; Jewelry</v>
      </c>
      <c r="F116" s="21" t="str">
        <f aca="false">IF(Variants!$D117="","",Variants!$D117)</f>
        <v>Bracelet</v>
      </c>
      <c r="G116" s="21" t="str">
        <f aca="false">IF(Variants!$E117="","",Variants!$E117&amp;", Armenian jewellery, handmade")</f>
        <v>Alphabet, Armenian jewellery, handmade</v>
      </c>
      <c r="H116" s="21" t="str">
        <f aca="false">IF(Variants!$AD117="Active","TRUE","FALSE")</f>
        <v>TRUE</v>
      </c>
      <c r="I116" s="21" t="str">
        <f aca="false">IF(Variants!$H117="","","Color")</f>
        <v>Color</v>
      </c>
      <c r="J116" s="21" t="str">
        <f aca="false">IF(Variants!$H117="","",Variants!$H117)</f>
        <v>red</v>
      </c>
      <c r="K116" s="21" t="str">
        <f aca="false">IF(Variants!$G117="","","Size")</f>
        <v/>
      </c>
      <c r="L116" s="21" t="str">
        <f aca="false">IF(Variants!$G117="","",Variants!$G117)</f>
        <v/>
      </c>
      <c r="M116" s="21" t="str">
        <f aca="false">Variants!$A117</f>
        <v>KARNI-BRAC-ALPHA-AYB-RED</v>
      </c>
      <c r="N116" s="21" t="str">
        <f aca="false">IF(Variants!$X117="","",Variants!$X117)</f>
        <v/>
      </c>
      <c r="O116" s="21" t="n">
        <f aca="false">IF(Variants!$O117="","",Variants!$O117)</f>
        <v>0</v>
      </c>
      <c r="P116" s="18" t="n">
        <f aca="false">IF(Variants!$J117="","",Variants!$J117)</f>
        <v>49.4</v>
      </c>
      <c r="Q116" s="21" t="str">
        <f aca="false">IF(Variants!$U117="","",Variants!$U117)</f>
        <v/>
      </c>
      <c r="R116" s="21" t="str">
        <f aca="false">IF(Variants!$Y117="","",Variants!$Y117)</f>
        <v/>
      </c>
      <c r="S116" s="21" t="n">
        <f aca="false">IFERROR(VLOOKUP(Variants!$B117,Designs!$A$3:$AP$165,37,FALSE()),"")</f>
        <v>0</v>
      </c>
      <c r="T116" s="21" t="str">
        <f aca="false">IFERROR(VLOOKUP(Variants!$B117,Designs!$A$3:$AP$165,38,FALSE()),"")</f>
        <v>No</v>
      </c>
      <c r="U116" s="21" t="str">
        <f aca="false">IF(Variants!$AD117="Active","active","draft")</f>
        <v>active</v>
      </c>
    </row>
    <row r="117" customFormat="false" ht="15.75" hidden="false" customHeight="true" outlineLevel="0" collapsed="false">
      <c r="A117" s="21" t="str">
        <f aca="false">IF(Variants!$B118="","",LOWER(Variants!$B118))</f>
        <v>dsgn-brac-alpha-ayb</v>
      </c>
      <c r="B117" s="21" t="str">
        <f aca="false">IF(Variants!$B118="","",Variants!$C118&amp;IF(Variants!$F118="",""," "&amp;Variants!$F118))</f>
        <v>Bird Letter Bracelet Ա</v>
      </c>
      <c r="C117" s="21" t="str">
        <f aca="false">IFERROR(IF(Variants!$B118="","","&lt;p&gt;"&amp;VLOOKUP(Variants!$B118,Designs!$A$3:$AP$165,9,FALSE())&amp;"&lt;/p&gt;"),"")</f>
        <v>&lt;p&gt;Bird letters are an ornamental medieval Armenian script where each letter is formed from stylised birds, used in illuminated manuscripts.&lt;/p&gt;</v>
      </c>
      <c r="D117" s="21" t="str">
        <f aca="false">IF(Variants!$B118="","","Karni Jewellery")</f>
        <v>Karni Jewellery</v>
      </c>
      <c r="E117" s="21" t="str">
        <f aca="false">IF(Variants!$B118="","","Apparel &amp; Accessories &gt; Jewelry")</f>
        <v>Apparel &amp; Accessories &gt; Jewelry</v>
      </c>
      <c r="F117" s="21" t="str">
        <f aca="false">IF(Variants!$D118="","",Variants!$D118)</f>
        <v>Bracelet</v>
      </c>
      <c r="G117" s="21" t="str">
        <f aca="false">IF(Variants!$E118="","",Variants!$E118&amp;", Armenian jewellery, handmade")</f>
        <v>Alphabet, Armenian jewellery, handmade</v>
      </c>
      <c r="H117" s="21" t="str">
        <f aca="false">IF(Variants!$AD118="Active","TRUE","FALSE")</f>
        <v>TRUE</v>
      </c>
      <c r="I117" s="21" t="str">
        <f aca="false">IF(Variants!$H118="","","Color")</f>
        <v>Color</v>
      </c>
      <c r="J117" s="21" t="str">
        <f aca="false">IF(Variants!$H118="","",Variants!$H118)</f>
        <v>turquoise</v>
      </c>
      <c r="K117" s="21" t="str">
        <f aca="false">IF(Variants!$G118="","","Size")</f>
        <v/>
      </c>
      <c r="L117" s="21" t="str">
        <f aca="false">IF(Variants!$G118="","",Variants!$G118)</f>
        <v/>
      </c>
      <c r="M117" s="21" t="str">
        <f aca="false">Variants!$A118</f>
        <v>KARNI-BRAC-ALPHA-AYB-TURQUOISE</v>
      </c>
      <c r="N117" s="21" t="str">
        <f aca="false">IF(Variants!$X118="","",Variants!$X118)</f>
        <v/>
      </c>
      <c r="O117" s="21" t="n">
        <f aca="false">IF(Variants!$O118="","",Variants!$O118)</f>
        <v>0</v>
      </c>
      <c r="P117" s="18" t="n">
        <f aca="false">IF(Variants!$J118="","",Variants!$J118)</f>
        <v>49.4</v>
      </c>
      <c r="Q117" s="21" t="str">
        <f aca="false">IF(Variants!$U118="","",Variants!$U118)</f>
        <v/>
      </c>
      <c r="R117" s="21" t="str">
        <f aca="false">IF(Variants!$Y118="","",Variants!$Y118)</f>
        <v/>
      </c>
      <c r="S117" s="21" t="n">
        <f aca="false">IFERROR(VLOOKUP(Variants!$B118,Designs!$A$3:$AP$165,37,FALSE()),"")</f>
        <v>0</v>
      </c>
      <c r="T117" s="21" t="str">
        <f aca="false">IFERROR(VLOOKUP(Variants!$B118,Designs!$A$3:$AP$165,38,FALSE()),"")</f>
        <v>No</v>
      </c>
      <c r="U117" s="21" t="str">
        <f aca="false">IF(Variants!$AD118="Active","active","draft")</f>
        <v>active</v>
      </c>
    </row>
    <row r="118" customFormat="false" ht="15.75" hidden="false" customHeight="true" outlineLevel="0" collapsed="false">
      <c r="A118" s="21" t="str">
        <f aca="false">IF(Variants!$B119="","",LOWER(Variants!$B119))</f>
        <v>dsgn-brac-alpha-ayb</v>
      </c>
      <c r="B118" s="21" t="str">
        <f aca="false">IF(Variants!$B119="","",Variants!$C119&amp;IF(Variants!$F119="",""," "&amp;Variants!$F119))</f>
        <v>Bird Letter Bracelet Ա</v>
      </c>
      <c r="C118" s="21" t="str">
        <f aca="false">IFERROR(IF(Variants!$B119="","","&lt;p&gt;"&amp;VLOOKUP(Variants!$B119,Designs!$A$3:$AP$165,9,FALSE())&amp;"&lt;/p&gt;"),"")</f>
        <v>&lt;p&gt;Bird letters are an ornamental medieval Armenian script where each letter is formed from stylised birds, used in illuminated manuscripts.&lt;/p&gt;</v>
      </c>
      <c r="D118" s="21" t="str">
        <f aca="false">IF(Variants!$B119="","","Karni Jewellery")</f>
        <v>Karni Jewellery</v>
      </c>
      <c r="E118" s="21" t="str">
        <f aca="false">IF(Variants!$B119="","","Apparel &amp; Accessories &gt; Jewelry")</f>
        <v>Apparel &amp; Accessories &gt; Jewelry</v>
      </c>
      <c r="F118" s="21" t="str">
        <f aca="false">IF(Variants!$D119="","",Variants!$D119)</f>
        <v>Bracelet</v>
      </c>
      <c r="G118" s="21" t="str">
        <f aca="false">IF(Variants!$E119="","",Variants!$E119&amp;", Armenian jewellery, handmade")</f>
        <v>Alphabet, Armenian jewellery, handmade</v>
      </c>
      <c r="H118" s="21" t="str">
        <f aca="false">IF(Variants!$AD119="Active","TRUE","FALSE")</f>
        <v>TRUE</v>
      </c>
      <c r="I118" s="21" t="str">
        <f aca="false">IF(Variants!$H119="","","Color")</f>
        <v>Color</v>
      </c>
      <c r="J118" s="21" t="str">
        <f aca="false">IF(Variants!$H119="","",Variants!$H119)</f>
        <v>white</v>
      </c>
      <c r="K118" s="21" t="str">
        <f aca="false">IF(Variants!$G119="","","Size")</f>
        <v/>
      </c>
      <c r="L118" s="21" t="str">
        <f aca="false">IF(Variants!$G119="","",Variants!$G119)</f>
        <v/>
      </c>
      <c r="M118" s="21" t="str">
        <f aca="false">Variants!$A119</f>
        <v>KARNI-BRAC-ALPHA-AYB-WHITE</v>
      </c>
      <c r="N118" s="21" t="str">
        <f aca="false">IF(Variants!$X119="","",Variants!$X119)</f>
        <v/>
      </c>
      <c r="O118" s="21" t="n">
        <f aca="false">IF(Variants!$O119="","",Variants!$O119)</f>
        <v>0</v>
      </c>
      <c r="P118" s="18" t="n">
        <f aca="false">IF(Variants!$J119="","",Variants!$J119)</f>
        <v>49.4</v>
      </c>
      <c r="Q118" s="21" t="str">
        <f aca="false">IF(Variants!$U119="","",Variants!$U119)</f>
        <v/>
      </c>
      <c r="R118" s="21" t="str">
        <f aca="false">IF(Variants!$Y119="","",Variants!$Y119)</f>
        <v/>
      </c>
      <c r="S118" s="21" t="n">
        <f aca="false">IFERROR(VLOOKUP(Variants!$B119,Designs!$A$3:$AP$165,37,FALSE()),"")</f>
        <v>0</v>
      </c>
      <c r="T118" s="21" t="str">
        <f aca="false">IFERROR(VLOOKUP(Variants!$B119,Designs!$A$3:$AP$165,38,FALSE()),"")</f>
        <v>No</v>
      </c>
      <c r="U118" s="21" t="str">
        <f aca="false">IF(Variants!$AD119="Active","active","draft")</f>
        <v>active</v>
      </c>
    </row>
    <row r="119" customFormat="false" ht="15.75" hidden="false" customHeight="true" outlineLevel="0" collapsed="false">
      <c r="A119" s="21" t="str">
        <f aca="false">IF(Variants!$B120="","",LOWER(Variants!$B120))</f>
        <v>dsgn-brac-alpha-ben</v>
      </c>
      <c r="B119" s="21" t="str">
        <f aca="false">IF(Variants!$B120="","",Variants!$C120&amp;IF(Variants!$F120="",""," "&amp;Variants!$F120))</f>
        <v>Bird Letter Bracelet Բ</v>
      </c>
      <c r="C119" s="21" t="str">
        <f aca="false">IFERROR(IF(Variants!$B120="","","&lt;p&gt;"&amp;VLOOKUP(Variants!$B120,Designs!$A$3:$AP$165,9,FALSE())&amp;"&lt;/p&gt;"),"")</f>
        <v>&lt;p&gt;Bird letters are an ornamental medieval Armenian script where each letter is formed from stylised birds, used in illuminated manuscripts.&lt;/p&gt;</v>
      </c>
      <c r="D119" s="21" t="str">
        <f aca="false">IF(Variants!$B120="","","Karni Jewellery")</f>
        <v>Karni Jewellery</v>
      </c>
      <c r="E119" s="21" t="str">
        <f aca="false">IF(Variants!$B120="","","Apparel &amp; Accessories &gt; Jewelry")</f>
        <v>Apparel &amp; Accessories &gt; Jewelry</v>
      </c>
      <c r="F119" s="21" t="str">
        <f aca="false">IF(Variants!$D120="","",Variants!$D120)</f>
        <v>Bracelet</v>
      </c>
      <c r="G119" s="21" t="str">
        <f aca="false">IF(Variants!$E120="","",Variants!$E120&amp;", Armenian jewellery, handmade")</f>
        <v>Alphabet, Armenian jewellery, handmade</v>
      </c>
      <c r="H119" s="21" t="str">
        <f aca="false">IF(Variants!$AD120="Active","TRUE","FALSE")</f>
        <v>TRUE</v>
      </c>
      <c r="I119" s="21" t="str">
        <f aca="false">IF(Variants!$H120="","","Color")</f>
        <v>Color</v>
      </c>
      <c r="J119" s="21" t="str">
        <f aca="false">IF(Variants!$H120="","",Variants!$H120)</f>
        <v>red</v>
      </c>
      <c r="K119" s="21" t="str">
        <f aca="false">IF(Variants!$G120="","","Size")</f>
        <v/>
      </c>
      <c r="L119" s="21" t="str">
        <f aca="false">IF(Variants!$G120="","",Variants!$G120)</f>
        <v/>
      </c>
      <c r="M119" s="21" t="str">
        <f aca="false">Variants!$A120</f>
        <v>KARNI-BRAC-ALPHA-BEN-RED</v>
      </c>
      <c r="N119" s="21" t="str">
        <f aca="false">IF(Variants!$X120="","",Variants!$X120)</f>
        <v/>
      </c>
      <c r="O119" s="21" t="n">
        <f aca="false">IF(Variants!$O120="","",Variants!$O120)</f>
        <v>0</v>
      </c>
      <c r="P119" s="18" t="n">
        <f aca="false">IF(Variants!$J120="","",Variants!$J120)</f>
        <v>49.4</v>
      </c>
      <c r="Q119" s="21" t="str">
        <f aca="false">IF(Variants!$U120="","",Variants!$U120)</f>
        <v/>
      </c>
      <c r="R119" s="21" t="str">
        <f aca="false">IF(Variants!$Y120="","",Variants!$Y120)</f>
        <v/>
      </c>
      <c r="S119" s="21" t="n">
        <f aca="false">IFERROR(VLOOKUP(Variants!$B120,Designs!$A$3:$AP$165,37,FALSE()),"")</f>
        <v>0</v>
      </c>
      <c r="T119" s="21" t="str">
        <f aca="false">IFERROR(VLOOKUP(Variants!$B120,Designs!$A$3:$AP$165,38,FALSE()),"")</f>
        <v>No</v>
      </c>
      <c r="U119" s="21" t="str">
        <f aca="false">IF(Variants!$AD120="Active","active","draft")</f>
        <v>active</v>
      </c>
    </row>
    <row r="120" customFormat="false" ht="15.75" hidden="false" customHeight="true" outlineLevel="0" collapsed="false">
      <c r="A120" s="21" t="str">
        <f aca="false">IF(Variants!$B121="","",LOWER(Variants!$B121))</f>
        <v>dsgn-brac-alpha-ben</v>
      </c>
      <c r="B120" s="21" t="str">
        <f aca="false">IF(Variants!$B121="","",Variants!$C121&amp;IF(Variants!$F121="",""," "&amp;Variants!$F121))</f>
        <v>Bird Letter Bracelet Բ</v>
      </c>
      <c r="C120" s="21" t="str">
        <f aca="false">IFERROR(IF(Variants!$B121="","","&lt;p&gt;"&amp;VLOOKUP(Variants!$B121,Designs!$A$3:$AP$165,9,FALSE())&amp;"&lt;/p&gt;"),"")</f>
        <v>&lt;p&gt;Bird letters are an ornamental medieval Armenian script where each letter is formed from stylised birds, used in illuminated manuscripts.&lt;/p&gt;</v>
      </c>
      <c r="D120" s="21" t="str">
        <f aca="false">IF(Variants!$B121="","","Karni Jewellery")</f>
        <v>Karni Jewellery</v>
      </c>
      <c r="E120" s="21" t="str">
        <f aca="false">IF(Variants!$B121="","","Apparel &amp; Accessories &gt; Jewelry")</f>
        <v>Apparel &amp; Accessories &gt; Jewelry</v>
      </c>
      <c r="F120" s="21" t="str">
        <f aca="false">IF(Variants!$D121="","",Variants!$D121)</f>
        <v>Bracelet</v>
      </c>
      <c r="G120" s="21" t="str">
        <f aca="false">IF(Variants!$E121="","",Variants!$E121&amp;", Armenian jewellery, handmade")</f>
        <v>Alphabet, Armenian jewellery, handmade</v>
      </c>
      <c r="H120" s="21" t="str">
        <f aca="false">IF(Variants!$AD121="Active","TRUE","FALSE")</f>
        <v>TRUE</v>
      </c>
      <c r="I120" s="21" t="str">
        <f aca="false">IF(Variants!$H121="","","Color")</f>
        <v>Color</v>
      </c>
      <c r="J120" s="21" t="str">
        <f aca="false">IF(Variants!$H121="","",Variants!$H121)</f>
        <v>turquoise</v>
      </c>
      <c r="K120" s="21" t="str">
        <f aca="false">IF(Variants!$G121="","","Size")</f>
        <v/>
      </c>
      <c r="L120" s="21" t="str">
        <f aca="false">IF(Variants!$G121="","",Variants!$G121)</f>
        <v/>
      </c>
      <c r="M120" s="21" t="str">
        <f aca="false">Variants!$A121</f>
        <v>KARNI-BRAC-ALPHA-BEN-TURQUOISE</v>
      </c>
      <c r="N120" s="21" t="str">
        <f aca="false">IF(Variants!$X121="","",Variants!$X121)</f>
        <v/>
      </c>
      <c r="O120" s="21" t="n">
        <f aca="false">IF(Variants!$O121="","",Variants!$O121)</f>
        <v>0</v>
      </c>
      <c r="P120" s="18" t="n">
        <f aca="false">IF(Variants!$J121="","",Variants!$J121)</f>
        <v>49.4</v>
      </c>
      <c r="Q120" s="21" t="str">
        <f aca="false">IF(Variants!$U121="","",Variants!$U121)</f>
        <v/>
      </c>
      <c r="R120" s="21" t="str">
        <f aca="false">IF(Variants!$Y121="","",Variants!$Y121)</f>
        <v/>
      </c>
      <c r="S120" s="21" t="n">
        <f aca="false">IFERROR(VLOOKUP(Variants!$B121,Designs!$A$3:$AP$165,37,FALSE()),"")</f>
        <v>0</v>
      </c>
      <c r="T120" s="21" t="str">
        <f aca="false">IFERROR(VLOOKUP(Variants!$B121,Designs!$A$3:$AP$165,38,FALSE()),"")</f>
        <v>No</v>
      </c>
      <c r="U120" s="21" t="str">
        <f aca="false">IF(Variants!$AD121="Active","active","draft")</f>
        <v>active</v>
      </c>
    </row>
    <row r="121" customFormat="false" ht="15.75" hidden="false" customHeight="true" outlineLevel="0" collapsed="false">
      <c r="A121" s="21" t="str">
        <f aca="false">IF(Variants!$B122="","",LOWER(Variants!$B122))</f>
        <v>dsgn-brac-alpha-ben</v>
      </c>
      <c r="B121" s="21" t="str">
        <f aca="false">IF(Variants!$B122="","",Variants!$C122&amp;IF(Variants!$F122="",""," "&amp;Variants!$F122))</f>
        <v>Bird Letter Bracelet Բ</v>
      </c>
      <c r="C121" s="21" t="str">
        <f aca="false">IFERROR(IF(Variants!$B122="","","&lt;p&gt;"&amp;VLOOKUP(Variants!$B122,Designs!$A$3:$AP$165,9,FALSE())&amp;"&lt;/p&gt;"),"")</f>
        <v>&lt;p&gt;Bird letters are an ornamental medieval Armenian script where each letter is formed from stylised birds, used in illuminated manuscripts.&lt;/p&gt;</v>
      </c>
      <c r="D121" s="21" t="str">
        <f aca="false">IF(Variants!$B122="","","Karni Jewellery")</f>
        <v>Karni Jewellery</v>
      </c>
      <c r="E121" s="21" t="str">
        <f aca="false">IF(Variants!$B122="","","Apparel &amp; Accessories &gt; Jewelry")</f>
        <v>Apparel &amp; Accessories &gt; Jewelry</v>
      </c>
      <c r="F121" s="21" t="str">
        <f aca="false">IF(Variants!$D122="","",Variants!$D122)</f>
        <v>Bracelet</v>
      </c>
      <c r="G121" s="21" t="str">
        <f aca="false">IF(Variants!$E122="","",Variants!$E122&amp;", Armenian jewellery, handmade")</f>
        <v>Alphabet, Armenian jewellery, handmade</v>
      </c>
      <c r="H121" s="21" t="str">
        <f aca="false">IF(Variants!$AD122="Active","TRUE","FALSE")</f>
        <v>TRUE</v>
      </c>
      <c r="I121" s="21" t="str">
        <f aca="false">IF(Variants!$H122="","","Color")</f>
        <v>Color</v>
      </c>
      <c r="J121" s="21" t="str">
        <f aca="false">IF(Variants!$H122="","",Variants!$H122)</f>
        <v>white</v>
      </c>
      <c r="K121" s="21" t="str">
        <f aca="false">IF(Variants!$G122="","","Size")</f>
        <v/>
      </c>
      <c r="L121" s="21" t="str">
        <f aca="false">IF(Variants!$G122="","",Variants!$G122)</f>
        <v/>
      </c>
      <c r="M121" s="21" t="str">
        <f aca="false">Variants!$A122</f>
        <v>KARNI-BRAC-ALPHA-BEN-WHITE</v>
      </c>
      <c r="N121" s="21" t="str">
        <f aca="false">IF(Variants!$X122="","",Variants!$X122)</f>
        <v/>
      </c>
      <c r="O121" s="21" t="n">
        <f aca="false">IF(Variants!$O122="","",Variants!$O122)</f>
        <v>0</v>
      </c>
      <c r="P121" s="18" t="n">
        <f aca="false">IF(Variants!$J122="","",Variants!$J122)</f>
        <v>49.4</v>
      </c>
      <c r="Q121" s="21" t="str">
        <f aca="false">IF(Variants!$U122="","",Variants!$U122)</f>
        <v/>
      </c>
      <c r="R121" s="21" t="str">
        <f aca="false">IF(Variants!$Y122="","",Variants!$Y122)</f>
        <v/>
      </c>
      <c r="S121" s="21" t="n">
        <f aca="false">IFERROR(VLOOKUP(Variants!$B122,Designs!$A$3:$AP$165,37,FALSE()),"")</f>
        <v>0</v>
      </c>
      <c r="T121" s="21" t="str">
        <f aca="false">IFERROR(VLOOKUP(Variants!$B122,Designs!$A$3:$AP$165,38,FALSE()),"")</f>
        <v>No</v>
      </c>
      <c r="U121" s="21" t="str">
        <f aca="false">IF(Variants!$AD122="Active","active","draft")</f>
        <v>active</v>
      </c>
    </row>
    <row r="122" customFormat="false" ht="15.75" hidden="false" customHeight="true" outlineLevel="0" collapsed="false">
      <c r="A122" s="21" t="str">
        <f aca="false">IF(Variants!$B123="","",LOWER(Variants!$B123))</f>
        <v>dsgn-brac-alpha-gim</v>
      </c>
      <c r="B122" s="21" t="str">
        <f aca="false">IF(Variants!$B123="","",Variants!$C123&amp;IF(Variants!$F123="",""," "&amp;Variants!$F123))</f>
        <v>Bird Letter Bracelet Գ</v>
      </c>
      <c r="C122" s="21" t="str">
        <f aca="false">IFERROR(IF(Variants!$B123="","","&lt;p&gt;"&amp;VLOOKUP(Variants!$B123,Designs!$A$3:$AP$165,9,FALSE())&amp;"&lt;/p&gt;"),"")</f>
        <v>&lt;p&gt;Bird letters are an ornamental medieval Armenian script where each letter is formed from stylised birds, used in illuminated manuscripts.&lt;/p&gt;</v>
      </c>
      <c r="D122" s="21" t="str">
        <f aca="false">IF(Variants!$B123="","","Karni Jewellery")</f>
        <v>Karni Jewellery</v>
      </c>
      <c r="E122" s="21" t="str">
        <f aca="false">IF(Variants!$B123="","","Apparel &amp; Accessories &gt; Jewelry")</f>
        <v>Apparel &amp; Accessories &gt; Jewelry</v>
      </c>
      <c r="F122" s="21" t="str">
        <f aca="false">IF(Variants!$D123="","",Variants!$D123)</f>
        <v>Bracelet</v>
      </c>
      <c r="G122" s="21" t="str">
        <f aca="false">IF(Variants!$E123="","",Variants!$E123&amp;", Armenian jewellery, handmade")</f>
        <v>Alphabet, Armenian jewellery, handmade</v>
      </c>
      <c r="H122" s="21" t="str">
        <f aca="false">IF(Variants!$AD123="Active","TRUE","FALSE")</f>
        <v>TRUE</v>
      </c>
      <c r="I122" s="21" t="str">
        <f aca="false">IF(Variants!$H123="","","Color")</f>
        <v>Color</v>
      </c>
      <c r="J122" s="21" t="str">
        <f aca="false">IF(Variants!$H123="","",Variants!$H123)</f>
        <v>red</v>
      </c>
      <c r="K122" s="21" t="str">
        <f aca="false">IF(Variants!$G123="","","Size")</f>
        <v/>
      </c>
      <c r="L122" s="21" t="str">
        <f aca="false">IF(Variants!$G123="","",Variants!$G123)</f>
        <v/>
      </c>
      <c r="M122" s="21" t="str">
        <f aca="false">Variants!$A123</f>
        <v>KARNI-BRAC-ALPHA-GIM-RED</v>
      </c>
      <c r="N122" s="21" t="str">
        <f aca="false">IF(Variants!$X123="","",Variants!$X123)</f>
        <v/>
      </c>
      <c r="O122" s="21" t="n">
        <f aca="false">IF(Variants!$O123="","",Variants!$O123)</f>
        <v>0</v>
      </c>
      <c r="P122" s="18" t="n">
        <f aca="false">IF(Variants!$J123="","",Variants!$J123)</f>
        <v>49.4</v>
      </c>
      <c r="Q122" s="21" t="str">
        <f aca="false">IF(Variants!$U123="","",Variants!$U123)</f>
        <v/>
      </c>
      <c r="R122" s="21" t="str">
        <f aca="false">IF(Variants!$Y123="","",Variants!$Y123)</f>
        <v/>
      </c>
      <c r="S122" s="21" t="n">
        <f aca="false">IFERROR(VLOOKUP(Variants!$B123,Designs!$A$3:$AP$165,37,FALSE()),"")</f>
        <v>0</v>
      </c>
      <c r="T122" s="21" t="str">
        <f aca="false">IFERROR(VLOOKUP(Variants!$B123,Designs!$A$3:$AP$165,38,FALSE()),"")</f>
        <v>No</v>
      </c>
      <c r="U122" s="21" t="str">
        <f aca="false">IF(Variants!$AD123="Active","active","draft")</f>
        <v>active</v>
      </c>
    </row>
    <row r="123" customFormat="false" ht="15.75" hidden="false" customHeight="true" outlineLevel="0" collapsed="false">
      <c r="A123" s="21" t="str">
        <f aca="false">IF(Variants!$B124="","",LOWER(Variants!$B124))</f>
        <v>dsgn-brac-alpha-gim</v>
      </c>
      <c r="B123" s="21" t="str">
        <f aca="false">IF(Variants!$B124="","",Variants!$C124&amp;IF(Variants!$F124="",""," "&amp;Variants!$F124))</f>
        <v>Bird Letter Bracelet Գ</v>
      </c>
      <c r="C123" s="21" t="str">
        <f aca="false">IFERROR(IF(Variants!$B124="","","&lt;p&gt;"&amp;VLOOKUP(Variants!$B124,Designs!$A$3:$AP$165,9,FALSE())&amp;"&lt;/p&gt;"),"")</f>
        <v>&lt;p&gt;Bird letters are an ornamental medieval Armenian script where each letter is formed from stylised birds, used in illuminated manuscripts.&lt;/p&gt;</v>
      </c>
      <c r="D123" s="21" t="str">
        <f aca="false">IF(Variants!$B124="","","Karni Jewellery")</f>
        <v>Karni Jewellery</v>
      </c>
      <c r="E123" s="21" t="str">
        <f aca="false">IF(Variants!$B124="","","Apparel &amp; Accessories &gt; Jewelry")</f>
        <v>Apparel &amp; Accessories &gt; Jewelry</v>
      </c>
      <c r="F123" s="21" t="str">
        <f aca="false">IF(Variants!$D124="","",Variants!$D124)</f>
        <v>Bracelet</v>
      </c>
      <c r="G123" s="21" t="str">
        <f aca="false">IF(Variants!$E124="","",Variants!$E124&amp;", Armenian jewellery, handmade")</f>
        <v>Alphabet, Armenian jewellery, handmade</v>
      </c>
      <c r="H123" s="21" t="str">
        <f aca="false">IF(Variants!$AD124="Active","TRUE","FALSE")</f>
        <v>TRUE</v>
      </c>
      <c r="I123" s="21" t="str">
        <f aca="false">IF(Variants!$H124="","","Color")</f>
        <v>Color</v>
      </c>
      <c r="J123" s="21" t="str">
        <f aca="false">IF(Variants!$H124="","",Variants!$H124)</f>
        <v>turquoise</v>
      </c>
      <c r="K123" s="21" t="str">
        <f aca="false">IF(Variants!$G124="","","Size")</f>
        <v/>
      </c>
      <c r="L123" s="21" t="str">
        <f aca="false">IF(Variants!$G124="","",Variants!$G124)</f>
        <v/>
      </c>
      <c r="M123" s="21" t="str">
        <f aca="false">Variants!$A124</f>
        <v>KARNI-BRAC-ALPHA-GIM-TURQUOISE</v>
      </c>
      <c r="N123" s="21" t="str">
        <f aca="false">IF(Variants!$X124="","",Variants!$X124)</f>
        <v/>
      </c>
      <c r="O123" s="21" t="n">
        <f aca="false">IF(Variants!$O124="","",Variants!$O124)</f>
        <v>0</v>
      </c>
      <c r="P123" s="18" t="n">
        <f aca="false">IF(Variants!$J124="","",Variants!$J124)</f>
        <v>49.4</v>
      </c>
      <c r="Q123" s="21" t="str">
        <f aca="false">IF(Variants!$U124="","",Variants!$U124)</f>
        <v/>
      </c>
      <c r="R123" s="21" t="str">
        <f aca="false">IF(Variants!$Y124="","",Variants!$Y124)</f>
        <v/>
      </c>
      <c r="S123" s="21" t="n">
        <f aca="false">IFERROR(VLOOKUP(Variants!$B124,Designs!$A$3:$AP$165,37,FALSE()),"")</f>
        <v>0</v>
      </c>
      <c r="T123" s="21" t="str">
        <f aca="false">IFERROR(VLOOKUP(Variants!$B124,Designs!$A$3:$AP$165,38,FALSE()),"")</f>
        <v>No</v>
      </c>
      <c r="U123" s="21" t="str">
        <f aca="false">IF(Variants!$AD124="Active","active","draft")</f>
        <v>active</v>
      </c>
    </row>
    <row r="124" customFormat="false" ht="15.75" hidden="false" customHeight="true" outlineLevel="0" collapsed="false">
      <c r="A124" s="21" t="str">
        <f aca="false">IF(Variants!$B125="","",LOWER(Variants!$B125))</f>
        <v>dsgn-brac-alpha-gim</v>
      </c>
      <c r="B124" s="21" t="str">
        <f aca="false">IF(Variants!$B125="","",Variants!$C125&amp;IF(Variants!$F125="",""," "&amp;Variants!$F125))</f>
        <v>Bird Letter Bracelet Գ</v>
      </c>
      <c r="C124" s="21" t="str">
        <f aca="false">IFERROR(IF(Variants!$B125="","","&lt;p&gt;"&amp;VLOOKUP(Variants!$B125,Designs!$A$3:$AP$165,9,FALSE())&amp;"&lt;/p&gt;"),"")</f>
        <v>&lt;p&gt;Bird letters are an ornamental medieval Armenian script where each letter is formed from stylised birds, used in illuminated manuscripts.&lt;/p&gt;</v>
      </c>
      <c r="D124" s="21" t="str">
        <f aca="false">IF(Variants!$B125="","","Karni Jewellery")</f>
        <v>Karni Jewellery</v>
      </c>
      <c r="E124" s="21" t="str">
        <f aca="false">IF(Variants!$B125="","","Apparel &amp; Accessories &gt; Jewelry")</f>
        <v>Apparel &amp; Accessories &gt; Jewelry</v>
      </c>
      <c r="F124" s="21" t="str">
        <f aca="false">IF(Variants!$D125="","",Variants!$D125)</f>
        <v>Bracelet</v>
      </c>
      <c r="G124" s="21" t="str">
        <f aca="false">IF(Variants!$E125="","",Variants!$E125&amp;", Armenian jewellery, handmade")</f>
        <v>Alphabet, Armenian jewellery, handmade</v>
      </c>
      <c r="H124" s="21" t="str">
        <f aca="false">IF(Variants!$AD125="Active","TRUE","FALSE")</f>
        <v>TRUE</v>
      </c>
      <c r="I124" s="21" t="str">
        <f aca="false">IF(Variants!$H125="","","Color")</f>
        <v>Color</v>
      </c>
      <c r="J124" s="21" t="str">
        <f aca="false">IF(Variants!$H125="","",Variants!$H125)</f>
        <v>white</v>
      </c>
      <c r="K124" s="21" t="str">
        <f aca="false">IF(Variants!$G125="","","Size")</f>
        <v/>
      </c>
      <c r="L124" s="21" t="str">
        <f aca="false">IF(Variants!$G125="","",Variants!$G125)</f>
        <v/>
      </c>
      <c r="M124" s="21" t="str">
        <f aca="false">Variants!$A125</f>
        <v>KARNI-BRAC-ALPHA-GIM-WHITE</v>
      </c>
      <c r="N124" s="21" t="str">
        <f aca="false">IF(Variants!$X125="","",Variants!$X125)</f>
        <v/>
      </c>
      <c r="O124" s="21" t="n">
        <f aca="false">IF(Variants!$O125="","",Variants!$O125)</f>
        <v>0</v>
      </c>
      <c r="P124" s="18" t="n">
        <f aca="false">IF(Variants!$J125="","",Variants!$J125)</f>
        <v>49.4</v>
      </c>
      <c r="Q124" s="21" t="str">
        <f aca="false">IF(Variants!$U125="","",Variants!$U125)</f>
        <v/>
      </c>
      <c r="R124" s="21" t="str">
        <f aca="false">IF(Variants!$Y125="","",Variants!$Y125)</f>
        <v/>
      </c>
      <c r="S124" s="21" t="n">
        <f aca="false">IFERROR(VLOOKUP(Variants!$B125,Designs!$A$3:$AP$165,37,FALSE()),"")</f>
        <v>0</v>
      </c>
      <c r="T124" s="21" t="str">
        <f aca="false">IFERROR(VLOOKUP(Variants!$B125,Designs!$A$3:$AP$165,38,FALSE()),"")</f>
        <v>No</v>
      </c>
      <c r="U124" s="21" t="str">
        <f aca="false">IF(Variants!$AD125="Active","active","draft")</f>
        <v>active</v>
      </c>
    </row>
    <row r="125" customFormat="false" ht="15.75" hidden="false" customHeight="true" outlineLevel="0" collapsed="false">
      <c r="A125" s="21" t="str">
        <f aca="false">IF(Variants!$B126="","",LOWER(Variants!$B126))</f>
        <v>dsgn-brac-alpha-da</v>
      </c>
      <c r="B125" s="21" t="str">
        <f aca="false">IF(Variants!$B126="","",Variants!$C126&amp;IF(Variants!$F126="",""," "&amp;Variants!$F126))</f>
        <v>Bird Letter Bracelet Դ</v>
      </c>
      <c r="C125" s="21" t="str">
        <f aca="false">IFERROR(IF(Variants!$B126="","","&lt;p&gt;"&amp;VLOOKUP(Variants!$B126,Designs!$A$3:$AP$165,9,FALSE())&amp;"&lt;/p&gt;"),"")</f>
        <v>&lt;p&gt;Bird letters are an ornamental medieval Armenian script where each letter is formed from stylised birds, used in illuminated manuscripts.&lt;/p&gt;</v>
      </c>
      <c r="D125" s="21" t="str">
        <f aca="false">IF(Variants!$B126="","","Karni Jewellery")</f>
        <v>Karni Jewellery</v>
      </c>
      <c r="E125" s="21" t="str">
        <f aca="false">IF(Variants!$B126="","","Apparel &amp; Accessories &gt; Jewelry")</f>
        <v>Apparel &amp; Accessories &gt; Jewelry</v>
      </c>
      <c r="F125" s="21" t="str">
        <f aca="false">IF(Variants!$D126="","",Variants!$D126)</f>
        <v>Bracelet</v>
      </c>
      <c r="G125" s="21" t="str">
        <f aca="false">IF(Variants!$E126="","",Variants!$E126&amp;", Armenian jewellery, handmade")</f>
        <v>Alphabet, Armenian jewellery, handmade</v>
      </c>
      <c r="H125" s="21" t="str">
        <f aca="false">IF(Variants!$AD126="Active","TRUE","FALSE")</f>
        <v>TRUE</v>
      </c>
      <c r="I125" s="21" t="str">
        <f aca="false">IF(Variants!$H126="","","Color")</f>
        <v>Color</v>
      </c>
      <c r="J125" s="21" t="str">
        <f aca="false">IF(Variants!$H126="","",Variants!$H126)</f>
        <v>red</v>
      </c>
      <c r="K125" s="21" t="str">
        <f aca="false">IF(Variants!$G126="","","Size")</f>
        <v/>
      </c>
      <c r="L125" s="21" t="str">
        <f aca="false">IF(Variants!$G126="","",Variants!$G126)</f>
        <v/>
      </c>
      <c r="M125" s="21" t="str">
        <f aca="false">Variants!$A126</f>
        <v>KARNI-BRAC-ALPHA-DA-RED</v>
      </c>
      <c r="N125" s="21" t="str">
        <f aca="false">IF(Variants!$X126="","",Variants!$X126)</f>
        <v/>
      </c>
      <c r="O125" s="21" t="n">
        <f aca="false">IF(Variants!$O126="","",Variants!$O126)</f>
        <v>0</v>
      </c>
      <c r="P125" s="18" t="n">
        <f aca="false">IF(Variants!$J126="","",Variants!$J126)</f>
        <v>49.4</v>
      </c>
      <c r="Q125" s="21" t="str">
        <f aca="false">IF(Variants!$U126="","",Variants!$U126)</f>
        <v/>
      </c>
      <c r="R125" s="21" t="str">
        <f aca="false">IF(Variants!$Y126="","",Variants!$Y126)</f>
        <v/>
      </c>
      <c r="S125" s="21" t="n">
        <f aca="false">IFERROR(VLOOKUP(Variants!$B126,Designs!$A$3:$AP$165,37,FALSE()),"")</f>
        <v>0</v>
      </c>
      <c r="T125" s="21" t="str">
        <f aca="false">IFERROR(VLOOKUP(Variants!$B126,Designs!$A$3:$AP$165,38,FALSE()),"")</f>
        <v>No</v>
      </c>
      <c r="U125" s="21" t="str">
        <f aca="false">IF(Variants!$AD126="Active","active","draft")</f>
        <v>active</v>
      </c>
    </row>
    <row r="126" customFormat="false" ht="15.75" hidden="false" customHeight="true" outlineLevel="0" collapsed="false">
      <c r="A126" s="21" t="str">
        <f aca="false">IF(Variants!$B127="","",LOWER(Variants!$B127))</f>
        <v>dsgn-brac-alpha-da</v>
      </c>
      <c r="B126" s="21" t="str">
        <f aca="false">IF(Variants!$B127="","",Variants!$C127&amp;IF(Variants!$F127="",""," "&amp;Variants!$F127))</f>
        <v>Bird Letter Bracelet Դ</v>
      </c>
      <c r="C126" s="21" t="str">
        <f aca="false">IFERROR(IF(Variants!$B127="","","&lt;p&gt;"&amp;VLOOKUP(Variants!$B127,Designs!$A$3:$AP$165,9,FALSE())&amp;"&lt;/p&gt;"),"")</f>
        <v>&lt;p&gt;Bird letters are an ornamental medieval Armenian script where each letter is formed from stylised birds, used in illuminated manuscripts.&lt;/p&gt;</v>
      </c>
      <c r="D126" s="21" t="str">
        <f aca="false">IF(Variants!$B127="","","Karni Jewellery")</f>
        <v>Karni Jewellery</v>
      </c>
      <c r="E126" s="21" t="str">
        <f aca="false">IF(Variants!$B127="","","Apparel &amp; Accessories &gt; Jewelry")</f>
        <v>Apparel &amp; Accessories &gt; Jewelry</v>
      </c>
      <c r="F126" s="21" t="str">
        <f aca="false">IF(Variants!$D127="","",Variants!$D127)</f>
        <v>Bracelet</v>
      </c>
      <c r="G126" s="21" t="str">
        <f aca="false">IF(Variants!$E127="","",Variants!$E127&amp;", Armenian jewellery, handmade")</f>
        <v>Alphabet, Armenian jewellery, handmade</v>
      </c>
      <c r="H126" s="21" t="str">
        <f aca="false">IF(Variants!$AD127="Active","TRUE","FALSE")</f>
        <v>TRUE</v>
      </c>
      <c r="I126" s="21" t="str">
        <f aca="false">IF(Variants!$H127="","","Color")</f>
        <v>Color</v>
      </c>
      <c r="J126" s="21" t="str">
        <f aca="false">IF(Variants!$H127="","",Variants!$H127)</f>
        <v>turquoise</v>
      </c>
      <c r="K126" s="21" t="str">
        <f aca="false">IF(Variants!$G127="","","Size")</f>
        <v/>
      </c>
      <c r="L126" s="21" t="str">
        <f aca="false">IF(Variants!$G127="","",Variants!$G127)</f>
        <v/>
      </c>
      <c r="M126" s="21" t="str">
        <f aca="false">Variants!$A127</f>
        <v>KARNI-BRAC-ALPHA-DA-TURQUOISE</v>
      </c>
      <c r="N126" s="21" t="str">
        <f aca="false">IF(Variants!$X127="","",Variants!$X127)</f>
        <v/>
      </c>
      <c r="O126" s="21" t="n">
        <f aca="false">IF(Variants!$O127="","",Variants!$O127)</f>
        <v>0</v>
      </c>
      <c r="P126" s="18" t="n">
        <f aca="false">IF(Variants!$J127="","",Variants!$J127)</f>
        <v>49.4</v>
      </c>
      <c r="Q126" s="21" t="str">
        <f aca="false">IF(Variants!$U127="","",Variants!$U127)</f>
        <v/>
      </c>
      <c r="R126" s="21" t="str">
        <f aca="false">IF(Variants!$Y127="","",Variants!$Y127)</f>
        <v/>
      </c>
      <c r="S126" s="21" t="n">
        <f aca="false">IFERROR(VLOOKUP(Variants!$B127,Designs!$A$3:$AP$165,37,FALSE()),"")</f>
        <v>0</v>
      </c>
      <c r="T126" s="21" t="str">
        <f aca="false">IFERROR(VLOOKUP(Variants!$B127,Designs!$A$3:$AP$165,38,FALSE()),"")</f>
        <v>No</v>
      </c>
      <c r="U126" s="21" t="str">
        <f aca="false">IF(Variants!$AD127="Active","active","draft")</f>
        <v>active</v>
      </c>
    </row>
    <row r="127" customFormat="false" ht="15.75" hidden="false" customHeight="true" outlineLevel="0" collapsed="false">
      <c r="A127" s="21" t="str">
        <f aca="false">IF(Variants!$B128="","",LOWER(Variants!$B128))</f>
        <v>dsgn-brac-alpha-da</v>
      </c>
      <c r="B127" s="21" t="str">
        <f aca="false">IF(Variants!$B128="","",Variants!$C128&amp;IF(Variants!$F128="",""," "&amp;Variants!$F128))</f>
        <v>Bird Letter Bracelet Դ</v>
      </c>
      <c r="C127" s="21" t="str">
        <f aca="false">IFERROR(IF(Variants!$B128="","","&lt;p&gt;"&amp;VLOOKUP(Variants!$B128,Designs!$A$3:$AP$165,9,FALSE())&amp;"&lt;/p&gt;"),"")</f>
        <v>&lt;p&gt;Bird letters are an ornamental medieval Armenian script where each letter is formed from stylised birds, used in illuminated manuscripts.&lt;/p&gt;</v>
      </c>
      <c r="D127" s="21" t="str">
        <f aca="false">IF(Variants!$B128="","","Karni Jewellery")</f>
        <v>Karni Jewellery</v>
      </c>
      <c r="E127" s="21" t="str">
        <f aca="false">IF(Variants!$B128="","","Apparel &amp; Accessories &gt; Jewelry")</f>
        <v>Apparel &amp; Accessories &gt; Jewelry</v>
      </c>
      <c r="F127" s="21" t="str">
        <f aca="false">IF(Variants!$D128="","",Variants!$D128)</f>
        <v>Bracelet</v>
      </c>
      <c r="G127" s="21" t="str">
        <f aca="false">IF(Variants!$E128="","",Variants!$E128&amp;", Armenian jewellery, handmade")</f>
        <v>Alphabet, Armenian jewellery, handmade</v>
      </c>
      <c r="H127" s="21" t="str">
        <f aca="false">IF(Variants!$AD128="Active","TRUE","FALSE")</f>
        <v>TRUE</v>
      </c>
      <c r="I127" s="21" t="str">
        <f aca="false">IF(Variants!$H128="","","Color")</f>
        <v>Color</v>
      </c>
      <c r="J127" s="21" t="str">
        <f aca="false">IF(Variants!$H128="","",Variants!$H128)</f>
        <v>white</v>
      </c>
      <c r="K127" s="21" t="str">
        <f aca="false">IF(Variants!$G128="","","Size")</f>
        <v/>
      </c>
      <c r="L127" s="21" t="str">
        <f aca="false">IF(Variants!$G128="","",Variants!$G128)</f>
        <v/>
      </c>
      <c r="M127" s="21" t="str">
        <f aca="false">Variants!$A128</f>
        <v>KARNI-BRAC-ALPHA-DA-WHITE</v>
      </c>
      <c r="N127" s="21" t="str">
        <f aca="false">IF(Variants!$X128="","",Variants!$X128)</f>
        <v/>
      </c>
      <c r="O127" s="21" t="n">
        <f aca="false">IF(Variants!$O128="","",Variants!$O128)</f>
        <v>0</v>
      </c>
      <c r="P127" s="18" t="n">
        <f aca="false">IF(Variants!$J128="","",Variants!$J128)</f>
        <v>49.4</v>
      </c>
      <c r="Q127" s="21" t="str">
        <f aca="false">IF(Variants!$U128="","",Variants!$U128)</f>
        <v/>
      </c>
      <c r="R127" s="21" t="str">
        <f aca="false">IF(Variants!$Y128="","",Variants!$Y128)</f>
        <v/>
      </c>
      <c r="S127" s="21" t="n">
        <f aca="false">IFERROR(VLOOKUP(Variants!$B128,Designs!$A$3:$AP$165,37,FALSE()),"")</f>
        <v>0</v>
      </c>
      <c r="T127" s="21" t="str">
        <f aca="false">IFERROR(VLOOKUP(Variants!$B128,Designs!$A$3:$AP$165,38,FALSE()),"")</f>
        <v>No</v>
      </c>
      <c r="U127" s="21" t="str">
        <f aca="false">IF(Variants!$AD128="Active","active","draft")</f>
        <v>active</v>
      </c>
    </row>
    <row r="128" customFormat="false" ht="15.75" hidden="false" customHeight="true" outlineLevel="0" collapsed="false">
      <c r="A128" s="21" t="str">
        <f aca="false">IF(Variants!$B129="","",LOWER(Variants!$B129))</f>
        <v>dsgn-brac-alpha-yech</v>
      </c>
      <c r="B128" s="21" t="str">
        <f aca="false">IF(Variants!$B129="","",Variants!$C129&amp;IF(Variants!$F129="",""," "&amp;Variants!$F129))</f>
        <v>Bird Letter Bracelet Ե</v>
      </c>
      <c r="C128" s="21" t="str">
        <f aca="false">IFERROR(IF(Variants!$B129="","","&lt;p&gt;"&amp;VLOOKUP(Variants!$B129,Designs!$A$3:$AP$165,9,FALSE())&amp;"&lt;/p&gt;"),"")</f>
        <v>&lt;p&gt;Bird letters are an ornamental medieval Armenian script where each letter is formed from stylised birds, used in illuminated manuscripts.&lt;/p&gt;</v>
      </c>
      <c r="D128" s="21" t="str">
        <f aca="false">IF(Variants!$B129="","","Karni Jewellery")</f>
        <v>Karni Jewellery</v>
      </c>
      <c r="E128" s="21" t="str">
        <f aca="false">IF(Variants!$B129="","","Apparel &amp; Accessories &gt; Jewelry")</f>
        <v>Apparel &amp; Accessories &gt; Jewelry</v>
      </c>
      <c r="F128" s="21" t="str">
        <f aca="false">IF(Variants!$D129="","",Variants!$D129)</f>
        <v>Bracelet</v>
      </c>
      <c r="G128" s="21" t="str">
        <f aca="false">IF(Variants!$E129="","",Variants!$E129&amp;", Armenian jewellery, handmade")</f>
        <v>Alphabet, Armenian jewellery, handmade</v>
      </c>
      <c r="H128" s="21" t="str">
        <f aca="false">IF(Variants!$AD129="Active","TRUE","FALSE")</f>
        <v>TRUE</v>
      </c>
      <c r="I128" s="21" t="str">
        <f aca="false">IF(Variants!$H129="","","Color")</f>
        <v>Color</v>
      </c>
      <c r="J128" s="21" t="str">
        <f aca="false">IF(Variants!$H129="","",Variants!$H129)</f>
        <v>red</v>
      </c>
      <c r="K128" s="21" t="str">
        <f aca="false">IF(Variants!$G129="","","Size")</f>
        <v/>
      </c>
      <c r="L128" s="21" t="str">
        <f aca="false">IF(Variants!$G129="","",Variants!$G129)</f>
        <v/>
      </c>
      <c r="M128" s="21" t="str">
        <f aca="false">Variants!$A129</f>
        <v>KARNI-BRAC-ALPHA-YECH-RED</v>
      </c>
      <c r="N128" s="21" t="str">
        <f aca="false">IF(Variants!$X129="","",Variants!$X129)</f>
        <v/>
      </c>
      <c r="O128" s="21" t="n">
        <f aca="false">IF(Variants!$O129="","",Variants!$O129)</f>
        <v>0</v>
      </c>
      <c r="P128" s="18" t="n">
        <f aca="false">IF(Variants!$J129="","",Variants!$J129)</f>
        <v>49.4</v>
      </c>
      <c r="Q128" s="21" t="str">
        <f aca="false">IF(Variants!$U129="","",Variants!$U129)</f>
        <v/>
      </c>
      <c r="R128" s="21" t="str">
        <f aca="false">IF(Variants!$Y129="","",Variants!$Y129)</f>
        <v/>
      </c>
      <c r="S128" s="21" t="n">
        <f aca="false">IFERROR(VLOOKUP(Variants!$B129,Designs!$A$3:$AP$165,37,FALSE()),"")</f>
        <v>0</v>
      </c>
      <c r="T128" s="21" t="str">
        <f aca="false">IFERROR(VLOOKUP(Variants!$B129,Designs!$A$3:$AP$165,38,FALSE()),"")</f>
        <v>No</v>
      </c>
      <c r="U128" s="21" t="str">
        <f aca="false">IF(Variants!$AD129="Active","active","draft")</f>
        <v>active</v>
      </c>
    </row>
    <row r="129" customFormat="false" ht="15.75" hidden="false" customHeight="true" outlineLevel="0" collapsed="false">
      <c r="A129" s="21" t="str">
        <f aca="false">IF(Variants!$B130="","",LOWER(Variants!$B130))</f>
        <v>dsgn-brac-alpha-yech</v>
      </c>
      <c r="B129" s="21" t="str">
        <f aca="false">IF(Variants!$B130="","",Variants!$C130&amp;IF(Variants!$F130="",""," "&amp;Variants!$F130))</f>
        <v>Bird Letter Bracelet Ե</v>
      </c>
      <c r="C129" s="21" t="str">
        <f aca="false">IFERROR(IF(Variants!$B130="","","&lt;p&gt;"&amp;VLOOKUP(Variants!$B130,Designs!$A$3:$AP$165,9,FALSE())&amp;"&lt;/p&gt;"),"")</f>
        <v>&lt;p&gt;Bird letters are an ornamental medieval Armenian script where each letter is formed from stylised birds, used in illuminated manuscripts.&lt;/p&gt;</v>
      </c>
      <c r="D129" s="21" t="str">
        <f aca="false">IF(Variants!$B130="","","Karni Jewellery")</f>
        <v>Karni Jewellery</v>
      </c>
      <c r="E129" s="21" t="str">
        <f aca="false">IF(Variants!$B130="","","Apparel &amp; Accessories &gt; Jewelry")</f>
        <v>Apparel &amp; Accessories &gt; Jewelry</v>
      </c>
      <c r="F129" s="21" t="str">
        <f aca="false">IF(Variants!$D130="","",Variants!$D130)</f>
        <v>Bracelet</v>
      </c>
      <c r="G129" s="21" t="str">
        <f aca="false">IF(Variants!$E130="","",Variants!$E130&amp;", Armenian jewellery, handmade")</f>
        <v>Alphabet, Armenian jewellery, handmade</v>
      </c>
      <c r="H129" s="21" t="str">
        <f aca="false">IF(Variants!$AD130="Active","TRUE","FALSE")</f>
        <v>TRUE</v>
      </c>
      <c r="I129" s="21" t="str">
        <f aca="false">IF(Variants!$H130="","","Color")</f>
        <v>Color</v>
      </c>
      <c r="J129" s="21" t="str">
        <f aca="false">IF(Variants!$H130="","",Variants!$H130)</f>
        <v>turquoise</v>
      </c>
      <c r="K129" s="21" t="str">
        <f aca="false">IF(Variants!$G130="","","Size")</f>
        <v/>
      </c>
      <c r="L129" s="21" t="str">
        <f aca="false">IF(Variants!$G130="","",Variants!$G130)</f>
        <v/>
      </c>
      <c r="M129" s="21" t="str">
        <f aca="false">Variants!$A130</f>
        <v>KARNI-BRAC-ALPHA-YECH-TURQUOISE</v>
      </c>
      <c r="N129" s="21" t="str">
        <f aca="false">IF(Variants!$X130="","",Variants!$X130)</f>
        <v/>
      </c>
      <c r="O129" s="21" t="n">
        <f aca="false">IF(Variants!$O130="","",Variants!$O130)</f>
        <v>0</v>
      </c>
      <c r="P129" s="18" t="n">
        <f aca="false">IF(Variants!$J130="","",Variants!$J130)</f>
        <v>49.4</v>
      </c>
      <c r="Q129" s="21" t="str">
        <f aca="false">IF(Variants!$U130="","",Variants!$U130)</f>
        <v/>
      </c>
      <c r="R129" s="21" t="str">
        <f aca="false">IF(Variants!$Y130="","",Variants!$Y130)</f>
        <v/>
      </c>
      <c r="S129" s="21" t="n">
        <f aca="false">IFERROR(VLOOKUP(Variants!$B130,Designs!$A$3:$AP$165,37,FALSE()),"")</f>
        <v>0</v>
      </c>
      <c r="T129" s="21" t="str">
        <f aca="false">IFERROR(VLOOKUP(Variants!$B130,Designs!$A$3:$AP$165,38,FALSE()),"")</f>
        <v>No</v>
      </c>
      <c r="U129" s="21" t="str">
        <f aca="false">IF(Variants!$AD130="Active","active","draft")</f>
        <v>active</v>
      </c>
    </row>
    <row r="130" customFormat="false" ht="15.75" hidden="false" customHeight="true" outlineLevel="0" collapsed="false">
      <c r="A130" s="21" t="str">
        <f aca="false">IF(Variants!$B131="","",LOWER(Variants!$B131))</f>
        <v>dsgn-brac-alpha-yech</v>
      </c>
      <c r="B130" s="21" t="str">
        <f aca="false">IF(Variants!$B131="","",Variants!$C131&amp;IF(Variants!$F131="",""," "&amp;Variants!$F131))</f>
        <v>Bird Letter Bracelet Ե</v>
      </c>
      <c r="C130" s="21" t="str">
        <f aca="false">IFERROR(IF(Variants!$B131="","","&lt;p&gt;"&amp;VLOOKUP(Variants!$B131,Designs!$A$3:$AP$165,9,FALSE())&amp;"&lt;/p&gt;"),"")</f>
        <v>&lt;p&gt;Bird letters are an ornamental medieval Armenian script where each letter is formed from stylised birds, used in illuminated manuscripts.&lt;/p&gt;</v>
      </c>
      <c r="D130" s="21" t="str">
        <f aca="false">IF(Variants!$B131="","","Karni Jewellery")</f>
        <v>Karni Jewellery</v>
      </c>
      <c r="E130" s="21" t="str">
        <f aca="false">IF(Variants!$B131="","","Apparel &amp; Accessories &gt; Jewelry")</f>
        <v>Apparel &amp; Accessories &gt; Jewelry</v>
      </c>
      <c r="F130" s="21" t="str">
        <f aca="false">IF(Variants!$D131="","",Variants!$D131)</f>
        <v>Bracelet</v>
      </c>
      <c r="G130" s="21" t="str">
        <f aca="false">IF(Variants!$E131="","",Variants!$E131&amp;", Armenian jewellery, handmade")</f>
        <v>Alphabet, Armenian jewellery, handmade</v>
      </c>
      <c r="H130" s="21" t="str">
        <f aca="false">IF(Variants!$AD131="Active","TRUE","FALSE")</f>
        <v>TRUE</v>
      </c>
      <c r="I130" s="21" t="str">
        <f aca="false">IF(Variants!$H131="","","Color")</f>
        <v>Color</v>
      </c>
      <c r="J130" s="21" t="str">
        <f aca="false">IF(Variants!$H131="","",Variants!$H131)</f>
        <v>white</v>
      </c>
      <c r="K130" s="21" t="str">
        <f aca="false">IF(Variants!$G131="","","Size")</f>
        <v/>
      </c>
      <c r="L130" s="21" t="str">
        <f aca="false">IF(Variants!$G131="","",Variants!$G131)</f>
        <v/>
      </c>
      <c r="M130" s="21" t="str">
        <f aca="false">Variants!$A131</f>
        <v>KARNI-BRAC-ALPHA-YECH-WHITE</v>
      </c>
      <c r="N130" s="21" t="str">
        <f aca="false">IF(Variants!$X131="","",Variants!$X131)</f>
        <v/>
      </c>
      <c r="O130" s="21" t="n">
        <f aca="false">IF(Variants!$O131="","",Variants!$O131)</f>
        <v>0</v>
      </c>
      <c r="P130" s="18" t="n">
        <f aca="false">IF(Variants!$J131="","",Variants!$J131)</f>
        <v>49.4</v>
      </c>
      <c r="Q130" s="21" t="str">
        <f aca="false">IF(Variants!$U131="","",Variants!$U131)</f>
        <v/>
      </c>
      <c r="R130" s="21" t="str">
        <f aca="false">IF(Variants!$Y131="","",Variants!$Y131)</f>
        <v/>
      </c>
      <c r="S130" s="21" t="n">
        <f aca="false">IFERROR(VLOOKUP(Variants!$B131,Designs!$A$3:$AP$165,37,FALSE()),"")</f>
        <v>0</v>
      </c>
      <c r="T130" s="21" t="str">
        <f aca="false">IFERROR(VLOOKUP(Variants!$B131,Designs!$A$3:$AP$165,38,FALSE()),"")</f>
        <v>No</v>
      </c>
      <c r="U130" s="21" t="str">
        <f aca="false">IF(Variants!$AD131="Active","active","draft")</f>
        <v>active</v>
      </c>
    </row>
    <row r="131" customFormat="false" ht="15.75" hidden="false" customHeight="true" outlineLevel="0" collapsed="false">
      <c r="A131" s="21" t="str">
        <f aca="false">IF(Variants!$B132="","",LOWER(Variants!$B132))</f>
        <v>dsgn-brac-alpha-za</v>
      </c>
      <c r="B131" s="21" t="str">
        <f aca="false">IF(Variants!$B132="","",Variants!$C132&amp;IF(Variants!$F132="",""," "&amp;Variants!$F132))</f>
        <v>Bird Letter Bracelet Զ</v>
      </c>
      <c r="C131" s="21" t="str">
        <f aca="false">IFERROR(IF(Variants!$B132="","","&lt;p&gt;"&amp;VLOOKUP(Variants!$B132,Designs!$A$3:$AP$165,9,FALSE())&amp;"&lt;/p&gt;"),"")</f>
        <v>&lt;p&gt;Bird letters are an ornamental medieval Armenian script where each letter is formed from stylised birds, used in illuminated manuscripts.&lt;/p&gt;</v>
      </c>
      <c r="D131" s="21" t="str">
        <f aca="false">IF(Variants!$B132="","","Karni Jewellery")</f>
        <v>Karni Jewellery</v>
      </c>
      <c r="E131" s="21" t="str">
        <f aca="false">IF(Variants!$B132="","","Apparel &amp; Accessories &gt; Jewelry")</f>
        <v>Apparel &amp; Accessories &gt; Jewelry</v>
      </c>
      <c r="F131" s="21" t="str">
        <f aca="false">IF(Variants!$D132="","",Variants!$D132)</f>
        <v>Bracelet</v>
      </c>
      <c r="G131" s="21" t="str">
        <f aca="false">IF(Variants!$E132="","",Variants!$E132&amp;", Armenian jewellery, handmade")</f>
        <v>Alphabet, Armenian jewellery, handmade</v>
      </c>
      <c r="H131" s="21" t="str">
        <f aca="false">IF(Variants!$AD132="Active","TRUE","FALSE")</f>
        <v>TRUE</v>
      </c>
      <c r="I131" s="21" t="str">
        <f aca="false">IF(Variants!$H132="","","Color")</f>
        <v>Color</v>
      </c>
      <c r="J131" s="21" t="str">
        <f aca="false">IF(Variants!$H132="","",Variants!$H132)</f>
        <v>red</v>
      </c>
      <c r="K131" s="21" t="str">
        <f aca="false">IF(Variants!$G132="","","Size")</f>
        <v/>
      </c>
      <c r="L131" s="21" t="str">
        <f aca="false">IF(Variants!$G132="","",Variants!$G132)</f>
        <v/>
      </c>
      <c r="M131" s="21" t="str">
        <f aca="false">Variants!$A132</f>
        <v>KARNI-BRAC-ALPHA-ZA-RED</v>
      </c>
      <c r="N131" s="21" t="str">
        <f aca="false">IF(Variants!$X132="","",Variants!$X132)</f>
        <v/>
      </c>
      <c r="O131" s="21" t="n">
        <f aca="false">IF(Variants!$O132="","",Variants!$O132)</f>
        <v>0</v>
      </c>
      <c r="P131" s="18" t="n">
        <f aca="false">IF(Variants!$J132="","",Variants!$J132)</f>
        <v>49.4</v>
      </c>
      <c r="Q131" s="21" t="str">
        <f aca="false">IF(Variants!$U132="","",Variants!$U132)</f>
        <v/>
      </c>
      <c r="R131" s="21" t="str">
        <f aca="false">IF(Variants!$Y132="","",Variants!$Y132)</f>
        <v/>
      </c>
      <c r="S131" s="21" t="n">
        <f aca="false">IFERROR(VLOOKUP(Variants!$B132,Designs!$A$3:$AP$165,37,FALSE()),"")</f>
        <v>0</v>
      </c>
      <c r="T131" s="21" t="str">
        <f aca="false">IFERROR(VLOOKUP(Variants!$B132,Designs!$A$3:$AP$165,38,FALSE()),"")</f>
        <v>No</v>
      </c>
      <c r="U131" s="21" t="str">
        <f aca="false">IF(Variants!$AD132="Active","active","draft")</f>
        <v>active</v>
      </c>
    </row>
    <row r="132" customFormat="false" ht="15.75" hidden="false" customHeight="true" outlineLevel="0" collapsed="false">
      <c r="A132" s="21" t="str">
        <f aca="false">IF(Variants!$B133="","",LOWER(Variants!$B133))</f>
        <v>dsgn-brac-alpha-za</v>
      </c>
      <c r="B132" s="21" t="str">
        <f aca="false">IF(Variants!$B133="","",Variants!$C133&amp;IF(Variants!$F133="",""," "&amp;Variants!$F133))</f>
        <v>Bird Letter Bracelet Զ</v>
      </c>
      <c r="C132" s="21" t="str">
        <f aca="false">IFERROR(IF(Variants!$B133="","","&lt;p&gt;"&amp;VLOOKUP(Variants!$B133,Designs!$A$3:$AP$165,9,FALSE())&amp;"&lt;/p&gt;"),"")</f>
        <v>&lt;p&gt;Bird letters are an ornamental medieval Armenian script where each letter is formed from stylised birds, used in illuminated manuscripts.&lt;/p&gt;</v>
      </c>
      <c r="D132" s="21" t="str">
        <f aca="false">IF(Variants!$B133="","","Karni Jewellery")</f>
        <v>Karni Jewellery</v>
      </c>
      <c r="E132" s="21" t="str">
        <f aca="false">IF(Variants!$B133="","","Apparel &amp; Accessories &gt; Jewelry")</f>
        <v>Apparel &amp; Accessories &gt; Jewelry</v>
      </c>
      <c r="F132" s="21" t="str">
        <f aca="false">IF(Variants!$D133="","",Variants!$D133)</f>
        <v>Bracelet</v>
      </c>
      <c r="G132" s="21" t="str">
        <f aca="false">IF(Variants!$E133="","",Variants!$E133&amp;", Armenian jewellery, handmade")</f>
        <v>Alphabet, Armenian jewellery, handmade</v>
      </c>
      <c r="H132" s="21" t="str">
        <f aca="false">IF(Variants!$AD133="Active","TRUE","FALSE")</f>
        <v>TRUE</v>
      </c>
      <c r="I132" s="21" t="str">
        <f aca="false">IF(Variants!$H133="","","Color")</f>
        <v>Color</v>
      </c>
      <c r="J132" s="21" t="str">
        <f aca="false">IF(Variants!$H133="","",Variants!$H133)</f>
        <v>turquoise</v>
      </c>
      <c r="K132" s="21" t="str">
        <f aca="false">IF(Variants!$G133="","","Size")</f>
        <v/>
      </c>
      <c r="L132" s="21" t="str">
        <f aca="false">IF(Variants!$G133="","",Variants!$G133)</f>
        <v/>
      </c>
      <c r="M132" s="21" t="str">
        <f aca="false">Variants!$A133</f>
        <v>KARNI-BRAC-ALPHA-ZA-TURQUOISE</v>
      </c>
      <c r="N132" s="21" t="str">
        <f aca="false">IF(Variants!$X133="","",Variants!$X133)</f>
        <v/>
      </c>
      <c r="O132" s="21" t="n">
        <f aca="false">IF(Variants!$O133="","",Variants!$O133)</f>
        <v>0</v>
      </c>
      <c r="P132" s="18" t="n">
        <f aca="false">IF(Variants!$J133="","",Variants!$J133)</f>
        <v>49.4</v>
      </c>
      <c r="Q132" s="21" t="str">
        <f aca="false">IF(Variants!$U133="","",Variants!$U133)</f>
        <v/>
      </c>
      <c r="R132" s="21" t="str">
        <f aca="false">IF(Variants!$Y133="","",Variants!$Y133)</f>
        <v/>
      </c>
      <c r="S132" s="21" t="n">
        <f aca="false">IFERROR(VLOOKUP(Variants!$B133,Designs!$A$3:$AP$165,37,FALSE()),"")</f>
        <v>0</v>
      </c>
      <c r="T132" s="21" t="str">
        <f aca="false">IFERROR(VLOOKUP(Variants!$B133,Designs!$A$3:$AP$165,38,FALSE()),"")</f>
        <v>No</v>
      </c>
      <c r="U132" s="21" t="str">
        <f aca="false">IF(Variants!$AD133="Active","active","draft")</f>
        <v>active</v>
      </c>
    </row>
    <row r="133" customFormat="false" ht="15.75" hidden="false" customHeight="true" outlineLevel="0" collapsed="false">
      <c r="A133" s="21" t="str">
        <f aca="false">IF(Variants!$B134="","",LOWER(Variants!$B134))</f>
        <v>dsgn-brac-alpha-za</v>
      </c>
      <c r="B133" s="21" t="str">
        <f aca="false">IF(Variants!$B134="","",Variants!$C134&amp;IF(Variants!$F134="",""," "&amp;Variants!$F134))</f>
        <v>Bird Letter Bracelet Զ</v>
      </c>
      <c r="C133" s="21" t="str">
        <f aca="false">IFERROR(IF(Variants!$B134="","","&lt;p&gt;"&amp;VLOOKUP(Variants!$B134,Designs!$A$3:$AP$165,9,FALSE())&amp;"&lt;/p&gt;"),"")</f>
        <v>&lt;p&gt;Bird letters are an ornamental medieval Armenian script where each letter is formed from stylised birds, used in illuminated manuscripts.&lt;/p&gt;</v>
      </c>
      <c r="D133" s="21" t="str">
        <f aca="false">IF(Variants!$B134="","","Karni Jewellery")</f>
        <v>Karni Jewellery</v>
      </c>
      <c r="E133" s="21" t="str">
        <f aca="false">IF(Variants!$B134="","","Apparel &amp; Accessories &gt; Jewelry")</f>
        <v>Apparel &amp; Accessories &gt; Jewelry</v>
      </c>
      <c r="F133" s="21" t="str">
        <f aca="false">IF(Variants!$D134="","",Variants!$D134)</f>
        <v>Bracelet</v>
      </c>
      <c r="G133" s="21" t="str">
        <f aca="false">IF(Variants!$E134="","",Variants!$E134&amp;", Armenian jewellery, handmade")</f>
        <v>Alphabet, Armenian jewellery, handmade</v>
      </c>
      <c r="H133" s="21" t="str">
        <f aca="false">IF(Variants!$AD134="Active","TRUE","FALSE")</f>
        <v>TRUE</v>
      </c>
      <c r="I133" s="21" t="str">
        <f aca="false">IF(Variants!$H134="","","Color")</f>
        <v>Color</v>
      </c>
      <c r="J133" s="21" t="str">
        <f aca="false">IF(Variants!$H134="","",Variants!$H134)</f>
        <v>white</v>
      </c>
      <c r="K133" s="21" t="str">
        <f aca="false">IF(Variants!$G134="","","Size")</f>
        <v/>
      </c>
      <c r="L133" s="21" t="str">
        <f aca="false">IF(Variants!$G134="","",Variants!$G134)</f>
        <v/>
      </c>
      <c r="M133" s="21" t="str">
        <f aca="false">Variants!$A134</f>
        <v>KARNI-BRAC-ALPHA-ZA-WHITE</v>
      </c>
      <c r="N133" s="21" t="str">
        <f aca="false">IF(Variants!$X134="","",Variants!$X134)</f>
        <v/>
      </c>
      <c r="O133" s="21" t="n">
        <f aca="false">IF(Variants!$O134="","",Variants!$O134)</f>
        <v>0</v>
      </c>
      <c r="P133" s="18" t="n">
        <f aca="false">IF(Variants!$J134="","",Variants!$J134)</f>
        <v>49.4</v>
      </c>
      <c r="Q133" s="21" t="str">
        <f aca="false">IF(Variants!$U134="","",Variants!$U134)</f>
        <v/>
      </c>
      <c r="R133" s="21" t="str">
        <f aca="false">IF(Variants!$Y134="","",Variants!$Y134)</f>
        <v/>
      </c>
      <c r="S133" s="21" t="n">
        <f aca="false">IFERROR(VLOOKUP(Variants!$B134,Designs!$A$3:$AP$165,37,FALSE()),"")</f>
        <v>0</v>
      </c>
      <c r="T133" s="21" t="str">
        <f aca="false">IFERROR(VLOOKUP(Variants!$B134,Designs!$A$3:$AP$165,38,FALSE()),"")</f>
        <v>No</v>
      </c>
      <c r="U133" s="21" t="str">
        <f aca="false">IF(Variants!$AD134="Active","active","draft")</f>
        <v>active</v>
      </c>
    </row>
    <row r="134" customFormat="false" ht="15.75" hidden="false" customHeight="true" outlineLevel="0" collapsed="false">
      <c r="A134" s="21" t="str">
        <f aca="false">IF(Variants!$B135="","",LOWER(Variants!$B135))</f>
        <v>dsgn-brac-alpha-e</v>
      </c>
      <c r="B134" s="21" t="str">
        <f aca="false">IF(Variants!$B135="","",Variants!$C135&amp;IF(Variants!$F135="",""," "&amp;Variants!$F135))</f>
        <v>Bird Letter Bracelet Է</v>
      </c>
      <c r="C134" s="21" t="str">
        <f aca="false">IFERROR(IF(Variants!$B135="","","&lt;p&gt;"&amp;VLOOKUP(Variants!$B135,Designs!$A$3:$AP$165,9,FALSE())&amp;"&lt;/p&gt;"),"")</f>
        <v>&lt;p&gt;Bird letters are an ornamental medieval Armenian script where each letter is formed from stylised birds, used in illuminated manuscripts.&lt;/p&gt;</v>
      </c>
      <c r="D134" s="21" t="str">
        <f aca="false">IF(Variants!$B135="","","Karni Jewellery")</f>
        <v>Karni Jewellery</v>
      </c>
      <c r="E134" s="21" t="str">
        <f aca="false">IF(Variants!$B135="","","Apparel &amp; Accessories &gt; Jewelry")</f>
        <v>Apparel &amp; Accessories &gt; Jewelry</v>
      </c>
      <c r="F134" s="21" t="str">
        <f aca="false">IF(Variants!$D135="","",Variants!$D135)</f>
        <v>Bracelet</v>
      </c>
      <c r="G134" s="21" t="str">
        <f aca="false">IF(Variants!$E135="","",Variants!$E135&amp;", Armenian jewellery, handmade")</f>
        <v>Alphabet, Armenian jewellery, handmade</v>
      </c>
      <c r="H134" s="21" t="str">
        <f aca="false">IF(Variants!$AD135="Active","TRUE","FALSE")</f>
        <v>TRUE</v>
      </c>
      <c r="I134" s="21" t="str">
        <f aca="false">IF(Variants!$H135="","","Color")</f>
        <v>Color</v>
      </c>
      <c r="J134" s="21" t="str">
        <f aca="false">IF(Variants!$H135="","",Variants!$H135)</f>
        <v>red</v>
      </c>
      <c r="K134" s="21" t="str">
        <f aca="false">IF(Variants!$G135="","","Size")</f>
        <v/>
      </c>
      <c r="L134" s="21" t="str">
        <f aca="false">IF(Variants!$G135="","",Variants!$G135)</f>
        <v/>
      </c>
      <c r="M134" s="21" t="str">
        <f aca="false">Variants!$A135</f>
        <v>KARNI-BRAC-ALPHA-E-RED</v>
      </c>
      <c r="N134" s="21" t="str">
        <f aca="false">IF(Variants!$X135="","",Variants!$X135)</f>
        <v/>
      </c>
      <c r="O134" s="21" t="n">
        <f aca="false">IF(Variants!$O135="","",Variants!$O135)</f>
        <v>0</v>
      </c>
      <c r="P134" s="18" t="n">
        <f aca="false">IF(Variants!$J135="","",Variants!$J135)</f>
        <v>49.4</v>
      </c>
      <c r="Q134" s="21" t="str">
        <f aca="false">IF(Variants!$U135="","",Variants!$U135)</f>
        <v/>
      </c>
      <c r="R134" s="21" t="str">
        <f aca="false">IF(Variants!$Y135="","",Variants!$Y135)</f>
        <v/>
      </c>
      <c r="S134" s="21" t="n">
        <f aca="false">IFERROR(VLOOKUP(Variants!$B135,Designs!$A$3:$AP$165,37,FALSE()),"")</f>
        <v>0</v>
      </c>
      <c r="T134" s="21" t="str">
        <f aca="false">IFERROR(VLOOKUP(Variants!$B135,Designs!$A$3:$AP$165,38,FALSE()),"")</f>
        <v>No</v>
      </c>
      <c r="U134" s="21" t="str">
        <f aca="false">IF(Variants!$AD135="Active","active","draft")</f>
        <v>active</v>
      </c>
    </row>
    <row r="135" customFormat="false" ht="15.75" hidden="false" customHeight="true" outlineLevel="0" collapsed="false">
      <c r="A135" s="21" t="str">
        <f aca="false">IF(Variants!$B136="","",LOWER(Variants!$B136))</f>
        <v>dsgn-brac-alpha-e</v>
      </c>
      <c r="B135" s="21" t="str">
        <f aca="false">IF(Variants!$B136="","",Variants!$C136&amp;IF(Variants!$F136="",""," "&amp;Variants!$F136))</f>
        <v>Bird Letter Bracelet Է</v>
      </c>
      <c r="C135" s="21" t="str">
        <f aca="false">IFERROR(IF(Variants!$B136="","","&lt;p&gt;"&amp;VLOOKUP(Variants!$B136,Designs!$A$3:$AP$165,9,FALSE())&amp;"&lt;/p&gt;"),"")</f>
        <v>&lt;p&gt;Bird letters are an ornamental medieval Armenian script where each letter is formed from stylised birds, used in illuminated manuscripts.&lt;/p&gt;</v>
      </c>
      <c r="D135" s="21" t="str">
        <f aca="false">IF(Variants!$B136="","","Karni Jewellery")</f>
        <v>Karni Jewellery</v>
      </c>
      <c r="E135" s="21" t="str">
        <f aca="false">IF(Variants!$B136="","","Apparel &amp; Accessories &gt; Jewelry")</f>
        <v>Apparel &amp; Accessories &gt; Jewelry</v>
      </c>
      <c r="F135" s="21" t="str">
        <f aca="false">IF(Variants!$D136="","",Variants!$D136)</f>
        <v>Bracelet</v>
      </c>
      <c r="G135" s="21" t="str">
        <f aca="false">IF(Variants!$E136="","",Variants!$E136&amp;", Armenian jewellery, handmade")</f>
        <v>Alphabet, Armenian jewellery, handmade</v>
      </c>
      <c r="H135" s="21" t="str">
        <f aca="false">IF(Variants!$AD136="Active","TRUE","FALSE")</f>
        <v>TRUE</v>
      </c>
      <c r="I135" s="21" t="str">
        <f aca="false">IF(Variants!$H136="","","Color")</f>
        <v>Color</v>
      </c>
      <c r="J135" s="21" t="str">
        <f aca="false">IF(Variants!$H136="","",Variants!$H136)</f>
        <v>turquoise</v>
      </c>
      <c r="K135" s="21" t="str">
        <f aca="false">IF(Variants!$G136="","","Size")</f>
        <v/>
      </c>
      <c r="L135" s="21" t="str">
        <f aca="false">IF(Variants!$G136="","",Variants!$G136)</f>
        <v/>
      </c>
      <c r="M135" s="21" t="str">
        <f aca="false">Variants!$A136</f>
        <v>KARNI-BRAC-ALPHA-E-TURQUOISE</v>
      </c>
      <c r="N135" s="21" t="str">
        <f aca="false">IF(Variants!$X136="","",Variants!$X136)</f>
        <v/>
      </c>
      <c r="O135" s="21" t="n">
        <f aca="false">IF(Variants!$O136="","",Variants!$O136)</f>
        <v>0</v>
      </c>
      <c r="P135" s="18" t="n">
        <f aca="false">IF(Variants!$J136="","",Variants!$J136)</f>
        <v>49.4</v>
      </c>
      <c r="Q135" s="21" t="str">
        <f aca="false">IF(Variants!$U136="","",Variants!$U136)</f>
        <v/>
      </c>
      <c r="R135" s="21" t="str">
        <f aca="false">IF(Variants!$Y136="","",Variants!$Y136)</f>
        <v/>
      </c>
      <c r="S135" s="21" t="n">
        <f aca="false">IFERROR(VLOOKUP(Variants!$B136,Designs!$A$3:$AP$165,37,FALSE()),"")</f>
        <v>0</v>
      </c>
      <c r="T135" s="21" t="str">
        <f aca="false">IFERROR(VLOOKUP(Variants!$B136,Designs!$A$3:$AP$165,38,FALSE()),"")</f>
        <v>No</v>
      </c>
      <c r="U135" s="21" t="str">
        <f aca="false">IF(Variants!$AD136="Active","active","draft")</f>
        <v>active</v>
      </c>
    </row>
    <row r="136" customFormat="false" ht="15.75" hidden="false" customHeight="true" outlineLevel="0" collapsed="false">
      <c r="A136" s="21" t="str">
        <f aca="false">IF(Variants!$B137="","",LOWER(Variants!$B137))</f>
        <v>dsgn-brac-alpha-e</v>
      </c>
      <c r="B136" s="21" t="str">
        <f aca="false">IF(Variants!$B137="","",Variants!$C137&amp;IF(Variants!$F137="",""," "&amp;Variants!$F137))</f>
        <v>Bird Letter Bracelet Է</v>
      </c>
      <c r="C136" s="21" t="str">
        <f aca="false">IFERROR(IF(Variants!$B137="","","&lt;p&gt;"&amp;VLOOKUP(Variants!$B137,Designs!$A$3:$AP$165,9,FALSE())&amp;"&lt;/p&gt;"),"")</f>
        <v>&lt;p&gt;Bird letters are an ornamental medieval Armenian script where each letter is formed from stylised birds, used in illuminated manuscripts.&lt;/p&gt;</v>
      </c>
      <c r="D136" s="21" t="str">
        <f aca="false">IF(Variants!$B137="","","Karni Jewellery")</f>
        <v>Karni Jewellery</v>
      </c>
      <c r="E136" s="21" t="str">
        <f aca="false">IF(Variants!$B137="","","Apparel &amp; Accessories &gt; Jewelry")</f>
        <v>Apparel &amp; Accessories &gt; Jewelry</v>
      </c>
      <c r="F136" s="21" t="str">
        <f aca="false">IF(Variants!$D137="","",Variants!$D137)</f>
        <v>Bracelet</v>
      </c>
      <c r="G136" s="21" t="str">
        <f aca="false">IF(Variants!$E137="","",Variants!$E137&amp;", Armenian jewellery, handmade")</f>
        <v>Alphabet, Armenian jewellery, handmade</v>
      </c>
      <c r="H136" s="21" t="str">
        <f aca="false">IF(Variants!$AD137="Active","TRUE","FALSE")</f>
        <v>TRUE</v>
      </c>
      <c r="I136" s="21" t="str">
        <f aca="false">IF(Variants!$H137="","","Color")</f>
        <v>Color</v>
      </c>
      <c r="J136" s="21" t="str">
        <f aca="false">IF(Variants!$H137="","",Variants!$H137)</f>
        <v>white</v>
      </c>
      <c r="K136" s="21" t="str">
        <f aca="false">IF(Variants!$G137="","","Size")</f>
        <v/>
      </c>
      <c r="L136" s="21" t="str">
        <f aca="false">IF(Variants!$G137="","",Variants!$G137)</f>
        <v/>
      </c>
      <c r="M136" s="21" t="str">
        <f aca="false">Variants!$A137</f>
        <v>KARNI-BRAC-ALPHA-E-WHITE</v>
      </c>
      <c r="N136" s="21" t="str">
        <f aca="false">IF(Variants!$X137="","",Variants!$X137)</f>
        <v/>
      </c>
      <c r="O136" s="21" t="n">
        <f aca="false">IF(Variants!$O137="","",Variants!$O137)</f>
        <v>0</v>
      </c>
      <c r="P136" s="18" t="n">
        <f aca="false">IF(Variants!$J137="","",Variants!$J137)</f>
        <v>49.4</v>
      </c>
      <c r="Q136" s="21" t="str">
        <f aca="false">IF(Variants!$U137="","",Variants!$U137)</f>
        <v/>
      </c>
      <c r="R136" s="21" t="str">
        <f aca="false">IF(Variants!$Y137="","",Variants!$Y137)</f>
        <v/>
      </c>
      <c r="S136" s="21" t="n">
        <f aca="false">IFERROR(VLOOKUP(Variants!$B137,Designs!$A$3:$AP$165,37,FALSE()),"")</f>
        <v>0</v>
      </c>
      <c r="T136" s="21" t="str">
        <f aca="false">IFERROR(VLOOKUP(Variants!$B137,Designs!$A$3:$AP$165,38,FALSE()),"")</f>
        <v>No</v>
      </c>
      <c r="U136" s="21" t="str">
        <f aca="false">IF(Variants!$AD137="Active","active","draft")</f>
        <v>active</v>
      </c>
    </row>
    <row r="137" customFormat="false" ht="15.75" hidden="false" customHeight="true" outlineLevel="0" collapsed="false">
      <c r="A137" s="21" t="str">
        <f aca="false">IF(Variants!$B138="","",LOWER(Variants!$B138))</f>
        <v>dsgn-brac-alpha-yt</v>
      </c>
      <c r="B137" s="21" t="str">
        <f aca="false">IF(Variants!$B138="","",Variants!$C138&amp;IF(Variants!$F138="",""," "&amp;Variants!$F138))</f>
        <v>Bird Letter Bracelet Ը</v>
      </c>
      <c r="C137" s="21" t="str">
        <f aca="false">IFERROR(IF(Variants!$B138="","","&lt;p&gt;"&amp;VLOOKUP(Variants!$B138,Designs!$A$3:$AP$165,9,FALSE())&amp;"&lt;/p&gt;"),"")</f>
        <v>&lt;p&gt;Bird letters are an ornamental medieval Armenian script where each letter is formed from stylised birds, used in illuminated manuscripts.&lt;/p&gt;</v>
      </c>
      <c r="D137" s="21" t="str">
        <f aca="false">IF(Variants!$B138="","","Karni Jewellery")</f>
        <v>Karni Jewellery</v>
      </c>
      <c r="E137" s="21" t="str">
        <f aca="false">IF(Variants!$B138="","","Apparel &amp; Accessories &gt; Jewelry")</f>
        <v>Apparel &amp; Accessories &gt; Jewelry</v>
      </c>
      <c r="F137" s="21" t="str">
        <f aca="false">IF(Variants!$D138="","",Variants!$D138)</f>
        <v>Bracelet</v>
      </c>
      <c r="G137" s="21" t="str">
        <f aca="false">IF(Variants!$E138="","",Variants!$E138&amp;", Armenian jewellery, handmade")</f>
        <v>Alphabet, Armenian jewellery, handmade</v>
      </c>
      <c r="H137" s="21" t="str">
        <f aca="false">IF(Variants!$AD138="Active","TRUE","FALSE")</f>
        <v>TRUE</v>
      </c>
      <c r="I137" s="21" t="str">
        <f aca="false">IF(Variants!$H138="","","Color")</f>
        <v>Color</v>
      </c>
      <c r="J137" s="21" t="str">
        <f aca="false">IF(Variants!$H138="","",Variants!$H138)</f>
        <v>red</v>
      </c>
      <c r="K137" s="21" t="str">
        <f aca="false">IF(Variants!$G138="","","Size")</f>
        <v/>
      </c>
      <c r="L137" s="21" t="str">
        <f aca="false">IF(Variants!$G138="","",Variants!$G138)</f>
        <v/>
      </c>
      <c r="M137" s="21" t="str">
        <f aca="false">Variants!$A138</f>
        <v>KARNI-BRAC-ALPHA-YT-RED</v>
      </c>
      <c r="N137" s="21" t="str">
        <f aca="false">IF(Variants!$X138="","",Variants!$X138)</f>
        <v/>
      </c>
      <c r="O137" s="21" t="n">
        <f aca="false">IF(Variants!$O138="","",Variants!$O138)</f>
        <v>0</v>
      </c>
      <c r="P137" s="18" t="n">
        <f aca="false">IF(Variants!$J138="","",Variants!$J138)</f>
        <v>49.4</v>
      </c>
      <c r="Q137" s="21" t="str">
        <f aca="false">IF(Variants!$U138="","",Variants!$U138)</f>
        <v/>
      </c>
      <c r="R137" s="21" t="str">
        <f aca="false">IF(Variants!$Y138="","",Variants!$Y138)</f>
        <v/>
      </c>
      <c r="S137" s="21" t="n">
        <f aca="false">IFERROR(VLOOKUP(Variants!$B138,Designs!$A$3:$AP$165,37,FALSE()),"")</f>
        <v>0</v>
      </c>
      <c r="T137" s="21" t="str">
        <f aca="false">IFERROR(VLOOKUP(Variants!$B138,Designs!$A$3:$AP$165,38,FALSE()),"")</f>
        <v>No</v>
      </c>
      <c r="U137" s="21" t="str">
        <f aca="false">IF(Variants!$AD138="Active","active","draft")</f>
        <v>active</v>
      </c>
    </row>
    <row r="138" customFormat="false" ht="15.75" hidden="false" customHeight="true" outlineLevel="0" collapsed="false">
      <c r="A138" s="21" t="str">
        <f aca="false">IF(Variants!$B139="","",LOWER(Variants!$B139))</f>
        <v>dsgn-brac-alpha-yt</v>
      </c>
      <c r="B138" s="21" t="str">
        <f aca="false">IF(Variants!$B139="","",Variants!$C139&amp;IF(Variants!$F139="",""," "&amp;Variants!$F139))</f>
        <v>Bird Letter Bracelet Ը</v>
      </c>
      <c r="C138" s="21" t="str">
        <f aca="false">IFERROR(IF(Variants!$B139="","","&lt;p&gt;"&amp;VLOOKUP(Variants!$B139,Designs!$A$3:$AP$165,9,FALSE())&amp;"&lt;/p&gt;"),"")</f>
        <v>&lt;p&gt;Bird letters are an ornamental medieval Armenian script where each letter is formed from stylised birds, used in illuminated manuscripts.&lt;/p&gt;</v>
      </c>
      <c r="D138" s="21" t="str">
        <f aca="false">IF(Variants!$B139="","","Karni Jewellery")</f>
        <v>Karni Jewellery</v>
      </c>
      <c r="E138" s="21" t="str">
        <f aca="false">IF(Variants!$B139="","","Apparel &amp; Accessories &gt; Jewelry")</f>
        <v>Apparel &amp; Accessories &gt; Jewelry</v>
      </c>
      <c r="F138" s="21" t="str">
        <f aca="false">IF(Variants!$D139="","",Variants!$D139)</f>
        <v>Bracelet</v>
      </c>
      <c r="G138" s="21" t="str">
        <f aca="false">IF(Variants!$E139="","",Variants!$E139&amp;", Armenian jewellery, handmade")</f>
        <v>Alphabet, Armenian jewellery, handmade</v>
      </c>
      <c r="H138" s="21" t="str">
        <f aca="false">IF(Variants!$AD139="Active","TRUE","FALSE")</f>
        <v>TRUE</v>
      </c>
      <c r="I138" s="21" t="str">
        <f aca="false">IF(Variants!$H139="","","Color")</f>
        <v>Color</v>
      </c>
      <c r="J138" s="21" t="str">
        <f aca="false">IF(Variants!$H139="","",Variants!$H139)</f>
        <v>turquoise</v>
      </c>
      <c r="K138" s="21" t="str">
        <f aca="false">IF(Variants!$G139="","","Size")</f>
        <v/>
      </c>
      <c r="L138" s="21" t="str">
        <f aca="false">IF(Variants!$G139="","",Variants!$G139)</f>
        <v/>
      </c>
      <c r="M138" s="21" t="str">
        <f aca="false">Variants!$A139</f>
        <v>KARNI-BRAC-ALPHA-YT-TURQUOISE</v>
      </c>
      <c r="N138" s="21" t="str">
        <f aca="false">IF(Variants!$X139="","",Variants!$X139)</f>
        <v/>
      </c>
      <c r="O138" s="21" t="n">
        <f aca="false">IF(Variants!$O139="","",Variants!$O139)</f>
        <v>0</v>
      </c>
      <c r="P138" s="18" t="n">
        <f aca="false">IF(Variants!$J139="","",Variants!$J139)</f>
        <v>49.4</v>
      </c>
      <c r="Q138" s="21" t="str">
        <f aca="false">IF(Variants!$U139="","",Variants!$U139)</f>
        <v/>
      </c>
      <c r="R138" s="21" t="str">
        <f aca="false">IF(Variants!$Y139="","",Variants!$Y139)</f>
        <v/>
      </c>
      <c r="S138" s="21" t="n">
        <f aca="false">IFERROR(VLOOKUP(Variants!$B139,Designs!$A$3:$AP$165,37,FALSE()),"")</f>
        <v>0</v>
      </c>
      <c r="T138" s="21" t="str">
        <f aca="false">IFERROR(VLOOKUP(Variants!$B139,Designs!$A$3:$AP$165,38,FALSE()),"")</f>
        <v>No</v>
      </c>
      <c r="U138" s="21" t="str">
        <f aca="false">IF(Variants!$AD139="Active","active","draft")</f>
        <v>active</v>
      </c>
    </row>
    <row r="139" customFormat="false" ht="15.75" hidden="false" customHeight="true" outlineLevel="0" collapsed="false">
      <c r="A139" s="21" t="str">
        <f aca="false">IF(Variants!$B140="","",LOWER(Variants!$B140))</f>
        <v>dsgn-brac-alpha-yt</v>
      </c>
      <c r="B139" s="21" t="str">
        <f aca="false">IF(Variants!$B140="","",Variants!$C140&amp;IF(Variants!$F140="",""," "&amp;Variants!$F140))</f>
        <v>Bird Letter Bracelet Ը</v>
      </c>
      <c r="C139" s="21" t="str">
        <f aca="false">IFERROR(IF(Variants!$B140="","","&lt;p&gt;"&amp;VLOOKUP(Variants!$B140,Designs!$A$3:$AP$165,9,FALSE())&amp;"&lt;/p&gt;"),"")</f>
        <v>&lt;p&gt;Bird letters are an ornamental medieval Armenian script where each letter is formed from stylised birds, used in illuminated manuscripts.&lt;/p&gt;</v>
      </c>
      <c r="D139" s="21" t="str">
        <f aca="false">IF(Variants!$B140="","","Karni Jewellery")</f>
        <v>Karni Jewellery</v>
      </c>
      <c r="E139" s="21" t="str">
        <f aca="false">IF(Variants!$B140="","","Apparel &amp; Accessories &gt; Jewelry")</f>
        <v>Apparel &amp; Accessories &gt; Jewelry</v>
      </c>
      <c r="F139" s="21" t="str">
        <f aca="false">IF(Variants!$D140="","",Variants!$D140)</f>
        <v>Bracelet</v>
      </c>
      <c r="G139" s="21" t="str">
        <f aca="false">IF(Variants!$E140="","",Variants!$E140&amp;", Armenian jewellery, handmade")</f>
        <v>Alphabet, Armenian jewellery, handmade</v>
      </c>
      <c r="H139" s="21" t="str">
        <f aca="false">IF(Variants!$AD140="Active","TRUE","FALSE")</f>
        <v>TRUE</v>
      </c>
      <c r="I139" s="21" t="str">
        <f aca="false">IF(Variants!$H140="","","Color")</f>
        <v>Color</v>
      </c>
      <c r="J139" s="21" t="str">
        <f aca="false">IF(Variants!$H140="","",Variants!$H140)</f>
        <v>white</v>
      </c>
      <c r="K139" s="21" t="str">
        <f aca="false">IF(Variants!$G140="","","Size")</f>
        <v/>
      </c>
      <c r="L139" s="21" t="str">
        <f aca="false">IF(Variants!$G140="","",Variants!$G140)</f>
        <v/>
      </c>
      <c r="M139" s="21" t="str">
        <f aca="false">Variants!$A140</f>
        <v>KARNI-BRAC-ALPHA-YT-WHITE</v>
      </c>
      <c r="N139" s="21" t="str">
        <f aca="false">IF(Variants!$X140="","",Variants!$X140)</f>
        <v/>
      </c>
      <c r="O139" s="21" t="n">
        <f aca="false">IF(Variants!$O140="","",Variants!$O140)</f>
        <v>0</v>
      </c>
      <c r="P139" s="18" t="n">
        <f aca="false">IF(Variants!$J140="","",Variants!$J140)</f>
        <v>49.4</v>
      </c>
      <c r="Q139" s="21" t="str">
        <f aca="false">IF(Variants!$U140="","",Variants!$U140)</f>
        <v/>
      </c>
      <c r="R139" s="21" t="str">
        <f aca="false">IF(Variants!$Y140="","",Variants!$Y140)</f>
        <v/>
      </c>
      <c r="S139" s="21" t="n">
        <f aca="false">IFERROR(VLOOKUP(Variants!$B140,Designs!$A$3:$AP$165,37,FALSE()),"")</f>
        <v>0</v>
      </c>
      <c r="T139" s="21" t="str">
        <f aca="false">IFERROR(VLOOKUP(Variants!$B140,Designs!$A$3:$AP$165,38,FALSE()),"")</f>
        <v>No</v>
      </c>
      <c r="U139" s="21" t="str">
        <f aca="false">IF(Variants!$AD140="Active","active","draft")</f>
        <v>active</v>
      </c>
    </row>
    <row r="140" customFormat="false" ht="15.75" hidden="false" customHeight="true" outlineLevel="0" collapsed="false">
      <c r="A140" s="21" t="str">
        <f aca="false">IF(Variants!$B141="","",LOWER(Variants!$B141))</f>
        <v>dsgn-brac-alpha-to</v>
      </c>
      <c r="B140" s="21" t="str">
        <f aca="false">IF(Variants!$B141="","",Variants!$C141&amp;IF(Variants!$F141="",""," "&amp;Variants!$F141))</f>
        <v>Bird Letter Bracelet Թ</v>
      </c>
      <c r="C140" s="21" t="str">
        <f aca="false">IFERROR(IF(Variants!$B141="","","&lt;p&gt;"&amp;VLOOKUP(Variants!$B141,Designs!$A$3:$AP$165,9,FALSE())&amp;"&lt;/p&gt;"),"")</f>
        <v>&lt;p&gt;Bird letters are an ornamental medieval Armenian script where each letter is formed from stylised birds, used in illuminated manuscripts.&lt;/p&gt;</v>
      </c>
      <c r="D140" s="21" t="str">
        <f aca="false">IF(Variants!$B141="","","Karni Jewellery")</f>
        <v>Karni Jewellery</v>
      </c>
      <c r="E140" s="21" t="str">
        <f aca="false">IF(Variants!$B141="","","Apparel &amp; Accessories &gt; Jewelry")</f>
        <v>Apparel &amp; Accessories &gt; Jewelry</v>
      </c>
      <c r="F140" s="21" t="str">
        <f aca="false">IF(Variants!$D141="","",Variants!$D141)</f>
        <v>Bracelet</v>
      </c>
      <c r="G140" s="21" t="str">
        <f aca="false">IF(Variants!$E141="","",Variants!$E141&amp;", Armenian jewellery, handmade")</f>
        <v>Alphabet, Armenian jewellery, handmade</v>
      </c>
      <c r="H140" s="21" t="str">
        <f aca="false">IF(Variants!$AD141="Active","TRUE","FALSE")</f>
        <v>TRUE</v>
      </c>
      <c r="I140" s="21" t="str">
        <f aca="false">IF(Variants!$H141="","","Color")</f>
        <v>Color</v>
      </c>
      <c r="J140" s="21" t="str">
        <f aca="false">IF(Variants!$H141="","",Variants!$H141)</f>
        <v>red</v>
      </c>
      <c r="K140" s="21" t="str">
        <f aca="false">IF(Variants!$G141="","","Size")</f>
        <v/>
      </c>
      <c r="L140" s="21" t="str">
        <f aca="false">IF(Variants!$G141="","",Variants!$G141)</f>
        <v/>
      </c>
      <c r="M140" s="21" t="str">
        <f aca="false">Variants!$A141</f>
        <v>KARNI-BRAC-ALPHA-TO-RED</v>
      </c>
      <c r="N140" s="21" t="str">
        <f aca="false">IF(Variants!$X141="","",Variants!$X141)</f>
        <v/>
      </c>
      <c r="O140" s="21" t="n">
        <f aca="false">IF(Variants!$O141="","",Variants!$O141)</f>
        <v>0</v>
      </c>
      <c r="P140" s="18" t="n">
        <f aca="false">IF(Variants!$J141="","",Variants!$J141)</f>
        <v>49.4</v>
      </c>
      <c r="Q140" s="21" t="str">
        <f aca="false">IF(Variants!$U141="","",Variants!$U141)</f>
        <v/>
      </c>
      <c r="R140" s="21" t="str">
        <f aca="false">IF(Variants!$Y141="","",Variants!$Y141)</f>
        <v/>
      </c>
      <c r="S140" s="21" t="n">
        <f aca="false">IFERROR(VLOOKUP(Variants!$B141,Designs!$A$3:$AP$165,37,FALSE()),"")</f>
        <v>0</v>
      </c>
      <c r="T140" s="21" t="str">
        <f aca="false">IFERROR(VLOOKUP(Variants!$B141,Designs!$A$3:$AP$165,38,FALSE()),"")</f>
        <v>No</v>
      </c>
      <c r="U140" s="21" t="str">
        <f aca="false">IF(Variants!$AD141="Active","active","draft")</f>
        <v>active</v>
      </c>
    </row>
    <row r="141" customFormat="false" ht="15.75" hidden="false" customHeight="true" outlineLevel="0" collapsed="false">
      <c r="A141" s="21" t="str">
        <f aca="false">IF(Variants!$B142="","",LOWER(Variants!$B142))</f>
        <v>dsgn-brac-alpha-to</v>
      </c>
      <c r="B141" s="21" t="str">
        <f aca="false">IF(Variants!$B142="","",Variants!$C142&amp;IF(Variants!$F142="",""," "&amp;Variants!$F142))</f>
        <v>Bird Letter Bracelet Թ</v>
      </c>
      <c r="C141" s="21" t="str">
        <f aca="false">IFERROR(IF(Variants!$B142="","","&lt;p&gt;"&amp;VLOOKUP(Variants!$B142,Designs!$A$3:$AP$165,9,FALSE())&amp;"&lt;/p&gt;"),"")</f>
        <v>&lt;p&gt;Bird letters are an ornamental medieval Armenian script where each letter is formed from stylised birds, used in illuminated manuscripts.&lt;/p&gt;</v>
      </c>
      <c r="D141" s="21" t="str">
        <f aca="false">IF(Variants!$B142="","","Karni Jewellery")</f>
        <v>Karni Jewellery</v>
      </c>
      <c r="E141" s="21" t="str">
        <f aca="false">IF(Variants!$B142="","","Apparel &amp; Accessories &gt; Jewelry")</f>
        <v>Apparel &amp; Accessories &gt; Jewelry</v>
      </c>
      <c r="F141" s="21" t="str">
        <f aca="false">IF(Variants!$D142="","",Variants!$D142)</f>
        <v>Bracelet</v>
      </c>
      <c r="G141" s="21" t="str">
        <f aca="false">IF(Variants!$E142="","",Variants!$E142&amp;", Armenian jewellery, handmade")</f>
        <v>Alphabet, Armenian jewellery, handmade</v>
      </c>
      <c r="H141" s="21" t="str">
        <f aca="false">IF(Variants!$AD142="Active","TRUE","FALSE")</f>
        <v>TRUE</v>
      </c>
      <c r="I141" s="21" t="str">
        <f aca="false">IF(Variants!$H142="","","Color")</f>
        <v>Color</v>
      </c>
      <c r="J141" s="21" t="str">
        <f aca="false">IF(Variants!$H142="","",Variants!$H142)</f>
        <v>turquoise</v>
      </c>
      <c r="K141" s="21" t="str">
        <f aca="false">IF(Variants!$G142="","","Size")</f>
        <v/>
      </c>
      <c r="L141" s="21" t="str">
        <f aca="false">IF(Variants!$G142="","",Variants!$G142)</f>
        <v/>
      </c>
      <c r="M141" s="21" t="str">
        <f aca="false">Variants!$A142</f>
        <v>KARNI-BRAC-ALPHA-TO-TURQUOISE</v>
      </c>
      <c r="N141" s="21" t="str">
        <f aca="false">IF(Variants!$X142="","",Variants!$X142)</f>
        <v/>
      </c>
      <c r="O141" s="21" t="n">
        <f aca="false">IF(Variants!$O142="","",Variants!$O142)</f>
        <v>0</v>
      </c>
      <c r="P141" s="18" t="n">
        <f aca="false">IF(Variants!$J142="","",Variants!$J142)</f>
        <v>49.4</v>
      </c>
      <c r="Q141" s="21" t="str">
        <f aca="false">IF(Variants!$U142="","",Variants!$U142)</f>
        <v/>
      </c>
      <c r="R141" s="21" t="str">
        <f aca="false">IF(Variants!$Y142="","",Variants!$Y142)</f>
        <v/>
      </c>
      <c r="S141" s="21" t="n">
        <f aca="false">IFERROR(VLOOKUP(Variants!$B142,Designs!$A$3:$AP$165,37,FALSE()),"")</f>
        <v>0</v>
      </c>
      <c r="T141" s="21" t="str">
        <f aca="false">IFERROR(VLOOKUP(Variants!$B142,Designs!$A$3:$AP$165,38,FALSE()),"")</f>
        <v>No</v>
      </c>
      <c r="U141" s="21" t="str">
        <f aca="false">IF(Variants!$AD142="Active","active","draft")</f>
        <v>active</v>
      </c>
    </row>
    <row r="142" customFormat="false" ht="15.75" hidden="false" customHeight="true" outlineLevel="0" collapsed="false">
      <c r="A142" s="21" t="str">
        <f aca="false">IF(Variants!$B143="","",LOWER(Variants!$B143))</f>
        <v>dsgn-brac-alpha-to</v>
      </c>
      <c r="B142" s="21" t="str">
        <f aca="false">IF(Variants!$B143="","",Variants!$C143&amp;IF(Variants!$F143="",""," "&amp;Variants!$F143))</f>
        <v>Bird Letter Bracelet Թ</v>
      </c>
      <c r="C142" s="21" t="str">
        <f aca="false">IFERROR(IF(Variants!$B143="","","&lt;p&gt;"&amp;VLOOKUP(Variants!$B143,Designs!$A$3:$AP$165,9,FALSE())&amp;"&lt;/p&gt;"),"")</f>
        <v>&lt;p&gt;Bird letters are an ornamental medieval Armenian script where each letter is formed from stylised birds, used in illuminated manuscripts.&lt;/p&gt;</v>
      </c>
      <c r="D142" s="21" t="str">
        <f aca="false">IF(Variants!$B143="","","Karni Jewellery")</f>
        <v>Karni Jewellery</v>
      </c>
      <c r="E142" s="21" t="str">
        <f aca="false">IF(Variants!$B143="","","Apparel &amp; Accessories &gt; Jewelry")</f>
        <v>Apparel &amp; Accessories &gt; Jewelry</v>
      </c>
      <c r="F142" s="21" t="str">
        <f aca="false">IF(Variants!$D143="","",Variants!$D143)</f>
        <v>Bracelet</v>
      </c>
      <c r="G142" s="21" t="str">
        <f aca="false">IF(Variants!$E143="","",Variants!$E143&amp;", Armenian jewellery, handmade")</f>
        <v>Alphabet, Armenian jewellery, handmade</v>
      </c>
      <c r="H142" s="21" t="str">
        <f aca="false">IF(Variants!$AD143="Active","TRUE","FALSE")</f>
        <v>TRUE</v>
      </c>
      <c r="I142" s="21" t="str">
        <f aca="false">IF(Variants!$H143="","","Color")</f>
        <v>Color</v>
      </c>
      <c r="J142" s="21" t="str">
        <f aca="false">IF(Variants!$H143="","",Variants!$H143)</f>
        <v>white</v>
      </c>
      <c r="K142" s="21" t="str">
        <f aca="false">IF(Variants!$G143="","","Size")</f>
        <v/>
      </c>
      <c r="L142" s="21" t="str">
        <f aca="false">IF(Variants!$G143="","",Variants!$G143)</f>
        <v/>
      </c>
      <c r="M142" s="21" t="str">
        <f aca="false">Variants!$A143</f>
        <v>KARNI-BRAC-ALPHA-TO-WHITE</v>
      </c>
      <c r="N142" s="21" t="str">
        <f aca="false">IF(Variants!$X143="","",Variants!$X143)</f>
        <v/>
      </c>
      <c r="O142" s="21" t="n">
        <f aca="false">IF(Variants!$O143="","",Variants!$O143)</f>
        <v>0</v>
      </c>
      <c r="P142" s="18" t="n">
        <f aca="false">IF(Variants!$J143="","",Variants!$J143)</f>
        <v>49.4</v>
      </c>
      <c r="Q142" s="21" t="str">
        <f aca="false">IF(Variants!$U143="","",Variants!$U143)</f>
        <v/>
      </c>
      <c r="R142" s="21" t="str">
        <f aca="false">IF(Variants!$Y143="","",Variants!$Y143)</f>
        <v/>
      </c>
      <c r="S142" s="21" t="n">
        <f aca="false">IFERROR(VLOOKUP(Variants!$B143,Designs!$A$3:$AP$165,37,FALSE()),"")</f>
        <v>0</v>
      </c>
      <c r="T142" s="21" t="str">
        <f aca="false">IFERROR(VLOOKUP(Variants!$B143,Designs!$A$3:$AP$165,38,FALSE()),"")</f>
        <v>No</v>
      </c>
      <c r="U142" s="21" t="str">
        <f aca="false">IF(Variants!$AD143="Active","active","draft")</f>
        <v>active</v>
      </c>
    </row>
    <row r="143" customFormat="false" ht="15.75" hidden="false" customHeight="true" outlineLevel="0" collapsed="false">
      <c r="A143" s="21" t="str">
        <f aca="false">IF(Variants!$B144="","",LOWER(Variants!$B144))</f>
        <v>dsgn-brac-alpha-zhe</v>
      </c>
      <c r="B143" s="21" t="str">
        <f aca="false">IF(Variants!$B144="","",Variants!$C144&amp;IF(Variants!$F144="",""," "&amp;Variants!$F144))</f>
        <v>Bird Letter Bracelet Ժ</v>
      </c>
      <c r="C143" s="21" t="str">
        <f aca="false">IFERROR(IF(Variants!$B144="","","&lt;p&gt;"&amp;VLOOKUP(Variants!$B144,Designs!$A$3:$AP$165,9,FALSE())&amp;"&lt;/p&gt;"),"")</f>
        <v>&lt;p&gt;Bird letters are an ornamental medieval Armenian script where each letter is formed from stylised birds, used in illuminated manuscripts.&lt;/p&gt;</v>
      </c>
      <c r="D143" s="21" t="str">
        <f aca="false">IF(Variants!$B144="","","Karni Jewellery")</f>
        <v>Karni Jewellery</v>
      </c>
      <c r="E143" s="21" t="str">
        <f aca="false">IF(Variants!$B144="","","Apparel &amp; Accessories &gt; Jewelry")</f>
        <v>Apparel &amp; Accessories &gt; Jewelry</v>
      </c>
      <c r="F143" s="21" t="str">
        <f aca="false">IF(Variants!$D144="","",Variants!$D144)</f>
        <v>Bracelet</v>
      </c>
      <c r="G143" s="21" t="str">
        <f aca="false">IF(Variants!$E144="","",Variants!$E144&amp;", Armenian jewellery, handmade")</f>
        <v>Alphabet, Armenian jewellery, handmade</v>
      </c>
      <c r="H143" s="21" t="str">
        <f aca="false">IF(Variants!$AD144="Active","TRUE","FALSE")</f>
        <v>TRUE</v>
      </c>
      <c r="I143" s="21" t="str">
        <f aca="false">IF(Variants!$H144="","","Color")</f>
        <v>Color</v>
      </c>
      <c r="J143" s="21" t="str">
        <f aca="false">IF(Variants!$H144="","",Variants!$H144)</f>
        <v>red</v>
      </c>
      <c r="K143" s="21" t="str">
        <f aca="false">IF(Variants!$G144="","","Size")</f>
        <v/>
      </c>
      <c r="L143" s="21" t="str">
        <f aca="false">IF(Variants!$G144="","",Variants!$G144)</f>
        <v/>
      </c>
      <c r="M143" s="21" t="str">
        <f aca="false">Variants!$A144</f>
        <v>KARNI-BRAC-ALPHA-ZHE-RED</v>
      </c>
      <c r="N143" s="21" t="str">
        <f aca="false">IF(Variants!$X144="","",Variants!$X144)</f>
        <v/>
      </c>
      <c r="O143" s="21" t="n">
        <f aca="false">IF(Variants!$O144="","",Variants!$O144)</f>
        <v>0</v>
      </c>
      <c r="P143" s="18" t="n">
        <f aca="false">IF(Variants!$J144="","",Variants!$J144)</f>
        <v>49.4</v>
      </c>
      <c r="Q143" s="21" t="str">
        <f aca="false">IF(Variants!$U144="","",Variants!$U144)</f>
        <v/>
      </c>
      <c r="R143" s="21" t="str">
        <f aca="false">IF(Variants!$Y144="","",Variants!$Y144)</f>
        <v/>
      </c>
      <c r="S143" s="21" t="n">
        <f aca="false">IFERROR(VLOOKUP(Variants!$B144,Designs!$A$3:$AP$165,37,FALSE()),"")</f>
        <v>0</v>
      </c>
      <c r="T143" s="21" t="str">
        <f aca="false">IFERROR(VLOOKUP(Variants!$B144,Designs!$A$3:$AP$165,38,FALSE()),"")</f>
        <v>No</v>
      </c>
      <c r="U143" s="21" t="str">
        <f aca="false">IF(Variants!$AD144="Active","active","draft")</f>
        <v>active</v>
      </c>
    </row>
    <row r="144" customFormat="false" ht="15.75" hidden="false" customHeight="true" outlineLevel="0" collapsed="false">
      <c r="A144" s="21" t="str">
        <f aca="false">IF(Variants!$B145="","",LOWER(Variants!$B145))</f>
        <v>dsgn-brac-alpha-zhe</v>
      </c>
      <c r="B144" s="21" t="str">
        <f aca="false">IF(Variants!$B145="","",Variants!$C145&amp;IF(Variants!$F145="",""," "&amp;Variants!$F145))</f>
        <v>Bird Letter Bracelet Ժ</v>
      </c>
      <c r="C144" s="21" t="str">
        <f aca="false">IFERROR(IF(Variants!$B145="","","&lt;p&gt;"&amp;VLOOKUP(Variants!$B145,Designs!$A$3:$AP$165,9,FALSE())&amp;"&lt;/p&gt;"),"")</f>
        <v>&lt;p&gt;Bird letters are an ornamental medieval Armenian script where each letter is formed from stylised birds, used in illuminated manuscripts.&lt;/p&gt;</v>
      </c>
      <c r="D144" s="21" t="str">
        <f aca="false">IF(Variants!$B145="","","Karni Jewellery")</f>
        <v>Karni Jewellery</v>
      </c>
      <c r="E144" s="21" t="str">
        <f aca="false">IF(Variants!$B145="","","Apparel &amp; Accessories &gt; Jewelry")</f>
        <v>Apparel &amp; Accessories &gt; Jewelry</v>
      </c>
      <c r="F144" s="21" t="str">
        <f aca="false">IF(Variants!$D145="","",Variants!$D145)</f>
        <v>Bracelet</v>
      </c>
      <c r="G144" s="21" t="str">
        <f aca="false">IF(Variants!$E145="","",Variants!$E145&amp;", Armenian jewellery, handmade")</f>
        <v>Alphabet, Armenian jewellery, handmade</v>
      </c>
      <c r="H144" s="21" t="str">
        <f aca="false">IF(Variants!$AD145="Active","TRUE","FALSE")</f>
        <v>TRUE</v>
      </c>
      <c r="I144" s="21" t="str">
        <f aca="false">IF(Variants!$H145="","","Color")</f>
        <v>Color</v>
      </c>
      <c r="J144" s="21" t="str">
        <f aca="false">IF(Variants!$H145="","",Variants!$H145)</f>
        <v>turquoise</v>
      </c>
      <c r="K144" s="21" t="str">
        <f aca="false">IF(Variants!$G145="","","Size")</f>
        <v/>
      </c>
      <c r="L144" s="21" t="str">
        <f aca="false">IF(Variants!$G145="","",Variants!$G145)</f>
        <v/>
      </c>
      <c r="M144" s="21" t="str">
        <f aca="false">Variants!$A145</f>
        <v>KARNI-BRAC-ALPHA-ZHE-TURQUOISE</v>
      </c>
      <c r="N144" s="21" t="str">
        <f aca="false">IF(Variants!$X145="","",Variants!$X145)</f>
        <v/>
      </c>
      <c r="O144" s="21" t="n">
        <f aca="false">IF(Variants!$O145="","",Variants!$O145)</f>
        <v>0</v>
      </c>
      <c r="P144" s="18" t="n">
        <f aca="false">IF(Variants!$J145="","",Variants!$J145)</f>
        <v>49.4</v>
      </c>
      <c r="Q144" s="21" t="str">
        <f aca="false">IF(Variants!$U145="","",Variants!$U145)</f>
        <v/>
      </c>
      <c r="R144" s="21" t="str">
        <f aca="false">IF(Variants!$Y145="","",Variants!$Y145)</f>
        <v/>
      </c>
      <c r="S144" s="21" t="n">
        <f aca="false">IFERROR(VLOOKUP(Variants!$B145,Designs!$A$3:$AP$165,37,FALSE()),"")</f>
        <v>0</v>
      </c>
      <c r="T144" s="21" t="str">
        <f aca="false">IFERROR(VLOOKUP(Variants!$B145,Designs!$A$3:$AP$165,38,FALSE()),"")</f>
        <v>No</v>
      </c>
      <c r="U144" s="21" t="str">
        <f aca="false">IF(Variants!$AD145="Active","active","draft")</f>
        <v>active</v>
      </c>
    </row>
    <row r="145" customFormat="false" ht="15.75" hidden="false" customHeight="true" outlineLevel="0" collapsed="false">
      <c r="A145" s="21" t="str">
        <f aca="false">IF(Variants!$B146="","",LOWER(Variants!$B146))</f>
        <v>dsgn-brac-alpha-zhe</v>
      </c>
      <c r="B145" s="21" t="str">
        <f aca="false">IF(Variants!$B146="","",Variants!$C146&amp;IF(Variants!$F146="",""," "&amp;Variants!$F146))</f>
        <v>Bird Letter Bracelet Ժ</v>
      </c>
      <c r="C145" s="21" t="str">
        <f aca="false">IFERROR(IF(Variants!$B146="","","&lt;p&gt;"&amp;VLOOKUP(Variants!$B146,Designs!$A$3:$AP$165,9,FALSE())&amp;"&lt;/p&gt;"),"")</f>
        <v>&lt;p&gt;Bird letters are an ornamental medieval Armenian script where each letter is formed from stylised birds, used in illuminated manuscripts.&lt;/p&gt;</v>
      </c>
      <c r="D145" s="21" t="str">
        <f aca="false">IF(Variants!$B146="","","Karni Jewellery")</f>
        <v>Karni Jewellery</v>
      </c>
      <c r="E145" s="21" t="str">
        <f aca="false">IF(Variants!$B146="","","Apparel &amp; Accessories &gt; Jewelry")</f>
        <v>Apparel &amp; Accessories &gt; Jewelry</v>
      </c>
      <c r="F145" s="21" t="str">
        <f aca="false">IF(Variants!$D146="","",Variants!$D146)</f>
        <v>Bracelet</v>
      </c>
      <c r="G145" s="21" t="str">
        <f aca="false">IF(Variants!$E146="","",Variants!$E146&amp;", Armenian jewellery, handmade")</f>
        <v>Alphabet, Armenian jewellery, handmade</v>
      </c>
      <c r="H145" s="21" t="str">
        <f aca="false">IF(Variants!$AD146="Active","TRUE","FALSE")</f>
        <v>TRUE</v>
      </c>
      <c r="I145" s="21" t="str">
        <f aca="false">IF(Variants!$H146="","","Color")</f>
        <v>Color</v>
      </c>
      <c r="J145" s="21" t="str">
        <f aca="false">IF(Variants!$H146="","",Variants!$H146)</f>
        <v>white</v>
      </c>
      <c r="K145" s="21" t="str">
        <f aca="false">IF(Variants!$G146="","","Size")</f>
        <v/>
      </c>
      <c r="L145" s="21" t="str">
        <f aca="false">IF(Variants!$G146="","",Variants!$G146)</f>
        <v/>
      </c>
      <c r="M145" s="21" t="str">
        <f aca="false">Variants!$A146</f>
        <v>KARNI-BRAC-ALPHA-ZHE-WHITE</v>
      </c>
      <c r="N145" s="21" t="str">
        <f aca="false">IF(Variants!$X146="","",Variants!$X146)</f>
        <v/>
      </c>
      <c r="O145" s="21" t="n">
        <f aca="false">IF(Variants!$O146="","",Variants!$O146)</f>
        <v>0</v>
      </c>
      <c r="P145" s="18" t="n">
        <f aca="false">IF(Variants!$J146="","",Variants!$J146)</f>
        <v>49.4</v>
      </c>
      <c r="Q145" s="21" t="str">
        <f aca="false">IF(Variants!$U146="","",Variants!$U146)</f>
        <v/>
      </c>
      <c r="R145" s="21" t="str">
        <f aca="false">IF(Variants!$Y146="","",Variants!$Y146)</f>
        <v/>
      </c>
      <c r="S145" s="21" t="n">
        <f aca="false">IFERROR(VLOOKUP(Variants!$B146,Designs!$A$3:$AP$165,37,FALSE()),"")</f>
        <v>0</v>
      </c>
      <c r="T145" s="21" t="str">
        <f aca="false">IFERROR(VLOOKUP(Variants!$B146,Designs!$A$3:$AP$165,38,FALSE()),"")</f>
        <v>No</v>
      </c>
      <c r="U145" s="21" t="str">
        <f aca="false">IF(Variants!$AD146="Active","active","draft")</f>
        <v>active</v>
      </c>
    </row>
    <row r="146" customFormat="false" ht="15.75" hidden="false" customHeight="true" outlineLevel="0" collapsed="false">
      <c r="A146" s="21" t="str">
        <f aca="false">IF(Variants!$B147="","",LOWER(Variants!$B147))</f>
        <v>dsgn-brac-alpha-ini</v>
      </c>
      <c r="B146" s="21" t="str">
        <f aca="false">IF(Variants!$B147="","",Variants!$C147&amp;IF(Variants!$F147="",""," "&amp;Variants!$F147))</f>
        <v>Bird Letter Bracelet Ի</v>
      </c>
      <c r="C146" s="21" t="str">
        <f aca="false">IFERROR(IF(Variants!$B147="","","&lt;p&gt;"&amp;VLOOKUP(Variants!$B147,Designs!$A$3:$AP$165,9,FALSE())&amp;"&lt;/p&gt;"),"")</f>
        <v>&lt;p&gt;Bird letters are an ornamental medieval Armenian script where each letter is formed from stylised birds, used in illuminated manuscripts.&lt;/p&gt;</v>
      </c>
      <c r="D146" s="21" t="str">
        <f aca="false">IF(Variants!$B147="","","Karni Jewellery")</f>
        <v>Karni Jewellery</v>
      </c>
      <c r="E146" s="21" t="str">
        <f aca="false">IF(Variants!$B147="","","Apparel &amp; Accessories &gt; Jewelry")</f>
        <v>Apparel &amp; Accessories &gt; Jewelry</v>
      </c>
      <c r="F146" s="21" t="str">
        <f aca="false">IF(Variants!$D147="","",Variants!$D147)</f>
        <v>Bracelet</v>
      </c>
      <c r="G146" s="21" t="str">
        <f aca="false">IF(Variants!$E147="","",Variants!$E147&amp;", Armenian jewellery, handmade")</f>
        <v>Alphabet, Armenian jewellery, handmade</v>
      </c>
      <c r="H146" s="21" t="str">
        <f aca="false">IF(Variants!$AD147="Active","TRUE","FALSE")</f>
        <v>TRUE</v>
      </c>
      <c r="I146" s="21" t="str">
        <f aca="false">IF(Variants!$H147="","","Color")</f>
        <v>Color</v>
      </c>
      <c r="J146" s="21" t="str">
        <f aca="false">IF(Variants!$H147="","",Variants!$H147)</f>
        <v>red</v>
      </c>
      <c r="K146" s="21" t="str">
        <f aca="false">IF(Variants!$G147="","","Size")</f>
        <v/>
      </c>
      <c r="L146" s="21" t="str">
        <f aca="false">IF(Variants!$G147="","",Variants!$G147)</f>
        <v/>
      </c>
      <c r="M146" s="21" t="str">
        <f aca="false">Variants!$A147</f>
        <v>KARNI-BRAC-ALPHA-INI-RED</v>
      </c>
      <c r="N146" s="21" t="str">
        <f aca="false">IF(Variants!$X147="","",Variants!$X147)</f>
        <v/>
      </c>
      <c r="O146" s="21" t="n">
        <f aca="false">IF(Variants!$O147="","",Variants!$O147)</f>
        <v>0</v>
      </c>
      <c r="P146" s="18" t="n">
        <f aca="false">IF(Variants!$J147="","",Variants!$J147)</f>
        <v>49.4</v>
      </c>
      <c r="Q146" s="21" t="str">
        <f aca="false">IF(Variants!$U147="","",Variants!$U147)</f>
        <v/>
      </c>
      <c r="R146" s="21" t="str">
        <f aca="false">IF(Variants!$Y147="","",Variants!$Y147)</f>
        <v/>
      </c>
      <c r="S146" s="21" t="n">
        <f aca="false">IFERROR(VLOOKUP(Variants!$B147,Designs!$A$3:$AP$165,37,FALSE()),"")</f>
        <v>0</v>
      </c>
      <c r="T146" s="21" t="str">
        <f aca="false">IFERROR(VLOOKUP(Variants!$B147,Designs!$A$3:$AP$165,38,FALSE()),"")</f>
        <v>No</v>
      </c>
      <c r="U146" s="21" t="str">
        <f aca="false">IF(Variants!$AD147="Active","active","draft")</f>
        <v>active</v>
      </c>
    </row>
    <row r="147" customFormat="false" ht="15.75" hidden="false" customHeight="true" outlineLevel="0" collapsed="false">
      <c r="A147" s="21" t="str">
        <f aca="false">IF(Variants!$B148="","",LOWER(Variants!$B148))</f>
        <v>dsgn-brac-alpha-ini</v>
      </c>
      <c r="B147" s="21" t="str">
        <f aca="false">IF(Variants!$B148="","",Variants!$C148&amp;IF(Variants!$F148="",""," "&amp;Variants!$F148))</f>
        <v>Bird Letter Bracelet Ի</v>
      </c>
      <c r="C147" s="21" t="str">
        <f aca="false">IFERROR(IF(Variants!$B148="","","&lt;p&gt;"&amp;VLOOKUP(Variants!$B148,Designs!$A$3:$AP$165,9,FALSE())&amp;"&lt;/p&gt;"),"")</f>
        <v>&lt;p&gt;Bird letters are an ornamental medieval Armenian script where each letter is formed from stylised birds, used in illuminated manuscripts.&lt;/p&gt;</v>
      </c>
      <c r="D147" s="21" t="str">
        <f aca="false">IF(Variants!$B148="","","Karni Jewellery")</f>
        <v>Karni Jewellery</v>
      </c>
      <c r="E147" s="21" t="str">
        <f aca="false">IF(Variants!$B148="","","Apparel &amp; Accessories &gt; Jewelry")</f>
        <v>Apparel &amp; Accessories &gt; Jewelry</v>
      </c>
      <c r="F147" s="21" t="str">
        <f aca="false">IF(Variants!$D148="","",Variants!$D148)</f>
        <v>Bracelet</v>
      </c>
      <c r="G147" s="21" t="str">
        <f aca="false">IF(Variants!$E148="","",Variants!$E148&amp;", Armenian jewellery, handmade")</f>
        <v>Alphabet, Armenian jewellery, handmade</v>
      </c>
      <c r="H147" s="21" t="str">
        <f aca="false">IF(Variants!$AD148="Active","TRUE","FALSE")</f>
        <v>TRUE</v>
      </c>
      <c r="I147" s="21" t="str">
        <f aca="false">IF(Variants!$H148="","","Color")</f>
        <v>Color</v>
      </c>
      <c r="J147" s="21" t="str">
        <f aca="false">IF(Variants!$H148="","",Variants!$H148)</f>
        <v>turquoise</v>
      </c>
      <c r="K147" s="21" t="str">
        <f aca="false">IF(Variants!$G148="","","Size")</f>
        <v/>
      </c>
      <c r="L147" s="21" t="str">
        <f aca="false">IF(Variants!$G148="","",Variants!$G148)</f>
        <v/>
      </c>
      <c r="M147" s="21" t="str">
        <f aca="false">Variants!$A148</f>
        <v>KARNI-BRAC-ALPHA-INI-TURQUOISE</v>
      </c>
      <c r="N147" s="21" t="str">
        <f aca="false">IF(Variants!$X148="","",Variants!$X148)</f>
        <v/>
      </c>
      <c r="O147" s="21" t="n">
        <f aca="false">IF(Variants!$O148="","",Variants!$O148)</f>
        <v>0</v>
      </c>
      <c r="P147" s="18" t="n">
        <f aca="false">IF(Variants!$J148="","",Variants!$J148)</f>
        <v>49.4</v>
      </c>
      <c r="Q147" s="21" t="str">
        <f aca="false">IF(Variants!$U148="","",Variants!$U148)</f>
        <v/>
      </c>
      <c r="R147" s="21" t="str">
        <f aca="false">IF(Variants!$Y148="","",Variants!$Y148)</f>
        <v/>
      </c>
      <c r="S147" s="21" t="n">
        <f aca="false">IFERROR(VLOOKUP(Variants!$B148,Designs!$A$3:$AP$165,37,FALSE()),"")</f>
        <v>0</v>
      </c>
      <c r="T147" s="21" t="str">
        <f aca="false">IFERROR(VLOOKUP(Variants!$B148,Designs!$A$3:$AP$165,38,FALSE()),"")</f>
        <v>No</v>
      </c>
      <c r="U147" s="21" t="str">
        <f aca="false">IF(Variants!$AD148="Active","active","draft")</f>
        <v>active</v>
      </c>
    </row>
    <row r="148" customFormat="false" ht="15.75" hidden="false" customHeight="true" outlineLevel="0" collapsed="false">
      <c r="A148" s="21" t="str">
        <f aca="false">IF(Variants!$B149="","",LOWER(Variants!$B149))</f>
        <v>dsgn-brac-alpha-ini</v>
      </c>
      <c r="B148" s="21" t="str">
        <f aca="false">IF(Variants!$B149="","",Variants!$C149&amp;IF(Variants!$F149="",""," "&amp;Variants!$F149))</f>
        <v>Bird Letter Bracelet Ի</v>
      </c>
      <c r="C148" s="21" t="str">
        <f aca="false">IFERROR(IF(Variants!$B149="","","&lt;p&gt;"&amp;VLOOKUP(Variants!$B149,Designs!$A$3:$AP$165,9,FALSE())&amp;"&lt;/p&gt;"),"")</f>
        <v>&lt;p&gt;Bird letters are an ornamental medieval Armenian script where each letter is formed from stylised birds, used in illuminated manuscripts.&lt;/p&gt;</v>
      </c>
      <c r="D148" s="21" t="str">
        <f aca="false">IF(Variants!$B149="","","Karni Jewellery")</f>
        <v>Karni Jewellery</v>
      </c>
      <c r="E148" s="21" t="str">
        <f aca="false">IF(Variants!$B149="","","Apparel &amp; Accessories &gt; Jewelry")</f>
        <v>Apparel &amp; Accessories &gt; Jewelry</v>
      </c>
      <c r="F148" s="21" t="str">
        <f aca="false">IF(Variants!$D149="","",Variants!$D149)</f>
        <v>Bracelet</v>
      </c>
      <c r="G148" s="21" t="str">
        <f aca="false">IF(Variants!$E149="","",Variants!$E149&amp;", Armenian jewellery, handmade")</f>
        <v>Alphabet, Armenian jewellery, handmade</v>
      </c>
      <c r="H148" s="21" t="str">
        <f aca="false">IF(Variants!$AD149="Active","TRUE","FALSE")</f>
        <v>TRUE</v>
      </c>
      <c r="I148" s="21" t="str">
        <f aca="false">IF(Variants!$H149="","","Color")</f>
        <v>Color</v>
      </c>
      <c r="J148" s="21" t="str">
        <f aca="false">IF(Variants!$H149="","",Variants!$H149)</f>
        <v>white</v>
      </c>
      <c r="K148" s="21" t="str">
        <f aca="false">IF(Variants!$G149="","","Size")</f>
        <v/>
      </c>
      <c r="L148" s="21" t="str">
        <f aca="false">IF(Variants!$G149="","",Variants!$G149)</f>
        <v/>
      </c>
      <c r="M148" s="21" t="str">
        <f aca="false">Variants!$A149</f>
        <v>KARNI-BRAC-ALPHA-INI-WHITE</v>
      </c>
      <c r="N148" s="21" t="str">
        <f aca="false">IF(Variants!$X149="","",Variants!$X149)</f>
        <v/>
      </c>
      <c r="O148" s="21" t="n">
        <f aca="false">IF(Variants!$O149="","",Variants!$O149)</f>
        <v>0</v>
      </c>
      <c r="P148" s="18" t="n">
        <f aca="false">IF(Variants!$J149="","",Variants!$J149)</f>
        <v>49.4</v>
      </c>
      <c r="Q148" s="21" t="str">
        <f aca="false">IF(Variants!$U149="","",Variants!$U149)</f>
        <v/>
      </c>
      <c r="R148" s="21" t="str">
        <f aca="false">IF(Variants!$Y149="","",Variants!$Y149)</f>
        <v/>
      </c>
      <c r="S148" s="21" t="n">
        <f aca="false">IFERROR(VLOOKUP(Variants!$B149,Designs!$A$3:$AP$165,37,FALSE()),"")</f>
        <v>0</v>
      </c>
      <c r="T148" s="21" t="str">
        <f aca="false">IFERROR(VLOOKUP(Variants!$B149,Designs!$A$3:$AP$165,38,FALSE()),"")</f>
        <v>No</v>
      </c>
      <c r="U148" s="21" t="str">
        <f aca="false">IF(Variants!$AD149="Active","active","draft")</f>
        <v>active</v>
      </c>
    </row>
    <row r="149" customFormat="false" ht="15.75" hidden="false" customHeight="true" outlineLevel="0" collapsed="false">
      <c r="A149" s="21" t="str">
        <f aca="false">IF(Variants!$B150="","",LOWER(Variants!$B150))</f>
        <v>dsgn-brac-alpha-lyun</v>
      </c>
      <c r="B149" s="21" t="str">
        <f aca="false">IF(Variants!$B150="","",Variants!$C150&amp;IF(Variants!$F150="",""," "&amp;Variants!$F150))</f>
        <v>Bird Letter Bracelet Լ</v>
      </c>
      <c r="C149" s="21" t="str">
        <f aca="false">IFERROR(IF(Variants!$B150="","","&lt;p&gt;"&amp;VLOOKUP(Variants!$B150,Designs!$A$3:$AP$165,9,FALSE())&amp;"&lt;/p&gt;"),"")</f>
        <v>&lt;p&gt;Bird letters are an ornamental medieval Armenian script where each letter is formed from stylised birds, used in illuminated manuscripts.&lt;/p&gt;</v>
      </c>
      <c r="D149" s="21" t="str">
        <f aca="false">IF(Variants!$B150="","","Karni Jewellery")</f>
        <v>Karni Jewellery</v>
      </c>
      <c r="E149" s="21" t="str">
        <f aca="false">IF(Variants!$B150="","","Apparel &amp; Accessories &gt; Jewelry")</f>
        <v>Apparel &amp; Accessories &gt; Jewelry</v>
      </c>
      <c r="F149" s="21" t="str">
        <f aca="false">IF(Variants!$D150="","",Variants!$D150)</f>
        <v>Bracelet</v>
      </c>
      <c r="G149" s="21" t="str">
        <f aca="false">IF(Variants!$E150="","",Variants!$E150&amp;", Armenian jewellery, handmade")</f>
        <v>Alphabet, Armenian jewellery, handmade</v>
      </c>
      <c r="H149" s="21" t="str">
        <f aca="false">IF(Variants!$AD150="Active","TRUE","FALSE")</f>
        <v>TRUE</v>
      </c>
      <c r="I149" s="21" t="str">
        <f aca="false">IF(Variants!$H150="","","Color")</f>
        <v>Color</v>
      </c>
      <c r="J149" s="21" t="str">
        <f aca="false">IF(Variants!$H150="","",Variants!$H150)</f>
        <v>red</v>
      </c>
      <c r="K149" s="21" t="str">
        <f aca="false">IF(Variants!$G150="","","Size")</f>
        <v/>
      </c>
      <c r="L149" s="21" t="str">
        <f aca="false">IF(Variants!$G150="","",Variants!$G150)</f>
        <v/>
      </c>
      <c r="M149" s="21" t="str">
        <f aca="false">Variants!$A150</f>
        <v>KARNI-BRAC-ALPHA-LYUN-RED</v>
      </c>
      <c r="N149" s="21" t="str">
        <f aca="false">IF(Variants!$X150="","",Variants!$X150)</f>
        <v/>
      </c>
      <c r="O149" s="21" t="n">
        <f aca="false">IF(Variants!$O150="","",Variants!$O150)</f>
        <v>0</v>
      </c>
      <c r="P149" s="18" t="n">
        <f aca="false">IF(Variants!$J150="","",Variants!$J150)</f>
        <v>49.4</v>
      </c>
      <c r="Q149" s="21" t="str">
        <f aca="false">IF(Variants!$U150="","",Variants!$U150)</f>
        <v/>
      </c>
      <c r="R149" s="21" t="str">
        <f aca="false">IF(Variants!$Y150="","",Variants!$Y150)</f>
        <v/>
      </c>
      <c r="S149" s="21" t="n">
        <f aca="false">IFERROR(VLOOKUP(Variants!$B150,Designs!$A$3:$AP$165,37,FALSE()),"")</f>
        <v>0</v>
      </c>
      <c r="T149" s="21" t="str">
        <f aca="false">IFERROR(VLOOKUP(Variants!$B150,Designs!$A$3:$AP$165,38,FALSE()),"")</f>
        <v>No</v>
      </c>
      <c r="U149" s="21" t="str">
        <f aca="false">IF(Variants!$AD150="Active","active","draft")</f>
        <v>active</v>
      </c>
    </row>
    <row r="150" customFormat="false" ht="15.75" hidden="false" customHeight="true" outlineLevel="0" collapsed="false">
      <c r="A150" s="21" t="str">
        <f aca="false">IF(Variants!$B151="","",LOWER(Variants!$B151))</f>
        <v>dsgn-brac-alpha-lyun</v>
      </c>
      <c r="B150" s="21" t="str">
        <f aca="false">IF(Variants!$B151="","",Variants!$C151&amp;IF(Variants!$F151="",""," "&amp;Variants!$F151))</f>
        <v>Bird Letter Bracelet Լ</v>
      </c>
      <c r="C150" s="21" t="str">
        <f aca="false">IFERROR(IF(Variants!$B151="","","&lt;p&gt;"&amp;VLOOKUP(Variants!$B151,Designs!$A$3:$AP$165,9,FALSE())&amp;"&lt;/p&gt;"),"")</f>
        <v>&lt;p&gt;Bird letters are an ornamental medieval Armenian script where each letter is formed from stylised birds, used in illuminated manuscripts.&lt;/p&gt;</v>
      </c>
      <c r="D150" s="21" t="str">
        <f aca="false">IF(Variants!$B151="","","Karni Jewellery")</f>
        <v>Karni Jewellery</v>
      </c>
      <c r="E150" s="21" t="str">
        <f aca="false">IF(Variants!$B151="","","Apparel &amp; Accessories &gt; Jewelry")</f>
        <v>Apparel &amp; Accessories &gt; Jewelry</v>
      </c>
      <c r="F150" s="21" t="str">
        <f aca="false">IF(Variants!$D151="","",Variants!$D151)</f>
        <v>Bracelet</v>
      </c>
      <c r="G150" s="21" t="str">
        <f aca="false">IF(Variants!$E151="","",Variants!$E151&amp;", Armenian jewellery, handmade")</f>
        <v>Alphabet, Armenian jewellery, handmade</v>
      </c>
      <c r="H150" s="21" t="str">
        <f aca="false">IF(Variants!$AD151="Active","TRUE","FALSE")</f>
        <v>TRUE</v>
      </c>
      <c r="I150" s="21" t="str">
        <f aca="false">IF(Variants!$H151="","","Color")</f>
        <v>Color</v>
      </c>
      <c r="J150" s="21" t="str">
        <f aca="false">IF(Variants!$H151="","",Variants!$H151)</f>
        <v>turquoise</v>
      </c>
      <c r="K150" s="21" t="str">
        <f aca="false">IF(Variants!$G151="","","Size")</f>
        <v/>
      </c>
      <c r="L150" s="21" t="str">
        <f aca="false">IF(Variants!$G151="","",Variants!$G151)</f>
        <v/>
      </c>
      <c r="M150" s="21" t="str">
        <f aca="false">Variants!$A151</f>
        <v>KARNI-BRAC-ALPHA-LYUN-TURQUOISE</v>
      </c>
      <c r="N150" s="21" t="str">
        <f aca="false">IF(Variants!$X151="","",Variants!$X151)</f>
        <v/>
      </c>
      <c r="O150" s="21" t="n">
        <f aca="false">IF(Variants!$O151="","",Variants!$O151)</f>
        <v>0</v>
      </c>
      <c r="P150" s="18" t="n">
        <f aca="false">IF(Variants!$J151="","",Variants!$J151)</f>
        <v>49.4</v>
      </c>
      <c r="Q150" s="21" t="str">
        <f aca="false">IF(Variants!$U151="","",Variants!$U151)</f>
        <v/>
      </c>
      <c r="R150" s="21" t="str">
        <f aca="false">IF(Variants!$Y151="","",Variants!$Y151)</f>
        <v/>
      </c>
      <c r="S150" s="21" t="n">
        <f aca="false">IFERROR(VLOOKUP(Variants!$B151,Designs!$A$3:$AP$165,37,FALSE()),"")</f>
        <v>0</v>
      </c>
      <c r="T150" s="21" t="str">
        <f aca="false">IFERROR(VLOOKUP(Variants!$B151,Designs!$A$3:$AP$165,38,FALSE()),"")</f>
        <v>No</v>
      </c>
      <c r="U150" s="21" t="str">
        <f aca="false">IF(Variants!$AD151="Active","active","draft")</f>
        <v>active</v>
      </c>
    </row>
    <row r="151" customFormat="false" ht="15.75" hidden="false" customHeight="true" outlineLevel="0" collapsed="false">
      <c r="A151" s="21" t="str">
        <f aca="false">IF(Variants!$B152="","",LOWER(Variants!$B152))</f>
        <v>dsgn-brac-alpha-lyun</v>
      </c>
      <c r="B151" s="21" t="str">
        <f aca="false">IF(Variants!$B152="","",Variants!$C152&amp;IF(Variants!$F152="",""," "&amp;Variants!$F152))</f>
        <v>Bird Letter Bracelet Լ</v>
      </c>
      <c r="C151" s="21" t="str">
        <f aca="false">IFERROR(IF(Variants!$B152="","","&lt;p&gt;"&amp;VLOOKUP(Variants!$B152,Designs!$A$3:$AP$165,9,FALSE())&amp;"&lt;/p&gt;"),"")</f>
        <v>&lt;p&gt;Bird letters are an ornamental medieval Armenian script where each letter is formed from stylised birds, used in illuminated manuscripts.&lt;/p&gt;</v>
      </c>
      <c r="D151" s="21" t="str">
        <f aca="false">IF(Variants!$B152="","","Karni Jewellery")</f>
        <v>Karni Jewellery</v>
      </c>
      <c r="E151" s="21" t="str">
        <f aca="false">IF(Variants!$B152="","","Apparel &amp; Accessories &gt; Jewelry")</f>
        <v>Apparel &amp; Accessories &gt; Jewelry</v>
      </c>
      <c r="F151" s="21" t="str">
        <f aca="false">IF(Variants!$D152="","",Variants!$D152)</f>
        <v>Bracelet</v>
      </c>
      <c r="G151" s="21" t="str">
        <f aca="false">IF(Variants!$E152="","",Variants!$E152&amp;", Armenian jewellery, handmade")</f>
        <v>Alphabet, Armenian jewellery, handmade</v>
      </c>
      <c r="H151" s="21" t="str">
        <f aca="false">IF(Variants!$AD152="Active","TRUE","FALSE")</f>
        <v>TRUE</v>
      </c>
      <c r="I151" s="21" t="str">
        <f aca="false">IF(Variants!$H152="","","Color")</f>
        <v>Color</v>
      </c>
      <c r="J151" s="21" t="str">
        <f aca="false">IF(Variants!$H152="","",Variants!$H152)</f>
        <v>white</v>
      </c>
      <c r="K151" s="21" t="str">
        <f aca="false">IF(Variants!$G152="","","Size")</f>
        <v/>
      </c>
      <c r="L151" s="21" t="str">
        <f aca="false">IF(Variants!$G152="","",Variants!$G152)</f>
        <v/>
      </c>
      <c r="M151" s="21" t="str">
        <f aca="false">Variants!$A152</f>
        <v>KARNI-BRAC-ALPHA-LYUN-WHITE</v>
      </c>
      <c r="N151" s="21" t="str">
        <f aca="false">IF(Variants!$X152="","",Variants!$X152)</f>
        <v/>
      </c>
      <c r="O151" s="21" t="n">
        <f aca="false">IF(Variants!$O152="","",Variants!$O152)</f>
        <v>0</v>
      </c>
      <c r="P151" s="18" t="n">
        <f aca="false">IF(Variants!$J152="","",Variants!$J152)</f>
        <v>49.4</v>
      </c>
      <c r="Q151" s="21" t="str">
        <f aca="false">IF(Variants!$U152="","",Variants!$U152)</f>
        <v/>
      </c>
      <c r="R151" s="21" t="str">
        <f aca="false">IF(Variants!$Y152="","",Variants!$Y152)</f>
        <v/>
      </c>
      <c r="S151" s="21" t="n">
        <f aca="false">IFERROR(VLOOKUP(Variants!$B152,Designs!$A$3:$AP$165,37,FALSE()),"")</f>
        <v>0</v>
      </c>
      <c r="T151" s="21" t="str">
        <f aca="false">IFERROR(VLOOKUP(Variants!$B152,Designs!$A$3:$AP$165,38,FALSE()),"")</f>
        <v>No</v>
      </c>
      <c r="U151" s="21" t="str">
        <f aca="false">IF(Variants!$AD152="Active","active","draft")</f>
        <v>active</v>
      </c>
    </row>
    <row r="152" customFormat="false" ht="15.75" hidden="false" customHeight="true" outlineLevel="0" collapsed="false">
      <c r="A152" s="21" t="str">
        <f aca="false">IF(Variants!$B153="","",LOWER(Variants!$B153))</f>
        <v>dsgn-brac-alpha-khe</v>
      </c>
      <c r="B152" s="21" t="str">
        <f aca="false">IF(Variants!$B153="","",Variants!$C153&amp;IF(Variants!$F153="",""," "&amp;Variants!$F153))</f>
        <v>Bird Letter Bracelet Խ</v>
      </c>
      <c r="C152" s="21" t="str">
        <f aca="false">IFERROR(IF(Variants!$B153="","","&lt;p&gt;"&amp;VLOOKUP(Variants!$B153,Designs!$A$3:$AP$165,9,FALSE())&amp;"&lt;/p&gt;"),"")</f>
        <v>&lt;p&gt;Bird letters are an ornamental medieval Armenian script where each letter is formed from stylised birds, used in illuminated manuscripts.&lt;/p&gt;</v>
      </c>
      <c r="D152" s="21" t="str">
        <f aca="false">IF(Variants!$B153="","","Karni Jewellery")</f>
        <v>Karni Jewellery</v>
      </c>
      <c r="E152" s="21" t="str">
        <f aca="false">IF(Variants!$B153="","","Apparel &amp; Accessories &gt; Jewelry")</f>
        <v>Apparel &amp; Accessories &gt; Jewelry</v>
      </c>
      <c r="F152" s="21" t="str">
        <f aca="false">IF(Variants!$D153="","",Variants!$D153)</f>
        <v>Bracelet</v>
      </c>
      <c r="G152" s="21" t="str">
        <f aca="false">IF(Variants!$E153="","",Variants!$E153&amp;", Armenian jewellery, handmade")</f>
        <v>Alphabet, Armenian jewellery, handmade</v>
      </c>
      <c r="H152" s="21" t="str">
        <f aca="false">IF(Variants!$AD153="Active","TRUE","FALSE")</f>
        <v>TRUE</v>
      </c>
      <c r="I152" s="21" t="str">
        <f aca="false">IF(Variants!$H153="","","Color")</f>
        <v>Color</v>
      </c>
      <c r="J152" s="21" t="str">
        <f aca="false">IF(Variants!$H153="","",Variants!$H153)</f>
        <v>red</v>
      </c>
      <c r="K152" s="21" t="str">
        <f aca="false">IF(Variants!$G153="","","Size")</f>
        <v/>
      </c>
      <c r="L152" s="21" t="str">
        <f aca="false">IF(Variants!$G153="","",Variants!$G153)</f>
        <v/>
      </c>
      <c r="M152" s="21" t="str">
        <f aca="false">Variants!$A153</f>
        <v>KARNI-BRAC-ALPHA-KHE-RED</v>
      </c>
      <c r="N152" s="21" t="str">
        <f aca="false">IF(Variants!$X153="","",Variants!$X153)</f>
        <v/>
      </c>
      <c r="O152" s="21" t="n">
        <f aca="false">IF(Variants!$O153="","",Variants!$O153)</f>
        <v>0</v>
      </c>
      <c r="P152" s="18" t="n">
        <f aca="false">IF(Variants!$J153="","",Variants!$J153)</f>
        <v>49.4</v>
      </c>
      <c r="Q152" s="21" t="str">
        <f aca="false">IF(Variants!$U153="","",Variants!$U153)</f>
        <v/>
      </c>
      <c r="R152" s="21" t="str">
        <f aca="false">IF(Variants!$Y153="","",Variants!$Y153)</f>
        <v/>
      </c>
      <c r="S152" s="21" t="n">
        <f aca="false">IFERROR(VLOOKUP(Variants!$B153,Designs!$A$3:$AP$165,37,FALSE()),"")</f>
        <v>0</v>
      </c>
      <c r="T152" s="21" t="str">
        <f aca="false">IFERROR(VLOOKUP(Variants!$B153,Designs!$A$3:$AP$165,38,FALSE()),"")</f>
        <v>No</v>
      </c>
      <c r="U152" s="21" t="str">
        <f aca="false">IF(Variants!$AD153="Active","active","draft")</f>
        <v>active</v>
      </c>
    </row>
    <row r="153" customFormat="false" ht="15.75" hidden="false" customHeight="true" outlineLevel="0" collapsed="false">
      <c r="A153" s="21" t="str">
        <f aca="false">IF(Variants!$B154="","",LOWER(Variants!$B154))</f>
        <v>dsgn-brac-alpha-khe</v>
      </c>
      <c r="B153" s="21" t="str">
        <f aca="false">IF(Variants!$B154="","",Variants!$C154&amp;IF(Variants!$F154="",""," "&amp;Variants!$F154))</f>
        <v>Bird Letter Bracelet Խ</v>
      </c>
      <c r="C153" s="21" t="str">
        <f aca="false">IFERROR(IF(Variants!$B154="","","&lt;p&gt;"&amp;VLOOKUP(Variants!$B154,Designs!$A$3:$AP$165,9,FALSE())&amp;"&lt;/p&gt;"),"")</f>
        <v>&lt;p&gt;Bird letters are an ornamental medieval Armenian script where each letter is formed from stylised birds, used in illuminated manuscripts.&lt;/p&gt;</v>
      </c>
      <c r="D153" s="21" t="str">
        <f aca="false">IF(Variants!$B154="","","Karni Jewellery")</f>
        <v>Karni Jewellery</v>
      </c>
      <c r="E153" s="21" t="str">
        <f aca="false">IF(Variants!$B154="","","Apparel &amp; Accessories &gt; Jewelry")</f>
        <v>Apparel &amp; Accessories &gt; Jewelry</v>
      </c>
      <c r="F153" s="21" t="str">
        <f aca="false">IF(Variants!$D154="","",Variants!$D154)</f>
        <v>Bracelet</v>
      </c>
      <c r="G153" s="21" t="str">
        <f aca="false">IF(Variants!$E154="","",Variants!$E154&amp;", Armenian jewellery, handmade")</f>
        <v>Alphabet, Armenian jewellery, handmade</v>
      </c>
      <c r="H153" s="21" t="str">
        <f aca="false">IF(Variants!$AD154="Active","TRUE","FALSE")</f>
        <v>TRUE</v>
      </c>
      <c r="I153" s="21" t="str">
        <f aca="false">IF(Variants!$H154="","","Color")</f>
        <v>Color</v>
      </c>
      <c r="J153" s="21" t="str">
        <f aca="false">IF(Variants!$H154="","",Variants!$H154)</f>
        <v>turquoise</v>
      </c>
      <c r="K153" s="21" t="str">
        <f aca="false">IF(Variants!$G154="","","Size")</f>
        <v/>
      </c>
      <c r="L153" s="21" t="str">
        <f aca="false">IF(Variants!$G154="","",Variants!$G154)</f>
        <v/>
      </c>
      <c r="M153" s="21" t="str">
        <f aca="false">Variants!$A154</f>
        <v>KARNI-BRAC-ALPHA-KHE-TURQUOISE</v>
      </c>
      <c r="N153" s="21" t="str">
        <f aca="false">IF(Variants!$X154="","",Variants!$X154)</f>
        <v/>
      </c>
      <c r="O153" s="21" t="n">
        <f aca="false">IF(Variants!$O154="","",Variants!$O154)</f>
        <v>0</v>
      </c>
      <c r="P153" s="18" t="n">
        <f aca="false">IF(Variants!$J154="","",Variants!$J154)</f>
        <v>49.4</v>
      </c>
      <c r="Q153" s="21" t="str">
        <f aca="false">IF(Variants!$U154="","",Variants!$U154)</f>
        <v/>
      </c>
      <c r="R153" s="21" t="str">
        <f aca="false">IF(Variants!$Y154="","",Variants!$Y154)</f>
        <v/>
      </c>
      <c r="S153" s="21" t="n">
        <f aca="false">IFERROR(VLOOKUP(Variants!$B154,Designs!$A$3:$AP$165,37,FALSE()),"")</f>
        <v>0</v>
      </c>
      <c r="T153" s="21" t="str">
        <f aca="false">IFERROR(VLOOKUP(Variants!$B154,Designs!$A$3:$AP$165,38,FALSE()),"")</f>
        <v>No</v>
      </c>
      <c r="U153" s="21" t="str">
        <f aca="false">IF(Variants!$AD154="Active","active","draft")</f>
        <v>active</v>
      </c>
    </row>
    <row r="154" customFormat="false" ht="15.75" hidden="false" customHeight="true" outlineLevel="0" collapsed="false">
      <c r="A154" s="21" t="str">
        <f aca="false">IF(Variants!$B155="","",LOWER(Variants!$B155))</f>
        <v>dsgn-brac-alpha-khe</v>
      </c>
      <c r="B154" s="21" t="str">
        <f aca="false">IF(Variants!$B155="","",Variants!$C155&amp;IF(Variants!$F155="",""," "&amp;Variants!$F155))</f>
        <v>Bird Letter Bracelet Խ</v>
      </c>
      <c r="C154" s="21" t="str">
        <f aca="false">IFERROR(IF(Variants!$B155="","","&lt;p&gt;"&amp;VLOOKUP(Variants!$B155,Designs!$A$3:$AP$165,9,FALSE())&amp;"&lt;/p&gt;"),"")</f>
        <v>&lt;p&gt;Bird letters are an ornamental medieval Armenian script where each letter is formed from stylised birds, used in illuminated manuscripts.&lt;/p&gt;</v>
      </c>
      <c r="D154" s="21" t="str">
        <f aca="false">IF(Variants!$B155="","","Karni Jewellery")</f>
        <v>Karni Jewellery</v>
      </c>
      <c r="E154" s="21" t="str">
        <f aca="false">IF(Variants!$B155="","","Apparel &amp; Accessories &gt; Jewelry")</f>
        <v>Apparel &amp; Accessories &gt; Jewelry</v>
      </c>
      <c r="F154" s="21" t="str">
        <f aca="false">IF(Variants!$D155="","",Variants!$D155)</f>
        <v>Bracelet</v>
      </c>
      <c r="G154" s="21" t="str">
        <f aca="false">IF(Variants!$E155="","",Variants!$E155&amp;", Armenian jewellery, handmade")</f>
        <v>Alphabet, Armenian jewellery, handmade</v>
      </c>
      <c r="H154" s="21" t="str">
        <f aca="false">IF(Variants!$AD155="Active","TRUE","FALSE")</f>
        <v>TRUE</v>
      </c>
      <c r="I154" s="21" t="str">
        <f aca="false">IF(Variants!$H155="","","Color")</f>
        <v>Color</v>
      </c>
      <c r="J154" s="21" t="str">
        <f aca="false">IF(Variants!$H155="","",Variants!$H155)</f>
        <v>white</v>
      </c>
      <c r="K154" s="21" t="str">
        <f aca="false">IF(Variants!$G155="","","Size")</f>
        <v/>
      </c>
      <c r="L154" s="21" t="str">
        <f aca="false">IF(Variants!$G155="","",Variants!$G155)</f>
        <v/>
      </c>
      <c r="M154" s="21" t="str">
        <f aca="false">Variants!$A155</f>
        <v>KARNI-BRAC-ALPHA-KHE-WHITE</v>
      </c>
      <c r="N154" s="21" t="str">
        <f aca="false">IF(Variants!$X155="","",Variants!$X155)</f>
        <v/>
      </c>
      <c r="O154" s="21" t="n">
        <f aca="false">IF(Variants!$O155="","",Variants!$O155)</f>
        <v>0</v>
      </c>
      <c r="P154" s="18" t="n">
        <f aca="false">IF(Variants!$J155="","",Variants!$J155)</f>
        <v>49.4</v>
      </c>
      <c r="Q154" s="21" t="str">
        <f aca="false">IF(Variants!$U155="","",Variants!$U155)</f>
        <v/>
      </c>
      <c r="R154" s="21" t="str">
        <f aca="false">IF(Variants!$Y155="","",Variants!$Y155)</f>
        <v/>
      </c>
      <c r="S154" s="21" t="n">
        <f aca="false">IFERROR(VLOOKUP(Variants!$B155,Designs!$A$3:$AP$165,37,FALSE()),"")</f>
        <v>0</v>
      </c>
      <c r="T154" s="21" t="str">
        <f aca="false">IFERROR(VLOOKUP(Variants!$B155,Designs!$A$3:$AP$165,38,FALSE()),"")</f>
        <v>No</v>
      </c>
      <c r="U154" s="21" t="str">
        <f aca="false">IF(Variants!$AD155="Active","active","draft")</f>
        <v>active</v>
      </c>
    </row>
    <row r="155" customFormat="false" ht="15.75" hidden="false" customHeight="true" outlineLevel="0" collapsed="false">
      <c r="A155" s="21" t="str">
        <f aca="false">IF(Variants!$B156="","",LOWER(Variants!$B156))</f>
        <v>dsgn-brac-alpha-tsa</v>
      </c>
      <c r="B155" s="21" t="str">
        <f aca="false">IF(Variants!$B156="","",Variants!$C156&amp;IF(Variants!$F156="",""," "&amp;Variants!$F156))</f>
        <v>Bird Letter Bracelet Ծ</v>
      </c>
      <c r="C155" s="21" t="str">
        <f aca="false">IFERROR(IF(Variants!$B156="","","&lt;p&gt;"&amp;VLOOKUP(Variants!$B156,Designs!$A$3:$AP$165,9,FALSE())&amp;"&lt;/p&gt;"),"")</f>
        <v>&lt;p&gt;Bird letters are an ornamental medieval Armenian script where each letter is formed from stylised birds, used in illuminated manuscripts.&lt;/p&gt;</v>
      </c>
      <c r="D155" s="21" t="str">
        <f aca="false">IF(Variants!$B156="","","Karni Jewellery")</f>
        <v>Karni Jewellery</v>
      </c>
      <c r="E155" s="21" t="str">
        <f aca="false">IF(Variants!$B156="","","Apparel &amp; Accessories &gt; Jewelry")</f>
        <v>Apparel &amp; Accessories &gt; Jewelry</v>
      </c>
      <c r="F155" s="21" t="str">
        <f aca="false">IF(Variants!$D156="","",Variants!$D156)</f>
        <v>Bracelet</v>
      </c>
      <c r="G155" s="21" t="str">
        <f aca="false">IF(Variants!$E156="","",Variants!$E156&amp;", Armenian jewellery, handmade")</f>
        <v>Alphabet, Armenian jewellery, handmade</v>
      </c>
      <c r="H155" s="21" t="str">
        <f aca="false">IF(Variants!$AD156="Active","TRUE","FALSE")</f>
        <v>TRUE</v>
      </c>
      <c r="I155" s="21" t="str">
        <f aca="false">IF(Variants!$H156="","","Color")</f>
        <v>Color</v>
      </c>
      <c r="J155" s="21" t="str">
        <f aca="false">IF(Variants!$H156="","",Variants!$H156)</f>
        <v>red</v>
      </c>
      <c r="K155" s="21" t="str">
        <f aca="false">IF(Variants!$G156="","","Size")</f>
        <v/>
      </c>
      <c r="L155" s="21" t="str">
        <f aca="false">IF(Variants!$G156="","",Variants!$G156)</f>
        <v/>
      </c>
      <c r="M155" s="21" t="str">
        <f aca="false">Variants!$A156</f>
        <v>KARNI-BRAC-ALPHA-TSA-RED</v>
      </c>
      <c r="N155" s="21" t="str">
        <f aca="false">IF(Variants!$X156="","",Variants!$X156)</f>
        <v/>
      </c>
      <c r="O155" s="21" t="n">
        <f aca="false">IF(Variants!$O156="","",Variants!$O156)</f>
        <v>0</v>
      </c>
      <c r="P155" s="18" t="n">
        <f aca="false">IF(Variants!$J156="","",Variants!$J156)</f>
        <v>49.4</v>
      </c>
      <c r="Q155" s="21" t="str">
        <f aca="false">IF(Variants!$U156="","",Variants!$U156)</f>
        <v/>
      </c>
      <c r="R155" s="21" t="str">
        <f aca="false">IF(Variants!$Y156="","",Variants!$Y156)</f>
        <v/>
      </c>
      <c r="S155" s="21" t="n">
        <f aca="false">IFERROR(VLOOKUP(Variants!$B156,Designs!$A$3:$AP$165,37,FALSE()),"")</f>
        <v>0</v>
      </c>
      <c r="T155" s="21" t="str">
        <f aca="false">IFERROR(VLOOKUP(Variants!$B156,Designs!$A$3:$AP$165,38,FALSE()),"")</f>
        <v>No</v>
      </c>
      <c r="U155" s="21" t="str">
        <f aca="false">IF(Variants!$AD156="Active","active","draft")</f>
        <v>active</v>
      </c>
    </row>
    <row r="156" customFormat="false" ht="15.75" hidden="false" customHeight="true" outlineLevel="0" collapsed="false">
      <c r="A156" s="21" t="str">
        <f aca="false">IF(Variants!$B157="","",LOWER(Variants!$B157))</f>
        <v>dsgn-brac-alpha-tsa</v>
      </c>
      <c r="B156" s="21" t="str">
        <f aca="false">IF(Variants!$B157="","",Variants!$C157&amp;IF(Variants!$F157="",""," "&amp;Variants!$F157))</f>
        <v>Bird Letter Bracelet Ծ</v>
      </c>
      <c r="C156" s="21" t="str">
        <f aca="false">IFERROR(IF(Variants!$B157="","","&lt;p&gt;"&amp;VLOOKUP(Variants!$B157,Designs!$A$3:$AP$165,9,FALSE())&amp;"&lt;/p&gt;"),"")</f>
        <v>&lt;p&gt;Bird letters are an ornamental medieval Armenian script where each letter is formed from stylised birds, used in illuminated manuscripts.&lt;/p&gt;</v>
      </c>
      <c r="D156" s="21" t="str">
        <f aca="false">IF(Variants!$B157="","","Karni Jewellery")</f>
        <v>Karni Jewellery</v>
      </c>
      <c r="E156" s="21" t="str">
        <f aca="false">IF(Variants!$B157="","","Apparel &amp; Accessories &gt; Jewelry")</f>
        <v>Apparel &amp; Accessories &gt; Jewelry</v>
      </c>
      <c r="F156" s="21" t="str">
        <f aca="false">IF(Variants!$D157="","",Variants!$D157)</f>
        <v>Bracelet</v>
      </c>
      <c r="G156" s="21" t="str">
        <f aca="false">IF(Variants!$E157="","",Variants!$E157&amp;", Armenian jewellery, handmade")</f>
        <v>Alphabet, Armenian jewellery, handmade</v>
      </c>
      <c r="H156" s="21" t="str">
        <f aca="false">IF(Variants!$AD157="Active","TRUE","FALSE")</f>
        <v>TRUE</v>
      </c>
      <c r="I156" s="21" t="str">
        <f aca="false">IF(Variants!$H157="","","Color")</f>
        <v>Color</v>
      </c>
      <c r="J156" s="21" t="str">
        <f aca="false">IF(Variants!$H157="","",Variants!$H157)</f>
        <v>turquoise</v>
      </c>
      <c r="K156" s="21" t="str">
        <f aca="false">IF(Variants!$G157="","","Size")</f>
        <v/>
      </c>
      <c r="L156" s="21" t="str">
        <f aca="false">IF(Variants!$G157="","",Variants!$G157)</f>
        <v/>
      </c>
      <c r="M156" s="21" t="str">
        <f aca="false">Variants!$A157</f>
        <v>KARNI-BRAC-ALPHA-TSA-TURQUOISE</v>
      </c>
      <c r="N156" s="21" t="str">
        <f aca="false">IF(Variants!$X157="","",Variants!$X157)</f>
        <v/>
      </c>
      <c r="O156" s="21" t="n">
        <f aca="false">IF(Variants!$O157="","",Variants!$O157)</f>
        <v>0</v>
      </c>
      <c r="P156" s="18" t="n">
        <f aca="false">IF(Variants!$J157="","",Variants!$J157)</f>
        <v>49.4</v>
      </c>
      <c r="Q156" s="21" t="str">
        <f aca="false">IF(Variants!$U157="","",Variants!$U157)</f>
        <v/>
      </c>
      <c r="R156" s="21" t="str">
        <f aca="false">IF(Variants!$Y157="","",Variants!$Y157)</f>
        <v/>
      </c>
      <c r="S156" s="21" t="n">
        <f aca="false">IFERROR(VLOOKUP(Variants!$B157,Designs!$A$3:$AP$165,37,FALSE()),"")</f>
        <v>0</v>
      </c>
      <c r="T156" s="21" t="str">
        <f aca="false">IFERROR(VLOOKUP(Variants!$B157,Designs!$A$3:$AP$165,38,FALSE()),"")</f>
        <v>No</v>
      </c>
      <c r="U156" s="21" t="str">
        <f aca="false">IF(Variants!$AD157="Active","active","draft")</f>
        <v>active</v>
      </c>
    </row>
    <row r="157" customFormat="false" ht="15.75" hidden="false" customHeight="true" outlineLevel="0" collapsed="false">
      <c r="A157" s="21" t="str">
        <f aca="false">IF(Variants!$B158="","",LOWER(Variants!$B158))</f>
        <v>dsgn-brac-alpha-tsa</v>
      </c>
      <c r="B157" s="21" t="str">
        <f aca="false">IF(Variants!$B158="","",Variants!$C158&amp;IF(Variants!$F158="",""," "&amp;Variants!$F158))</f>
        <v>Bird Letter Bracelet Ծ</v>
      </c>
      <c r="C157" s="21" t="str">
        <f aca="false">IFERROR(IF(Variants!$B158="","","&lt;p&gt;"&amp;VLOOKUP(Variants!$B158,Designs!$A$3:$AP$165,9,FALSE())&amp;"&lt;/p&gt;"),"")</f>
        <v>&lt;p&gt;Bird letters are an ornamental medieval Armenian script where each letter is formed from stylised birds, used in illuminated manuscripts.&lt;/p&gt;</v>
      </c>
      <c r="D157" s="21" t="str">
        <f aca="false">IF(Variants!$B158="","","Karni Jewellery")</f>
        <v>Karni Jewellery</v>
      </c>
      <c r="E157" s="21" t="str">
        <f aca="false">IF(Variants!$B158="","","Apparel &amp; Accessories &gt; Jewelry")</f>
        <v>Apparel &amp; Accessories &gt; Jewelry</v>
      </c>
      <c r="F157" s="21" t="str">
        <f aca="false">IF(Variants!$D158="","",Variants!$D158)</f>
        <v>Bracelet</v>
      </c>
      <c r="G157" s="21" t="str">
        <f aca="false">IF(Variants!$E158="","",Variants!$E158&amp;", Armenian jewellery, handmade")</f>
        <v>Alphabet, Armenian jewellery, handmade</v>
      </c>
      <c r="H157" s="21" t="str">
        <f aca="false">IF(Variants!$AD158="Active","TRUE","FALSE")</f>
        <v>TRUE</v>
      </c>
      <c r="I157" s="21" t="str">
        <f aca="false">IF(Variants!$H158="","","Color")</f>
        <v>Color</v>
      </c>
      <c r="J157" s="21" t="str">
        <f aca="false">IF(Variants!$H158="","",Variants!$H158)</f>
        <v>white</v>
      </c>
      <c r="K157" s="21" t="str">
        <f aca="false">IF(Variants!$G158="","","Size")</f>
        <v/>
      </c>
      <c r="L157" s="21" t="str">
        <f aca="false">IF(Variants!$G158="","",Variants!$G158)</f>
        <v/>
      </c>
      <c r="M157" s="21" t="str">
        <f aca="false">Variants!$A158</f>
        <v>KARNI-BRAC-ALPHA-TSA-WHITE</v>
      </c>
      <c r="N157" s="21" t="str">
        <f aca="false">IF(Variants!$X158="","",Variants!$X158)</f>
        <v/>
      </c>
      <c r="O157" s="21" t="n">
        <f aca="false">IF(Variants!$O158="","",Variants!$O158)</f>
        <v>0</v>
      </c>
      <c r="P157" s="18" t="n">
        <f aca="false">IF(Variants!$J158="","",Variants!$J158)</f>
        <v>49.4</v>
      </c>
      <c r="Q157" s="21" t="str">
        <f aca="false">IF(Variants!$U158="","",Variants!$U158)</f>
        <v/>
      </c>
      <c r="R157" s="21" t="str">
        <f aca="false">IF(Variants!$Y158="","",Variants!$Y158)</f>
        <v/>
      </c>
      <c r="S157" s="21" t="n">
        <f aca="false">IFERROR(VLOOKUP(Variants!$B158,Designs!$A$3:$AP$165,37,FALSE()),"")</f>
        <v>0</v>
      </c>
      <c r="T157" s="21" t="str">
        <f aca="false">IFERROR(VLOOKUP(Variants!$B158,Designs!$A$3:$AP$165,38,FALSE()),"")</f>
        <v>No</v>
      </c>
      <c r="U157" s="21" t="str">
        <f aca="false">IF(Variants!$AD158="Active","active","draft")</f>
        <v>active</v>
      </c>
    </row>
    <row r="158" customFormat="false" ht="15.75" hidden="false" customHeight="true" outlineLevel="0" collapsed="false">
      <c r="A158" s="21" t="str">
        <f aca="false">IF(Variants!$B159="","",LOWER(Variants!$B159))</f>
        <v>dsgn-brac-alpha-ken</v>
      </c>
      <c r="B158" s="21" t="str">
        <f aca="false">IF(Variants!$B159="","",Variants!$C159&amp;IF(Variants!$F159="",""," "&amp;Variants!$F159))</f>
        <v>Bird Letter Bracelet Կ</v>
      </c>
      <c r="C158" s="21" t="str">
        <f aca="false">IFERROR(IF(Variants!$B159="","","&lt;p&gt;"&amp;VLOOKUP(Variants!$B159,Designs!$A$3:$AP$165,9,FALSE())&amp;"&lt;/p&gt;"),"")</f>
        <v>&lt;p&gt;Bird letters are an ornamental medieval Armenian script where each letter is formed from stylised birds, used in illuminated manuscripts.&lt;/p&gt;</v>
      </c>
      <c r="D158" s="21" t="str">
        <f aca="false">IF(Variants!$B159="","","Karni Jewellery")</f>
        <v>Karni Jewellery</v>
      </c>
      <c r="E158" s="21" t="str">
        <f aca="false">IF(Variants!$B159="","","Apparel &amp; Accessories &gt; Jewelry")</f>
        <v>Apparel &amp; Accessories &gt; Jewelry</v>
      </c>
      <c r="F158" s="21" t="str">
        <f aca="false">IF(Variants!$D159="","",Variants!$D159)</f>
        <v>Bracelet</v>
      </c>
      <c r="G158" s="21" t="str">
        <f aca="false">IF(Variants!$E159="","",Variants!$E159&amp;", Armenian jewellery, handmade")</f>
        <v>Alphabet, Armenian jewellery, handmade</v>
      </c>
      <c r="H158" s="21" t="str">
        <f aca="false">IF(Variants!$AD159="Active","TRUE","FALSE")</f>
        <v>TRUE</v>
      </c>
      <c r="I158" s="21" t="str">
        <f aca="false">IF(Variants!$H159="","","Color")</f>
        <v>Color</v>
      </c>
      <c r="J158" s="21" t="str">
        <f aca="false">IF(Variants!$H159="","",Variants!$H159)</f>
        <v>red</v>
      </c>
      <c r="K158" s="21" t="str">
        <f aca="false">IF(Variants!$G159="","","Size")</f>
        <v/>
      </c>
      <c r="L158" s="21" t="str">
        <f aca="false">IF(Variants!$G159="","",Variants!$G159)</f>
        <v/>
      </c>
      <c r="M158" s="21" t="str">
        <f aca="false">Variants!$A159</f>
        <v>KARNI-BRAC-ALPHA-KEN-RED</v>
      </c>
      <c r="N158" s="21" t="str">
        <f aca="false">IF(Variants!$X159="","",Variants!$X159)</f>
        <v/>
      </c>
      <c r="O158" s="21" t="n">
        <f aca="false">IF(Variants!$O159="","",Variants!$O159)</f>
        <v>0</v>
      </c>
      <c r="P158" s="18" t="n">
        <f aca="false">IF(Variants!$J159="","",Variants!$J159)</f>
        <v>49.4</v>
      </c>
      <c r="Q158" s="21" t="str">
        <f aca="false">IF(Variants!$U159="","",Variants!$U159)</f>
        <v/>
      </c>
      <c r="R158" s="21" t="str">
        <f aca="false">IF(Variants!$Y159="","",Variants!$Y159)</f>
        <v/>
      </c>
      <c r="S158" s="21" t="n">
        <f aca="false">IFERROR(VLOOKUP(Variants!$B159,Designs!$A$3:$AP$165,37,FALSE()),"")</f>
        <v>0</v>
      </c>
      <c r="T158" s="21" t="str">
        <f aca="false">IFERROR(VLOOKUP(Variants!$B159,Designs!$A$3:$AP$165,38,FALSE()),"")</f>
        <v>No</v>
      </c>
      <c r="U158" s="21" t="str">
        <f aca="false">IF(Variants!$AD159="Active","active","draft")</f>
        <v>active</v>
      </c>
    </row>
    <row r="159" customFormat="false" ht="15.75" hidden="false" customHeight="true" outlineLevel="0" collapsed="false">
      <c r="A159" s="21" t="str">
        <f aca="false">IF(Variants!$B160="","",LOWER(Variants!$B160))</f>
        <v>dsgn-brac-alpha-ken</v>
      </c>
      <c r="B159" s="21" t="str">
        <f aca="false">IF(Variants!$B160="","",Variants!$C160&amp;IF(Variants!$F160="",""," "&amp;Variants!$F160))</f>
        <v>Bird Letter Bracelet Կ</v>
      </c>
      <c r="C159" s="21" t="str">
        <f aca="false">IFERROR(IF(Variants!$B160="","","&lt;p&gt;"&amp;VLOOKUP(Variants!$B160,Designs!$A$3:$AP$165,9,FALSE())&amp;"&lt;/p&gt;"),"")</f>
        <v>&lt;p&gt;Bird letters are an ornamental medieval Armenian script where each letter is formed from stylised birds, used in illuminated manuscripts.&lt;/p&gt;</v>
      </c>
      <c r="D159" s="21" t="str">
        <f aca="false">IF(Variants!$B160="","","Karni Jewellery")</f>
        <v>Karni Jewellery</v>
      </c>
      <c r="E159" s="21" t="str">
        <f aca="false">IF(Variants!$B160="","","Apparel &amp; Accessories &gt; Jewelry")</f>
        <v>Apparel &amp; Accessories &gt; Jewelry</v>
      </c>
      <c r="F159" s="21" t="str">
        <f aca="false">IF(Variants!$D160="","",Variants!$D160)</f>
        <v>Bracelet</v>
      </c>
      <c r="G159" s="21" t="str">
        <f aca="false">IF(Variants!$E160="","",Variants!$E160&amp;", Armenian jewellery, handmade")</f>
        <v>Alphabet, Armenian jewellery, handmade</v>
      </c>
      <c r="H159" s="21" t="str">
        <f aca="false">IF(Variants!$AD160="Active","TRUE","FALSE")</f>
        <v>TRUE</v>
      </c>
      <c r="I159" s="21" t="str">
        <f aca="false">IF(Variants!$H160="","","Color")</f>
        <v>Color</v>
      </c>
      <c r="J159" s="21" t="str">
        <f aca="false">IF(Variants!$H160="","",Variants!$H160)</f>
        <v>turquoise</v>
      </c>
      <c r="K159" s="21" t="str">
        <f aca="false">IF(Variants!$G160="","","Size")</f>
        <v/>
      </c>
      <c r="L159" s="21" t="str">
        <f aca="false">IF(Variants!$G160="","",Variants!$G160)</f>
        <v/>
      </c>
      <c r="M159" s="21" t="str">
        <f aca="false">Variants!$A160</f>
        <v>KARNI-BRAC-ALPHA-KEN-TURQUOISE</v>
      </c>
      <c r="N159" s="21" t="str">
        <f aca="false">IF(Variants!$X160="","",Variants!$X160)</f>
        <v/>
      </c>
      <c r="O159" s="21" t="n">
        <f aca="false">IF(Variants!$O160="","",Variants!$O160)</f>
        <v>0</v>
      </c>
      <c r="P159" s="18" t="n">
        <f aca="false">IF(Variants!$J160="","",Variants!$J160)</f>
        <v>49.4</v>
      </c>
      <c r="Q159" s="21" t="str">
        <f aca="false">IF(Variants!$U160="","",Variants!$U160)</f>
        <v/>
      </c>
      <c r="R159" s="21" t="str">
        <f aca="false">IF(Variants!$Y160="","",Variants!$Y160)</f>
        <v/>
      </c>
      <c r="S159" s="21" t="n">
        <f aca="false">IFERROR(VLOOKUP(Variants!$B160,Designs!$A$3:$AP$165,37,FALSE()),"")</f>
        <v>0</v>
      </c>
      <c r="T159" s="21" t="str">
        <f aca="false">IFERROR(VLOOKUP(Variants!$B160,Designs!$A$3:$AP$165,38,FALSE()),"")</f>
        <v>No</v>
      </c>
      <c r="U159" s="21" t="str">
        <f aca="false">IF(Variants!$AD160="Active","active","draft")</f>
        <v>active</v>
      </c>
    </row>
    <row r="160" customFormat="false" ht="15.75" hidden="false" customHeight="true" outlineLevel="0" collapsed="false">
      <c r="A160" s="21" t="str">
        <f aca="false">IF(Variants!$B161="","",LOWER(Variants!$B161))</f>
        <v>dsgn-brac-alpha-ken</v>
      </c>
      <c r="B160" s="21" t="str">
        <f aca="false">IF(Variants!$B161="","",Variants!$C161&amp;IF(Variants!$F161="",""," "&amp;Variants!$F161))</f>
        <v>Bird Letter Bracelet Կ</v>
      </c>
      <c r="C160" s="21" t="str">
        <f aca="false">IFERROR(IF(Variants!$B161="","","&lt;p&gt;"&amp;VLOOKUP(Variants!$B161,Designs!$A$3:$AP$165,9,FALSE())&amp;"&lt;/p&gt;"),"")</f>
        <v>&lt;p&gt;Bird letters are an ornamental medieval Armenian script where each letter is formed from stylised birds, used in illuminated manuscripts.&lt;/p&gt;</v>
      </c>
      <c r="D160" s="21" t="str">
        <f aca="false">IF(Variants!$B161="","","Karni Jewellery")</f>
        <v>Karni Jewellery</v>
      </c>
      <c r="E160" s="21" t="str">
        <f aca="false">IF(Variants!$B161="","","Apparel &amp; Accessories &gt; Jewelry")</f>
        <v>Apparel &amp; Accessories &gt; Jewelry</v>
      </c>
      <c r="F160" s="21" t="str">
        <f aca="false">IF(Variants!$D161="","",Variants!$D161)</f>
        <v>Bracelet</v>
      </c>
      <c r="G160" s="21" t="str">
        <f aca="false">IF(Variants!$E161="","",Variants!$E161&amp;", Armenian jewellery, handmade")</f>
        <v>Alphabet, Armenian jewellery, handmade</v>
      </c>
      <c r="H160" s="21" t="str">
        <f aca="false">IF(Variants!$AD161="Active","TRUE","FALSE")</f>
        <v>TRUE</v>
      </c>
      <c r="I160" s="21" t="str">
        <f aca="false">IF(Variants!$H161="","","Color")</f>
        <v>Color</v>
      </c>
      <c r="J160" s="21" t="str">
        <f aca="false">IF(Variants!$H161="","",Variants!$H161)</f>
        <v>white</v>
      </c>
      <c r="K160" s="21" t="str">
        <f aca="false">IF(Variants!$G161="","","Size")</f>
        <v/>
      </c>
      <c r="L160" s="21" t="str">
        <f aca="false">IF(Variants!$G161="","",Variants!$G161)</f>
        <v/>
      </c>
      <c r="M160" s="21" t="str">
        <f aca="false">Variants!$A161</f>
        <v>KARNI-BRAC-ALPHA-KEN-WHITE</v>
      </c>
      <c r="N160" s="21" t="str">
        <f aca="false">IF(Variants!$X161="","",Variants!$X161)</f>
        <v/>
      </c>
      <c r="O160" s="21" t="n">
        <f aca="false">IF(Variants!$O161="","",Variants!$O161)</f>
        <v>0</v>
      </c>
      <c r="P160" s="18" t="n">
        <f aca="false">IF(Variants!$J161="","",Variants!$J161)</f>
        <v>49.4</v>
      </c>
      <c r="Q160" s="21" t="str">
        <f aca="false">IF(Variants!$U161="","",Variants!$U161)</f>
        <v/>
      </c>
      <c r="R160" s="21" t="str">
        <f aca="false">IF(Variants!$Y161="","",Variants!$Y161)</f>
        <v/>
      </c>
      <c r="S160" s="21" t="n">
        <f aca="false">IFERROR(VLOOKUP(Variants!$B161,Designs!$A$3:$AP$165,37,FALSE()),"")</f>
        <v>0</v>
      </c>
      <c r="T160" s="21" t="str">
        <f aca="false">IFERROR(VLOOKUP(Variants!$B161,Designs!$A$3:$AP$165,38,FALSE()),"")</f>
        <v>No</v>
      </c>
      <c r="U160" s="21" t="str">
        <f aca="false">IF(Variants!$AD161="Active","active","draft")</f>
        <v>active</v>
      </c>
    </row>
    <row r="161" customFormat="false" ht="15.75" hidden="false" customHeight="true" outlineLevel="0" collapsed="false">
      <c r="A161" s="21" t="str">
        <f aca="false">IF(Variants!$B162="","",LOWER(Variants!$B162))</f>
        <v>dsgn-brac-alpha-ho</v>
      </c>
      <c r="B161" s="21" t="str">
        <f aca="false">IF(Variants!$B162="","",Variants!$C162&amp;IF(Variants!$F162="",""," "&amp;Variants!$F162))</f>
        <v>Bird Letter Bracelet Հ</v>
      </c>
      <c r="C161" s="21" t="str">
        <f aca="false">IFERROR(IF(Variants!$B162="","","&lt;p&gt;"&amp;VLOOKUP(Variants!$B162,Designs!$A$3:$AP$165,9,FALSE())&amp;"&lt;/p&gt;"),"")</f>
        <v>&lt;p&gt;Bird letters are an ornamental medieval Armenian script where each letter is formed from stylised birds, used in illuminated manuscripts.&lt;/p&gt;</v>
      </c>
      <c r="D161" s="21" t="str">
        <f aca="false">IF(Variants!$B162="","","Karni Jewellery")</f>
        <v>Karni Jewellery</v>
      </c>
      <c r="E161" s="21" t="str">
        <f aca="false">IF(Variants!$B162="","","Apparel &amp; Accessories &gt; Jewelry")</f>
        <v>Apparel &amp; Accessories &gt; Jewelry</v>
      </c>
      <c r="F161" s="21" t="str">
        <f aca="false">IF(Variants!$D162="","",Variants!$D162)</f>
        <v>Bracelet</v>
      </c>
      <c r="G161" s="21" t="str">
        <f aca="false">IF(Variants!$E162="","",Variants!$E162&amp;", Armenian jewellery, handmade")</f>
        <v>Alphabet, Armenian jewellery, handmade</v>
      </c>
      <c r="H161" s="21" t="str">
        <f aca="false">IF(Variants!$AD162="Active","TRUE","FALSE")</f>
        <v>TRUE</v>
      </c>
      <c r="I161" s="21" t="str">
        <f aca="false">IF(Variants!$H162="","","Color")</f>
        <v>Color</v>
      </c>
      <c r="J161" s="21" t="str">
        <f aca="false">IF(Variants!$H162="","",Variants!$H162)</f>
        <v>red</v>
      </c>
      <c r="K161" s="21" t="str">
        <f aca="false">IF(Variants!$G162="","","Size")</f>
        <v/>
      </c>
      <c r="L161" s="21" t="str">
        <f aca="false">IF(Variants!$G162="","",Variants!$G162)</f>
        <v/>
      </c>
      <c r="M161" s="21" t="str">
        <f aca="false">Variants!$A162</f>
        <v>KARNI-BRAC-ALPHA-HO-RED</v>
      </c>
      <c r="N161" s="21" t="str">
        <f aca="false">IF(Variants!$X162="","",Variants!$X162)</f>
        <v/>
      </c>
      <c r="O161" s="21" t="n">
        <f aca="false">IF(Variants!$O162="","",Variants!$O162)</f>
        <v>0</v>
      </c>
      <c r="P161" s="18" t="n">
        <f aca="false">IF(Variants!$J162="","",Variants!$J162)</f>
        <v>49.4</v>
      </c>
      <c r="Q161" s="21" t="str">
        <f aca="false">IF(Variants!$U162="","",Variants!$U162)</f>
        <v/>
      </c>
      <c r="R161" s="21" t="str">
        <f aca="false">IF(Variants!$Y162="","",Variants!$Y162)</f>
        <v/>
      </c>
      <c r="S161" s="21" t="n">
        <f aca="false">IFERROR(VLOOKUP(Variants!$B162,Designs!$A$3:$AP$165,37,FALSE()),"")</f>
        <v>0</v>
      </c>
      <c r="T161" s="21" t="str">
        <f aca="false">IFERROR(VLOOKUP(Variants!$B162,Designs!$A$3:$AP$165,38,FALSE()),"")</f>
        <v>No</v>
      </c>
      <c r="U161" s="21" t="str">
        <f aca="false">IF(Variants!$AD162="Active","active","draft")</f>
        <v>active</v>
      </c>
    </row>
    <row r="162" customFormat="false" ht="15.75" hidden="false" customHeight="true" outlineLevel="0" collapsed="false">
      <c r="A162" s="21" t="str">
        <f aca="false">IF(Variants!$B163="","",LOWER(Variants!$B163))</f>
        <v>dsgn-brac-alpha-ho</v>
      </c>
      <c r="B162" s="21" t="str">
        <f aca="false">IF(Variants!$B163="","",Variants!$C163&amp;IF(Variants!$F163="",""," "&amp;Variants!$F163))</f>
        <v>Bird Letter Bracelet Հ</v>
      </c>
      <c r="C162" s="21" t="str">
        <f aca="false">IFERROR(IF(Variants!$B163="","","&lt;p&gt;"&amp;VLOOKUP(Variants!$B163,Designs!$A$3:$AP$165,9,FALSE())&amp;"&lt;/p&gt;"),"")</f>
        <v>&lt;p&gt;Bird letters are an ornamental medieval Armenian script where each letter is formed from stylised birds, used in illuminated manuscripts.&lt;/p&gt;</v>
      </c>
      <c r="D162" s="21" t="str">
        <f aca="false">IF(Variants!$B163="","","Karni Jewellery")</f>
        <v>Karni Jewellery</v>
      </c>
      <c r="E162" s="21" t="str">
        <f aca="false">IF(Variants!$B163="","","Apparel &amp; Accessories &gt; Jewelry")</f>
        <v>Apparel &amp; Accessories &gt; Jewelry</v>
      </c>
      <c r="F162" s="21" t="str">
        <f aca="false">IF(Variants!$D163="","",Variants!$D163)</f>
        <v>Bracelet</v>
      </c>
      <c r="G162" s="21" t="str">
        <f aca="false">IF(Variants!$E163="","",Variants!$E163&amp;", Armenian jewellery, handmade")</f>
        <v>Alphabet, Armenian jewellery, handmade</v>
      </c>
      <c r="H162" s="21" t="str">
        <f aca="false">IF(Variants!$AD163="Active","TRUE","FALSE")</f>
        <v>TRUE</v>
      </c>
      <c r="I162" s="21" t="str">
        <f aca="false">IF(Variants!$H163="","","Color")</f>
        <v>Color</v>
      </c>
      <c r="J162" s="21" t="str">
        <f aca="false">IF(Variants!$H163="","",Variants!$H163)</f>
        <v>turquoise</v>
      </c>
      <c r="K162" s="21" t="str">
        <f aca="false">IF(Variants!$G163="","","Size")</f>
        <v/>
      </c>
      <c r="L162" s="21" t="str">
        <f aca="false">IF(Variants!$G163="","",Variants!$G163)</f>
        <v/>
      </c>
      <c r="M162" s="21" t="str">
        <f aca="false">Variants!$A163</f>
        <v>KARNI-BRAC-ALPHA-HO-TURQUOISE</v>
      </c>
      <c r="N162" s="21" t="str">
        <f aca="false">IF(Variants!$X163="","",Variants!$X163)</f>
        <v/>
      </c>
      <c r="O162" s="21" t="n">
        <f aca="false">IF(Variants!$O163="","",Variants!$O163)</f>
        <v>0</v>
      </c>
      <c r="P162" s="18" t="n">
        <f aca="false">IF(Variants!$J163="","",Variants!$J163)</f>
        <v>49.4</v>
      </c>
      <c r="Q162" s="21" t="str">
        <f aca="false">IF(Variants!$U163="","",Variants!$U163)</f>
        <v/>
      </c>
      <c r="R162" s="21" t="str">
        <f aca="false">IF(Variants!$Y163="","",Variants!$Y163)</f>
        <v/>
      </c>
      <c r="S162" s="21" t="n">
        <f aca="false">IFERROR(VLOOKUP(Variants!$B163,Designs!$A$3:$AP$165,37,FALSE()),"")</f>
        <v>0</v>
      </c>
      <c r="T162" s="21" t="str">
        <f aca="false">IFERROR(VLOOKUP(Variants!$B163,Designs!$A$3:$AP$165,38,FALSE()),"")</f>
        <v>No</v>
      </c>
      <c r="U162" s="21" t="str">
        <f aca="false">IF(Variants!$AD163="Active","active","draft")</f>
        <v>active</v>
      </c>
    </row>
    <row r="163" customFormat="false" ht="15.75" hidden="false" customHeight="true" outlineLevel="0" collapsed="false">
      <c r="A163" s="21" t="str">
        <f aca="false">IF(Variants!$B164="","",LOWER(Variants!$B164))</f>
        <v>dsgn-brac-alpha-ho</v>
      </c>
      <c r="B163" s="21" t="str">
        <f aca="false">IF(Variants!$B164="","",Variants!$C164&amp;IF(Variants!$F164="",""," "&amp;Variants!$F164))</f>
        <v>Bird Letter Bracelet Հ</v>
      </c>
      <c r="C163" s="21" t="str">
        <f aca="false">IFERROR(IF(Variants!$B164="","","&lt;p&gt;"&amp;VLOOKUP(Variants!$B164,Designs!$A$3:$AP$165,9,FALSE())&amp;"&lt;/p&gt;"),"")</f>
        <v>&lt;p&gt;Bird letters are an ornamental medieval Armenian script where each letter is formed from stylised birds, used in illuminated manuscripts.&lt;/p&gt;</v>
      </c>
      <c r="D163" s="21" t="str">
        <f aca="false">IF(Variants!$B164="","","Karni Jewellery")</f>
        <v>Karni Jewellery</v>
      </c>
      <c r="E163" s="21" t="str">
        <f aca="false">IF(Variants!$B164="","","Apparel &amp; Accessories &gt; Jewelry")</f>
        <v>Apparel &amp; Accessories &gt; Jewelry</v>
      </c>
      <c r="F163" s="21" t="str">
        <f aca="false">IF(Variants!$D164="","",Variants!$D164)</f>
        <v>Bracelet</v>
      </c>
      <c r="G163" s="21" t="str">
        <f aca="false">IF(Variants!$E164="","",Variants!$E164&amp;", Armenian jewellery, handmade")</f>
        <v>Alphabet, Armenian jewellery, handmade</v>
      </c>
      <c r="H163" s="21" t="str">
        <f aca="false">IF(Variants!$AD164="Active","TRUE","FALSE")</f>
        <v>TRUE</v>
      </c>
      <c r="I163" s="21" t="str">
        <f aca="false">IF(Variants!$H164="","","Color")</f>
        <v>Color</v>
      </c>
      <c r="J163" s="21" t="str">
        <f aca="false">IF(Variants!$H164="","",Variants!$H164)</f>
        <v>white</v>
      </c>
      <c r="K163" s="21" t="str">
        <f aca="false">IF(Variants!$G164="","","Size")</f>
        <v/>
      </c>
      <c r="L163" s="21" t="str">
        <f aca="false">IF(Variants!$G164="","",Variants!$G164)</f>
        <v/>
      </c>
      <c r="M163" s="21" t="str">
        <f aca="false">Variants!$A164</f>
        <v>KARNI-BRAC-ALPHA-HO-WHITE</v>
      </c>
      <c r="N163" s="21" t="str">
        <f aca="false">IF(Variants!$X164="","",Variants!$X164)</f>
        <v/>
      </c>
      <c r="O163" s="21" t="n">
        <f aca="false">IF(Variants!$O164="","",Variants!$O164)</f>
        <v>0</v>
      </c>
      <c r="P163" s="18" t="n">
        <f aca="false">IF(Variants!$J164="","",Variants!$J164)</f>
        <v>49.4</v>
      </c>
      <c r="Q163" s="21" t="str">
        <f aca="false">IF(Variants!$U164="","",Variants!$U164)</f>
        <v/>
      </c>
      <c r="R163" s="21" t="str">
        <f aca="false">IF(Variants!$Y164="","",Variants!$Y164)</f>
        <v/>
      </c>
      <c r="S163" s="21" t="n">
        <f aca="false">IFERROR(VLOOKUP(Variants!$B164,Designs!$A$3:$AP$165,37,FALSE()),"")</f>
        <v>0</v>
      </c>
      <c r="T163" s="21" t="str">
        <f aca="false">IFERROR(VLOOKUP(Variants!$B164,Designs!$A$3:$AP$165,38,FALSE()),"")</f>
        <v>No</v>
      </c>
      <c r="U163" s="21" t="str">
        <f aca="false">IF(Variants!$AD164="Active","active","draft")</f>
        <v>active</v>
      </c>
    </row>
    <row r="164" customFormat="false" ht="15.75" hidden="false" customHeight="true" outlineLevel="0" collapsed="false">
      <c r="A164" s="21" t="str">
        <f aca="false">IF(Variants!$B165="","",LOWER(Variants!$B165))</f>
        <v>dsgn-brac-alpha-dza</v>
      </c>
      <c r="B164" s="21" t="str">
        <f aca="false">IF(Variants!$B165="","",Variants!$C165&amp;IF(Variants!$F165="",""," "&amp;Variants!$F165))</f>
        <v>Bird Letter Bracelet Ձ</v>
      </c>
      <c r="C164" s="21" t="str">
        <f aca="false">IFERROR(IF(Variants!$B165="","","&lt;p&gt;"&amp;VLOOKUP(Variants!$B165,Designs!$A$3:$AP$165,9,FALSE())&amp;"&lt;/p&gt;"),"")</f>
        <v>&lt;p&gt;Bird letters are an ornamental medieval Armenian script where each letter is formed from stylised birds, used in illuminated manuscripts.&lt;/p&gt;</v>
      </c>
      <c r="D164" s="21" t="str">
        <f aca="false">IF(Variants!$B165="","","Karni Jewellery")</f>
        <v>Karni Jewellery</v>
      </c>
      <c r="E164" s="21" t="str">
        <f aca="false">IF(Variants!$B165="","","Apparel &amp; Accessories &gt; Jewelry")</f>
        <v>Apparel &amp; Accessories &gt; Jewelry</v>
      </c>
      <c r="F164" s="21" t="str">
        <f aca="false">IF(Variants!$D165="","",Variants!$D165)</f>
        <v>Bracelet</v>
      </c>
      <c r="G164" s="21" t="str">
        <f aca="false">IF(Variants!$E165="","",Variants!$E165&amp;", Armenian jewellery, handmade")</f>
        <v>Alphabet, Armenian jewellery, handmade</v>
      </c>
      <c r="H164" s="21" t="str">
        <f aca="false">IF(Variants!$AD165="Active","TRUE","FALSE")</f>
        <v>TRUE</v>
      </c>
      <c r="I164" s="21" t="str">
        <f aca="false">IF(Variants!$H165="","","Color")</f>
        <v>Color</v>
      </c>
      <c r="J164" s="21" t="str">
        <f aca="false">IF(Variants!$H165="","",Variants!$H165)</f>
        <v>red</v>
      </c>
      <c r="K164" s="21" t="str">
        <f aca="false">IF(Variants!$G165="","","Size")</f>
        <v/>
      </c>
      <c r="L164" s="21" t="str">
        <f aca="false">IF(Variants!$G165="","",Variants!$G165)</f>
        <v/>
      </c>
      <c r="M164" s="21" t="str">
        <f aca="false">Variants!$A165</f>
        <v>KARNI-BRAC-ALPHA-DZA-RED</v>
      </c>
      <c r="N164" s="21" t="str">
        <f aca="false">IF(Variants!$X165="","",Variants!$X165)</f>
        <v/>
      </c>
      <c r="O164" s="21" t="n">
        <f aca="false">IF(Variants!$O165="","",Variants!$O165)</f>
        <v>0</v>
      </c>
      <c r="P164" s="18" t="n">
        <f aca="false">IF(Variants!$J165="","",Variants!$J165)</f>
        <v>49.4</v>
      </c>
      <c r="Q164" s="21" t="str">
        <f aca="false">IF(Variants!$U165="","",Variants!$U165)</f>
        <v/>
      </c>
      <c r="R164" s="21" t="str">
        <f aca="false">IF(Variants!$Y165="","",Variants!$Y165)</f>
        <v/>
      </c>
      <c r="S164" s="21" t="n">
        <f aca="false">IFERROR(VLOOKUP(Variants!$B165,Designs!$A$3:$AP$165,37,FALSE()),"")</f>
        <v>0</v>
      </c>
      <c r="T164" s="21" t="str">
        <f aca="false">IFERROR(VLOOKUP(Variants!$B165,Designs!$A$3:$AP$165,38,FALSE()),"")</f>
        <v>No</v>
      </c>
      <c r="U164" s="21" t="str">
        <f aca="false">IF(Variants!$AD165="Active","active","draft")</f>
        <v>active</v>
      </c>
    </row>
    <row r="165" customFormat="false" ht="15.75" hidden="false" customHeight="true" outlineLevel="0" collapsed="false">
      <c r="A165" s="21" t="str">
        <f aca="false">IF(Variants!$B166="","",LOWER(Variants!$B166))</f>
        <v>dsgn-brac-alpha-dza</v>
      </c>
      <c r="B165" s="21" t="str">
        <f aca="false">IF(Variants!$B166="","",Variants!$C166&amp;IF(Variants!$F166="",""," "&amp;Variants!$F166))</f>
        <v>Bird Letter Bracelet Ձ</v>
      </c>
      <c r="C165" s="21" t="str">
        <f aca="false">IFERROR(IF(Variants!$B166="","","&lt;p&gt;"&amp;VLOOKUP(Variants!$B166,Designs!$A$3:$AP$165,9,FALSE())&amp;"&lt;/p&gt;"),"")</f>
        <v>&lt;p&gt;Bird letters are an ornamental medieval Armenian script where each letter is formed from stylised birds, used in illuminated manuscripts.&lt;/p&gt;</v>
      </c>
      <c r="D165" s="21" t="str">
        <f aca="false">IF(Variants!$B166="","","Karni Jewellery")</f>
        <v>Karni Jewellery</v>
      </c>
      <c r="E165" s="21" t="str">
        <f aca="false">IF(Variants!$B166="","","Apparel &amp; Accessories &gt; Jewelry")</f>
        <v>Apparel &amp; Accessories &gt; Jewelry</v>
      </c>
      <c r="F165" s="21" t="str">
        <f aca="false">IF(Variants!$D166="","",Variants!$D166)</f>
        <v>Bracelet</v>
      </c>
      <c r="G165" s="21" t="str">
        <f aca="false">IF(Variants!$E166="","",Variants!$E166&amp;", Armenian jewellery, handmade")</f>
        <v>Alphabet, Armenian jewellery, handmade</v>
      </c>
      <c r="H165" s="21" t="str">
        <f aca="false">IF(Variants!$AD166="Active","TRUE","FALSE")</f>
        <v>TRUE</v>
      </c>
      <c r="I165" s="21" t="str">
        <f aca="false">IF(Variants!$H166="","","Color")</f>
        <v>Color</v>
      </c>
      <c r="J165" s="21" t="str">
        <f aca="false">IF(Variants!$H166="","",Variants!$H166)</f>
        <v>turquoise</v>
      </c>
      <c r="K165" s="21" t="str">
        <f aca="false">IF(Variants!$G166="","","Size")</f>
        <v/>
      </c>
      <c r="L165" s="21" t="str">
        <f aca="false">IF(Variants!$G166="","",Variants!$G166)</f>
        <v/>
      </c>
      <c r="M165" s="21" t="str">
        <f aca="false">Variants!$A166</f>
        <v>KARNI-BRAC-ALPHA-DZA-TURQUOISE</v>
      </c>
      <c r="N165" s="21" t="str">
        <f aca="false">IF(Variants!$X166="","",Variants!$X166)</f>
        <v/>
      </c>
      <c r="O165" s="21" t="n">
        <f aca="false">IF(Variants!$O166="","",Variants!$O166)</f>
        <v>0</v>
      </c>
      <c r="P165" s="18" t="n">
        <f aca="false">IF(Variants!$J166="","",Variants!$J166)</f>
        <v>49.4</v>
      </c>
      <c r="Q165" s="21" t="str">
        <f aca="false">IF(Variants!$U166="","",Variants!$U166)</f>
        <v/>
      </c>
      <c r="R165" s="21" t="str">
        <f aca="false">IF(Variants!$Y166="","",Variants!$Y166)</f>
        <v/>
      </c>
      <c r="S165" s="21" t="n">
        <f aca="false">IFERROR(VLOOKUP(Variants!$B166,Designs!$A$3:$AP$165,37,FALSE()),"")</f>
        <v>0</v>
      </c>
      <c r="T165" s="21" t="str">
        <f aca="false">IFERROR(VLOOKUP(Variants!$B166,Designs!$A$3:$AP$165,38,FALSE()),"")</f>
        <v>No</v>
      </c>
      <c r="U165" s="21" t="str">
        <f aca="false">IF(Variants!$AD166="Active","active","draft")</f>
        <v>active</v>
      </c>
    </row>
    <row r="166" customFormat="false" ht="15.75" hidden="false" customHeight="true" outlineLevel="0" collapsed="false">
      <c r="A166" s="21" t="str">
        <f aca="false">IF(Variants!$B167="","",LOWER(Variants!$B167))</f>
        <v>dsgn-brac-alpha-dza</v>
      </c>
      <c r="B166" s="21" t="str">
        <f aca="false">IF(Variants!$B167="","",Variants!$C167&amp;IF(Variants!$F167="",""," "&amp;Variants!$F167))</f>
        <v>Bird Letter Bracelet Ձ</v>
      </c>
      <c r="C166" s="21" t="str">
        <f aca="false">IFERROR(IF(Variants!$B167="","","&lt;p&gt;"&amp;VLOOKUP(Variants!$B167,Designs!$A$3:$AP$165,9,FALSE())&amp;"&lt;/p&gt;"),"")</f>
        <v>&lt;p&gt;Bird letters are an ornamental medieval Armenian script where each letter is formed from stylised birds, used in illuminated manuscripts.&lt;/p&gt;</v>
      </c>
      <c r="D166" s="21" t="str">
        <f aca="false">IF(Variants!$B167="","","Karni Jewellery")</f>
        <v>Karni Jewellery</v>
      </c>
      <c r="E166" s="21" t="str">
        <f aca="false">IF(Variants!$B167="","","Apparel &amp; Accessories &gt; Jewelry")</f>
        <v>Apparel &amp; Accessories &gt; Jewelry</v>
      </c>
      <c r="F166" s="21" t="str">
        <f aca="false">IF(Variants!$D167="","",Variants!$D167)</f>
        <v>Bracelet</v>
      </c>
      <c r="G166" s="21" t="str">
        <f aca="false">IF(Variants!$E167="","",Variants!$E167&amp;", Armenian jewellery, handmade")</f>
        <v>Alphabet, Armenian jewellery, handmade</v>
      </c>
      <c r="H166" s="21" t="str">
        <f aca="false">IF(Variants!$AD167="Active","TRUE","FALSE")</f>
        <v>TRUE</v>
      </c>
      <c r="I166" s="21" t="str">
        <f aca="false">IF(Variants!$H167="","","Color")</f>
        <v>Color</v>
      </c>
      <c r="J166" s="21" t="str">
        <f aca="false">IF(Variants!$H167="","",Variants!$H167)</f>
        <v>white</v>
      </c>
      <c r="K166" s="21" t="str">
        <f aca="false">IF(Variants!$G167="","","Size")</f>
        <v/>
      </c>
      <c r="L166" s="21" t="str">
        <f aca="false">IF(Variants!$G167="","",Variants!$G167)</f>
        <v/>
      </c>
      <c r="M166" s="21" t="str">
        <f aca="false">Variants!$A167</f>
        <v>KARNI-BRAC-ALPHA-DZA-WHITE</v>
      </c>
      <c r="N166" s="21" t="str">
        <f aca="false">IF(Variants!$X167="","",Variants!$X167)</f>
        <v/>
      </c>
      <c r="O166" s="21" t="n">
        <f aca="false">IF(Variants!$O167="","",Variants!$O167)</f>
        <v>0</v>
      </c>
      <c r="P166" s="18" t="n">
        <f aca="false">IF(Variants!$J167="","",Variants!$J167)</f>
        <v>49.4</v>
      </c>
      <c r="Q166" s="21" t="str">
        <f aca="false">IF(Variants!$U167="","",Variants!$U167)</f>
        <v/>
      </c>
      <c r="R166" s="21" t="str">
        <f aca="false">IF(Variants!$Y167="","",Variants!$Y167)</f>
        <v/>
      </c>
      <c r="S166" s="21" t="n">
        <f aca="false">IFERROR(VLOOKUP(Variants!$B167,Designs!$A$3:$AP$165,37,FALSE()),"")</f>
        <v>0</v>
      </c>
      <c r="T166" s="21" t="str">
        <f aca="false">IFERROR(VLOOKUP(Variants!$B167,Designs!$A$3:$AP$165,38,FALSE()),"")</f>
        <v>No</v>
      </c>
      <c r="U166" s="21" t="str">
        <f aca="false">IF(Variants!$AD167="Active","active","draft")</f>
        <v>active</v>
      </c>
    </row>
    <row r="167" customFormat="false" ht="15.75" hidden="false" customHeight="true" outlineLevel="0" collapsed="false">
      <c r="A167" s="21" t="str">
        <f aca="false">IF(Variants!$B168="","",LOWER(Variants!$B168))</f>
        <v>dsgn-brac-alpha-ghat</v>
      </c>
      <c r="B167" s="21" t="str">
        <f aca="false">IF(Variants!$B168="","",Variants!$C168&amp;IF(Variants!$F168="",""," "&amp;Variants!$F168))</f>
        <v>Bird Letter Bracelet Ղ</v>
      </c>
      <c r="C167" s="21" t="str">
        <f aca="false">IFERROR(IF(Variants!$B168="","","&lt;p&gt;"&amp;VLOOKUP(Variants!$B168,Designs!$A$3:$AP$165,9,FALSE())&amp;"&lt;/p&gt;"),"")</f>
        <v>&lt;p&gt;Bird letters are an ornamental medieval Armenian script where each letter is formed from stylised birds, used in illuminated manuscripts.&lt;/p&gt;</v>
      </c>
      <c r="D167" s="21" t="str">
        <f aca="false">IF(Variants!$B168="","","Karni Jewellery")</f>
        <v>Karni Jewellery</v>
      </c>
      <c r="E167" s="21" t="str">
        <f aca="false">IF(Variants!$B168="","","Apparel &amp; Accessories &gt; Jewelry")</f>
        <v>Apparel &amp; Accessories &gt; Jewelry</v>
      </c>
      <c r="F167" s="21" t="str">
        <f aca="false">IF(Variants!$D168="","",Variants!$D168)</f>
        <v>Bracelet</v>
      </c>
      <c r="G167" s="21" t="str">
        <f aca="false">IF(Variants!$E168="","",Variants!$E168&amp;", Armenian jewellery, handmade")</f>
        <v>Alphabet, Armenian jewellery, handmade</v>
      </c>
      <c r="H167" s="21" t="str">
        <f aca="false">IF(Variants!$AD168="Active","TRUE","FALSE")</f>
        <v>TRUE</v>
      </c>
      <c r="I167" s="21" t="str">
        <f aca="false">IF(Variants!$H168="","","Color")</f>
        <v>Color</v>
      </c>
      <c r="J167" s="21" t="str">
        <f aca="false">IF(Variants!$H168="","",Variants!$H168)</f>
        <v>red</v>
      </c>
      <c r="K167" s="21" t="str">
        <f aca="false">IF(Variants!$G168="","","Size")</f>
        <v/>
      </c>
      <c r="L167" s="21" t="str">
        <f aca="false">IF(Variants!$G168="","",Variants!$G168)</f>
        <v/>
      </c>
      <c r="M167" s="21" t="str">
        <f aca="false">Variants!$A168</f>
        <v>KARNI-BRAC-ALPHA-GHAT-RED</v>
      </c>
      <c r="N167" s="21" t="str">
        <f aca="false">IF(Variants!$X168="","",Variants!$X168)</f>
        <v/>
      </c>
      <c r="O167" s="21" t="n">
        <f aca="false">IF(Variants!$O168="","",Variants!$O168)</f>
        <v>0</v>
      </c>
      <c r="P167" s="18" t="n">
        <f aca="false">IF(Variants!$J168="","",Variants!$J168)</f>
        <v>49.4</v>
      </c>
      <c r="Q167" s="21" t="str">
        <f aca="false">IF(Variants!$U168="","",Variants!$U168)</f>
        <v/>
      </c>
      <c r="R167" s="21" t="str">
        <f aca="false">IF(Variants!$Y168="","",Variants!$Y168)</f>
        <v/>
      </c>
      <c r="S167" s="21" t="n">
        <f aca="false">IFERROR(VLOOKUP(Variants!$B168,Designs!$A$3:$AP$165,37,FALSE()),"")</f>
        <v>0</v>
      </c>
      <c r="T167" s="21" t="str">
        <f aca="false">IFERROR(VLOOKUP(Variants!$B168,Designs!$A$3:$AP$165,38,FALSE()),"")</f>
        <v>No</v>
      </c>
      <c r="U167" s="21" t="str">
        <f aca="false">IF(Variants!$AD168="Active","active","draft")</f>
        <v>active</v>
      </c>
    </row>
    <row r="168" customFormat="false" ht="15.75" hidden="false" customHeight="true" outlineLevel="0" collapsed="false">
      <c r="A168" s="21" t="str">
        <f aca="false">IF(Variants!$B169="","",LOWER(Variants!$B169))</f>
        <v>dsgn-brac-alpha-ghat</v>
      </c>
      <c r="B168" s="21" t="str">
        <f aca="false">IF(Variants!$B169="","",Variants!$C169&amp;IF(Variants!$F169="",""," "&amp;Variants!$F169))</f>
        <v>Bird Letter Bracelet Ղ</v>
      </c>
      <c r="C168" s="21" t="str">
        <f aca="false">IFERROR(IF(Variants!$B169="","","&lt;p&gt;"&amp;VLOOKUP(Variants!$B169,Designs!$A$3:$AP$165,9,FALSE())&amp;"&lt;/p&gt;"),"")</f>
        <v>&lt;p&gt;Bird letters are an ornamental medieval Armenian script where each letter is formed from stylised birds, used in illuminated manuscripts.&lt;/p&gt;</v>
      </c>
      <c r="D168" s="21" t="str">
        <f aca="false">IF(Variants!$B169="","","Karni Jewellery")</f>
        <v>Karni Jewellery</v>
      </c>
      <c r="E168" s="21" t="str">
        <f aca="false">IF(Variants!$B169="","","Apparel &amp; Accessories &gt; Jewelry")</f>
        <v>Apparel &amp; Accessories &gt; Jewelry</v>
      </c>
      <c r="F168" s="21" t="str">
        <f aca="false">IF(Variants!$D169="","",Variants!$D169)</f>
        <v>Bracelet</v>
      </c>
      <c r="G168" s="21" t="str">
        <f aca="false">IF(Variants!$E169="","",Variants!$E169&amp;", Armenian jewellery, handmade")</f>
        <v>Alphabet, Armenian jewellery, handmade</v>
      </c>
      <c r="H168" s="21" t="str">
        <f aca="false">IF(Variants!$AD169="Active","TRUE","FALSE")</f>
        <v>TRUE</v>
      </c>
      <c r="I168" s="21" t="str">
        <f aca="false">IF(Variants!$H169="","","Color")</f>
        <v>Color</v>
      </c>
      <c r="J168" s="21" t="str">
        <f aca="false">IF(Variants!$H169="","",Variants!$H169)</f>
        <v>turquoise</v>
      </c>
      <c r="K168" s="21" t="str">
        <f aca="false">IF(Variants!$G169="","","Size")</f>
        <v/>
      </c>
      <c r="L168" s="21" t="str">
        <f aca="false">IF(Variants!$G169="","",Variants!$G169)</f>
        <v/>
      </c>
      <c r="M168" s="21" t="str">
        <f aca="false">Variants!$A169</f>
        <v>KARNI-BRAC-ALPHA-GHAT-TURQUOISE</v>
      </c>
      <c r="N168" s="21" t="str">
        <f aca="false">IF(Variants!$X169="","",Variants!$X169)</f>
        <v/>
      </c>
      <c r="O168" s="21" t="n">
        <f aca="false">IF(Variants!$O169="","",Variants!$O169)</f>
        <v>0</v>
      </c>
      <c r="P168" s="18" t="n">
        <f aca="false">IF(Variants!$J169="","",Variants!$J169)</f>
        <v>49.4</v>
      </c>
      <c r="Q168" s="21" t="str">
        <f aca="false">IF(Variants!$U169="","",Variants!$U169)</f>
        <v/>
      </c>
      <c r="R168" s="21" t="str">
        <f aca="false">IF(Variants!$Y169="","",Variants!$Y169)</f>
        <v/>
      </c>
      <c r="S168" s="21" t="n">
        <f aca="false">IFERROR(VLOOKUP(Variants!$B169,Designs!$A$3:$AP$165,37,FALSE()),"")</f>
        <v>0</v>
      </c>
      <c r="T168" s="21" t="str">
        <f aca="false">IFERROR(VLOOKUP(Variants!$B169,Designs!$A$3:$AP$165,38,FALSE()),"")</f>
        <v>No</v>
      </c>
      <c r="U168" s="21" t="str">
        <f aca="false">IF(Variants!$AD169="Active","active","draft")</f>
        <v>active</v>
      </c>
    </row>
    <row r="169" customFormat="false" ht="15.75" hidden="false" customHeight="true" outlineLevel="0" collapsed="false">
      <c r="A169" s="21" t="str">
        <f aca="false">IF(Variants!$B170="","",LOWER(Variants!$B170))</f>
        <v>dsgn-brac-alpha-ghat</v>
      </c>
      <c r="B169" s="21" t="str">
        <f aca="false">IF(Variants!$B170="","",Variants!$C170&amp;IF(Variants!$F170="",""," "&amp;Variants!$F170))</f>
        <v>Bird Letter Bracelet Ղ</v>
      </c>
      <c r="C169" s="21" t="str">
        <f aca="false">IFERROR(IF(Variants!$B170="","","&lt;p&gt;"&amp;VLOOKUP(Variants!$B170,Designs!$A$3:$AP$165,9,FALSE())&amp;"&lt;/p&gt;"),"")</f>
        <v>&lt;p&gt;Bird letters are an ornamental medieval Armenian script where each letter is formed from stylised birds, used in illuminated manuscripts.&lt;/p&gt;</v>
      </c>
      <c r="D169" s="21" t="str">
        <f aca="false">IF(Variants!$B170="","","Karni Jewellery")</f>
        <v>Karni Jewellery</v>
      </c>
      <c r="E169" s="21" t="str">
        <f aca="false">IF(Variants!$B170="","","Apparel &amp; Accessories &gt; Jewelry")</f>
        <v>Apparel &amp; Accessories &gt; Jewelry</v>
      </c>
      <c r="F169" s="21" t="str">
        <f aca="false">IF(Variants!$D170="","",Variants!$D170)</f>
        <v>Bracelet</v>
      </c>
      <c r="G169" s="21" t="str">
        <f aca="false">IF(Variants!$E170="","",Variants!$E170&amp;", Armenian jewellery, handmade")</f>
        <v>Alphabet, Armenian jewellery, handmade</v>
      </c>
      <c r="H169" s="21" t="str">
        <f aca="false">IF(Variants!$AD170="Active","TRUE","FALSE")</f>
        <v>TRUE</v>
      </c>
      <c r="I169" s="21" t="str">
        <f aca="false">IF(Variants!$H170="","","Color")</f>
        <v>Color</v>
      </c>
      <c r="J169" s="21" t="str">
        <f aca="false">IF(Variants!$H170="","",Variants!$H170)</f>
        <v>white</v>
      </c>
      <c r="K169" s="21" t="str">
        <f aca="false">IF(Variants!$G170="","","Size")</f>
        <v/>
      </c>
      <c r="L169" s="21" t="str">
        <f aca="false">IF(Variants!$G170="","",Variants!$G170)</f>
        <v/>
      </c>
      <c r="M169" s="21" t="str">
        <f aca="false">Variants!$A170</f>
        <v>KARNI-BRAC-ALPHA-GHAT-WHITE</v>
      </c>
      <c r="N169" s="21" t="str">
        <f aca="false">IF(Variants!$X170="","",Variants!$X170)</f>
        <v/>
      </c>
      <c r="O169" s="21" t="n">
        <f aca="false">IF(Variants!$O170="","",Variants!$O170)</f>
        <v>0</v>
      </c>
      <c r="P169" s="18" t="n">
        <f aca="false">IF(Variants!$J170="","",Variants!$J170)</f>
        <v>49.4</v>
      </c>
      <c r="Q169" s="21" t="str">
        <f aca="false">IF(Variants!$U170="","",Variants!$U170)</f>
        <v/>
      </c>
      <c r="R169" s="21" t="str">
        <f aca="false">IF(Variants!$Y170="","",Variants!$Y170)</f>
        <v/>
      </c>
      <c r="S169" s="21" t="n">
        <f aca="false">IFERROR(VLOOKUP(Variants!$B170,Designs!$A$3:$AP$165,37,FALSE()),"")</f>
        <v>0</v>
      </c>
      <c r="T169" s="21" t="str">
        <f aca="false">IFERROR(VLOOKUP(Variants!$B170,Designs!$A$3:$AP$165,38,FALSE()),"")</f>
        <v>No</v>
      </c>
      <c r="U169" s="21" t="str">
        <f aca="false">IF(Variants!$AD170="Active","active","draft")</f>
        <v>active</v>
      </c>
    </row>
    <row r="170" customFormat="false" ht="15.75" hidden="false" customHeight="true" outlineLevel="0" collapsed="false">
      <c r="A170" s="21" t="str">
        <f aca="false">IF(Variants!$B171="","",LOWER(Variants!$B171))</f>
        <v>dsgn-brac-alpha-cheh</v>
      </c>
      <c r="B170" s="21" t="str">
        <f aca="false">IF(Variants!$B171="","",Variants!$C171&amp;IF(Variants!$F171="",""," "&amp;Variants!$F171))</f>
        <v>Bird Letter Bracelet Ճ</v>
      </c>
      <c r="C170" s="21" t="str">
        <f aca="false">IFERROR(IF(Variants!$B171="","","&lt;p&gt;"&amp;VLOOKUP(Variants!$B171,Designs!$A$3:$AP$165,9,FALSE())&amp;"&lt;/p&gt;"),"")</f>
        <v>&lt;p&gt;Bird letters are an ornamental medieval Armenian script where each letter is formed from stylised birds, used in illuminated manuscripts.&lt;/p&gt;</v>
      </c>
      <c r="D170" s="21" t="str">
        <f aca="false">IF(Variants!$B171="","","Karni Jewellery")</f>
        <v>Karni Jewellery</v>
      </c>
      <c r="E170" s="21" t="str">
        <f aca="false">IF(Variants!$B171="","","Apparel &amp; Accessories &gt; Jewelry")</f>
        <v>Apparel &amp; Accessories &gt; Jewelry</v>
      </c>
      <c r="F170" s="21" t="str">
        <f aca="false">IF(Variants!$D171="","",Variants!$D171)</f>
        <v>Bracelet</v>
      </c>
      <c r="G170" s="21" t="str">
        <f aca="false">IF(Variants!$E171="","",Variants!$E171&amp;", Armenian jewellery, handmade")</f>
        <v>Alphabet, Armenian jewellery, handmade</v>
      </c>
      <c r="H170" s="21" t="str">
        <f aca="false">IF(Variants!$AD171="Active","TRUE","FALSE")</f>
        <v>TRUE</v>
      </c>
      <c r="I170" s="21" t="str">
        <f aca="false">IF(Variants!$H171="","","Color")</f>
        <v>Color</v>
      </c>
      <c r="J170" s="21" t="str">
        <f aca="false">IF(Variants!$H171="","",Variants!$H171)</f>
        <v>red</v>
      </c>
      <c r="K170" s="21" t="str">
        <f aca="false">IF(Variants!$G171="","","Size")</f>
        <v/>
      </c>
      <c r="L170" s="21" t="str">
        <f aca="false">IF(Variants!$G171="","",Variants!$G171)</f>
        <v/>
      </c>
      <c r="M170" s="21" t="str">
        <f aca="false">Variants!$A171</f>
        <v>KARNI-BRAC-ALPHA-CHEH-RED</v>
      </c>
      <c r="N170" s="21" t="str">
        <f aca="false">IF(Variants!$X171="","",Variants!$X171)</f>
        <v/>
      </c>
      <c r="O170" s="21" t="n">
        <f aca="false">IF(Variants!$O171="","",Variants!$O171)</f>
        <v>0</v>
      </c>
      <c r="P170" s="18" t="n">
        <f aca="false">IF(Variants!$J171="","",Variants!$J171)</f>
        <v>49.4</v>
      </c>
      <c r="Q170" s="21" t="str">
        <f aca="false">IF(Variants!$U171="","",Variants!$U171)</f>
        <v/>
      </c>
      <c r="R170" s="21" t="str">
        <f aca="false">IF(Variants!$Y171="","",Variants!$Y171)</f>
        <v/>
      </c>
      <c r="S170" s="21" t="n">
        <f aca="false">IFERROR(VLOOKUP(Variants!$B171,Designs!$A$3:$AP$165,37,FALSE()),"")</f>
        <v>0</v>
      </c>
      <c r="T170" s="21" t="str">
        <f aca="false">IFERROR(VLOOKUP(Variants!$B171,Designs!$A$3:$AP$165,38,FALSE()),"")</f>
        <v>No</v>
      </c>
      <c r="U170" s="21" t="str">
        <f aca="false">IF(Variants!$AD171="Active","active","draft")</f>
        <v>active</v>
      </c>
    </row>
    <row r="171" customFormat="false" ht="15.75" hidden="false" customHeight="true" outlineLevel="0" collapsed="false">
      <c r="A171" s="21" t="str">
        <f aca="false">IF(Variants!$B172="","",LOWER(Variants!$B172))</f>
        <v>dsgn-brac-alpha-cheh</v>
      </c>
      <c r="B171" s="21" t="str">
        <f aca="false">IF(Variants!$B172="","",Variants!$C172&amp;IF(Variants!$F172="",""," "&amp;Variants!$F172))</f>
        <v>Bird Letter Bracelet Ճ</v>
      </c>
      <c r="C171" s="21" t="str">
        <f aca="false">IFERROR(IF(Variants!$B172="","","&lt;p&gt;"&amp;VLOOKUP(Variants!$B172,Designs!$A$3:$AP$165,9,FALSE())&amp;"&lt;/p&gt;"),"")</f>
        <v>&lt;p&gt;Bird letters are an ornamental medieval Armenian script where each letter is formed from stylised birds, used in illuminated manuscripts.&lt;/p&gt;</v>
      </c>
      <c r="D171" s="21" t="str">
        <f aca="false">IF(Variants!$B172="","","Karni Jewellery")</f>
        <v>Karni Jewellery</v>
      </c>
      <c r="E171" s="21" t="str">
        <f aca="false">IF(Variants!$B172="","","Apparel &amp; Accessories &gt; Jewelry")</f>
        <v>Apparel &amp; Accessories &gt; Jewelry</v>
      </c>
      <c r="F171" s="21" t="str">
        <f aca="false">IF(Variants!$D172="","",Variants!$D172)</f>
        <v>Bracelet</v>
      </c>
      <c r="G171" s="21" t="str">
        <f aca="false">IF(Variants!$E172="","",Variants!$E172&amp;", Armenian jewellery, handmade")</f>
        <v>Alphabet, Armenian jewellery, handmade</v>
      </c>
      <c r="H171" s="21" t="str">
        <f aca="false">IF(Variants!$AD172="Active","TRUE","FALSE")</f>
        <v>TRUE</v>
      </c>
      <c r="I171" s="21" t="str">
        <f aca="false">IF(Variants!$H172="","","Color")</f>
        <v>Color</v>
      </c>
      <c r="J171" s="21" t="str">
        <f aca="false">IF(Variants!$H172="","",Variants!$H172)</f>
        <v>turquoise</v>
      </c>
      <c r="K171" s="21" t="str">
        <f aca="false">IF(Variants!$G172="","","Size")</f>
        <v/>
      </c>
      <c r="L171" s="21" t="str">
        <f aca="false">IF(Variants!$G172="","",Variants!$G172)</f>
        <v/>
      </c>
      <c r="M171" s="21" t="str">
        <f aca="false">Variants!$A172</f>
        <v>KARNI-BRAC-ALPHA-CHEH-TURQUOISE</v>
      </c>
      <c r="N171" s="21" t="str">
        <f aca="false">IF(Variants!$X172="","",Variants!$X172)</f>
        <v/>
      </c>
      <c r="O171" s="21" t="n">
        <f aca="false">IF(Variants!$O172="","",Variants!$O172)</f>
        <v>0</v>
      </c>
      <c r="P171" s="18" t="n">
        <f aca="false">IF(Variants!$J172="","",Variants!$J172)</f>
        <v>49.4</v>
      </c>
      <c r="Q171" s="21" t="str">
        <f aca="false">IF(Variants!$U172="","",Variants!$U172)</f>
        <v/>
      </c>
      <c r="R171" s="21" t="str">
        <f aca="false">IF(Variants!$Y172="","",Variants!$Y172)</f>
        <v/>
      </c>
      <c r="S171" s="21" t="n">
        <f aca="false">IFERROR(VLOOKUP(Variants!$B172,Designs!$A$3:$AP$165,37,FALSE()),"")</f>
        <v>0</v>
      </c>
      <c r="T171" s="21" t="str">
        <f aca="false">IFERROR(VLOOKUP(Variants!$B172,Designs!$A$3:$AP$165,38,FALSE()),"")</f>
        <v>No</v>
      </c>
      <c r="U171" s="21" t="str">
        <f aca="false">IF(Variants!$AD172="Active","active","draft")</f>
        <v>active</v>
      </c>
    </row>
    <row r="172" customFormat="false" ht="15.75" hidden="false" customHeight="true" outlineLevel="0" collapsed="false">
      <c r="A172" s="21" t="str">
        <f aca="false">IF(Variants!$B173="","",LOWER(Variants!$B173))</f>
        <v>dsgn-brac-alpha-cheh</v>
      </c>
      <c r="B172" s="21" t="str">
        <f aca="false">IF(Variants!$B173="","",Variants!$C173&amp;IF(Variants!$F173="",""," "&amp;Variants!$F173))</f>
        <v>Bird Letter Bracelet Ճ</v>
      </c>
      <c r="C172" s="21" t="str">
        <f aca="false">IFERROR(IF(Variants!$B173="","","&lt;p&gt;"&amp;VLOOKUP(Variants!$B173,Designs!$A$3:$AP$165,9,FALSE())&amp;"&lt;/p&gt;"),"")</f>
        <v>&lt;p&gt;Bird letters are an ornamental medieval Armenian script where each letter is formed from stylised birds, used in illuminated manuscripts.&lt;/p&gt;</v>
      </c>
      <c r="D172" s="21" t="str">
        <f aca="false">IF(Variants!$B173="","","Karni Jewellery")</f>
        <v>Karni Jewellery</v>
      </c>
      <c r="E172" s="21" t="str">
        <f aca="false">IF(Variants!$B173="","","Apparel &amp; Accessories &gt; Jewelry")</f>
        <v>Apparel &amp; Accessories &gt; Jewelry</v>
      </c>
      <c r="F172" s="21" t="str">
        <f aca="false">IF(Variants!$D173="","",Variants!$D173)</f>
        <v>Bracelet</v>
      </c>
      <c r="G172" s="21" t="str">
        <f aca="false">IF(Variants!$E173="","",Variants!$E173&amp;", Armenian jewellery, handmade")</f>
        <v>Alphabet, Armenian jewellery, handmade</v>
      </c>
      <c r="H172" s="21" t="str">
        <f aca="false">IF(Variants!$AD173="Active","TRUE","FALSE")</f>
        <v>TRUE</v>
      </c>
      <c r="I172" s="21" t="str">
        <f aca="false">IF(Variants!$H173="","","Color")</f>
        <v>Color</v>
      </c>
      <c r="J172" s="21" t="str">
        <f aca="false">IF(Variants!$H173="","",Variants!$H173)</f>
        <v>white</v>
      </c>
      <c r="K172" s="21" t="str">
        <f aca="false">IF(Variants!$G173="","","Size")</f>
        <v/>
      </c>
      <c r="L172" s="21" t="str">
        <f aca="false">IF(Variants!$G173="","",Variants!$G173)</f>
        <v/>
      </c>
      <c r="M172" s="21" t="str">
        <f aca="false">Variants!$A173</f>
        <v>KARNI-BRAC-ALPHA-CHEH-WHITE</v>
      </c>
      <c r="N172" s="21" t="str">
        <f aca="false">IF(Variants!$X173="","",Variants!$X173)</f>
        <v/>
      </c>
      <c r="O172" s="21" t="n">
        <f aca="false">IF(Variants!$O173="","",Variants!$O173)</f>
        <v>0</v>
      </c>
      <c r="P172" s="18" t="n">
        <f aca="false">IF(Variants!$J173="","",Variants!$J173)</f>
        <v>49.4</v>
      </c>
      <c r="Q172" s="21" t="str">
        <f aca="false">IF(Variants!$U173="","",Variants!$U173)</f>
        <v/>
      </c>
      <c r="R172" s="21" t="str">
        <f aca="false">IF(Variants!$Y173="","",Variants!$Y173)</f>
        <v/>
      </c>
      <c r="S172" s="21" t="n">
        <f aca="false">IFERROR(VLOOKUP(Variants!$B173,Designs!$A$3:$AP$165,37,FALSE()),"")</f>
        <v>0</v>
      </c>
      <c r="T172" s="21" t="str">
        <f aca="false">IFERROR(VLOOKUP(Variants!$B173,Designs!$A$3:$AP$165,38,FALSE()),"")</f>
        <v>No</v>
      </c>
      <c r="U172" s="21" t="str">
        <f aca="false">IF(Variants!$AD173="Active","active","draft")</f>
        <v>active</v>
      </c>
    </row>
    <row r="173" customFormat="false" ht="15.75" hidden="false" customHeight="true" outlineLevel="0" collapsed="false">
      <c r="A173" s="21" t="str">
        <f aca="false">IF(Variants!$B174="","",LOWER(Variants!$B174))</f>
        <v>dsgn-brac-alpha-men</v>
      </c>
      <c r="B173" s="21" t="str">
        <f aca="false">IF(Variants!$B174="","",Variants!$C174&amp;IF(Variants!$F174="",""," "&amp;Variants!$F174))</f>
        <v>Bird Letter Bracelet Մ</v>
      </c>
      <c r="C173" s="21" t="str">
        <f aca="false">IFERROR(IF(Variants!$B174="","","&lt;p&gt;"&amp;VLOOKUP(Variants!$B174,Designs!$A$3:$AP$165,9,FALSE())&amp;"&lt;/p&gt;"),"")</f>
        <v>&lt;p&gt;Bird letters are an ornamental medieval Armenian script where each letter is formed from stylised birds, used in illuminated manuscripts.&lt;/p&gt;</v>
      </c>
      <c r="D173" s="21" t="str">
        <f aca="false">IF(Variants!$B174="","","Karni Jewellery")</f>
        <v>Karni Jewellery</v>
      </c>
      <c r="E173" s="21" t="str">
        <f aca="false">IF(Variants!$B174="","","Apparel &amp; Accessories &gt; Jewelry")</f>
        <v>Apparel &amp; Accessories &gt; Jewelry</v>
      </c>
      <c r="F173" s="21" t="str">
        <f aca="false">IF(Variants!$D174="","",Variants!$D174)</f>
        <v>Bracelet</v>
      </c>
      <c r="G173" s="21" t="str">
        <f aca="false">IF(Variants!$E174="","",Variants!$E174&amp;", Armenian jewellery, handmade")</f>
        <v>Alphabet, Armenian jewellery, handmade</v>
      </c>
      <c r="H173" s="21" t="str">
        <f aca="false">IF(Variants!$AD174="Active","TRUE","FALSE")</f>
        <v>TRUE</v>
      </c>
      <c r="I173" s="21" t="str">
        <f aca="false">IF(Variants!$H174="","","Color")</f>
        <v>Color</v>
      </c>
      <c r="J173" s="21" t="str">
        <f aca="false">IF(Variants!$H174="","",Variants!$H174)</f>
        <v>red</v>
      </c>
      <c r="K173" s="21" t="str">
        <f aca="false">IF(Variants!$G174="","","Size")</f>
        <v/>
      </c>
      <c r="L173" s="21" t="str">
        <f aca="false">IF(Variants!$G174="","",Variants!$G174)</f>
        <v/>
      </c>
      <c r="M173" s="21" t="str">
        <f aca="false">Variants!$A174</f>
        <v>KARNI-BRAC-ALPHA-MEN-RED</v>
      </c>
      <c r="N173" s="21" t="str">
        <f aca="false">IF(Variants!$X174="","",Variants!$X174)</f>
        <v/>
      </c>
      <c r="O173" s="21" t="n">
        <f aca="false">IF(Variants!$O174="","",Variants!$O174)</f>
        <v>0</v>
      </c>
      <c r="P173" s="18" t="n">
        <f aca="false">IF(Variants!$J174="","",Variants!$J174)</f>
        <v>49.4</v>
      </c>
      <c r="Q173" s="21" t="str">
        <f aca="false">IF(Variants!$U174="","",Variants!$U174)</f>
        <v/>
      </c>
      <c r="R173" s="21" t="str">
        <f aca="false">IF(Variants!$Y174="","",Variants!$Y174)</f>
        <v/>
      </c>
      <c r="S173" s="21" t="n">
        <f aca="false">IFERROR(VLOOKUP(Variants!$B174,Designs!$A$3:$AP$165,37,FALSE()),"")</f>
        <v>0</v>
      </c>
      <c r="T173" s="21" t="str">
        <f aca="false">IFERROR(VLOOKUP(Variants!$B174,Designs!$A$3:$AP$165,38,FALSE()),"")</f>
        <v>No</v>
      </c>
      <c r="U173" s="21" t="str">
        <f aca="false">IF(Variants!$AD174="Active","active","draft")</f>
        <v>active</v>
      </c>
    </row>
    <row r="174" customFormat="false" ht="15.75" hidden="false" customHeight="true" outlineLevel="0" collapsed="false">
      <c r="A174" s="21" t="str">
        <f aca="false">IF(Variants!$B175="","",LOWER(Variants!$B175))</f>
        <v>dsgn-brac-alpha-men</v>
      </c>
      <c r="B174" s="21" t="str">
        <f aca="false">IF(Variants!$B175="","",Variants!$C175&amp;IF(Variants!$F175="",""," "&amp;Variants!$F175))</f>
        <v>Bird Letter Bracelet Մ</v>
      </c>
      <c r="C174" s="21" t="str">
        <f aca="false">IFERROR(IF(Variants!$B175="","","&lt;p&gt;"&amp;VLOOKUP(Variants!$B175,Designs!$A$3:$AP$165,9,FALSE())&amp;"&lt;/p&gt;"),"")</f>
        <v>&lt;p&gt;Bird letters are an ornamental medieval Armenian script where each letter is formed from stylised birds, used in illuminated manuscripts.&lt;/p&gt;</v>
      </c>
      <c r="D174" s="21" t="str">
        <f aca="false">IF(Variants!$B175="","","Karni Jewellery")</f>
        <v>Karni Jewellery</v>
      </c>
      <c r="E174" s="21" t="str">
        <f aca="false">IF(Variants!$B175="","","Apparel &amp; Accessories &gt; Jewelry")</f>
        <v>Apparel &amp; Accessories &gt; Jewelry</v>
      </c>
      <c r="F174" s="21" t="str">
        <f aca="false">IF(Variants!$D175="","",Variants!$D175)</f>
        <v>Bracelet</v>
      </c>
      <c r="G174" s="21" t="str">
        <f aca="false">IF(Variants!$E175="","",Variants!$E175&amp;", Armenian jewellery, handmade")</f>
        <v>Alphabet, Armenian jewellery, handmade</v>
      </c>
      <c r="H174" s="21" t="str">
        <f aca="false">IF(Variants!$AD175="Active","TRUE","FALSE")</f>
        <v>TRUE</v>
      </c>
      <c r="I174" s="21" t="str">
        <f aca="false">IF(Variants!$H175="","","Color")</f>
        <v>Color</v>
      </c>
      <c r="J174" s="21" t="str">
        <f aca="false">IF(Variants!$H175="","",Variants!$H175)</f>
        <v>turquoise</v>
      </c>
      <c r="K174" s="21" t="str">
        <f aca="false">IF(Variants!$G175="","","Size")</f>
        <v/>
      </c>
      <c r="L174" s="21" t="str">
        <f aca="false">IF(Variants!$G175="","",Variants!$G175)</f>
        <v/>
      </c>
      <c r="M174" s="21" t="str">
        <f aca="false">Variants!$A175</f>
        <v>KARNI-BRAC-ALPHA-MEN-TURQUOISE</v>
      </c>
      <c r="N174" s="21" t="str">
        <f aca="false">IF(Variants!$X175="","",Variants!$X175)</f>
        <v/>
      </c>
      <c r="O174" s="21" t="n">
        <f aca="false">IF(Variants!$O175="","",Variants!$O175)</f>
        <v>0</v>
      </c>
      <c r="P174" s="18" t="n">
        <f aca="false">IF(Variants!$J175="","",Variants!$J175)</f>
        <v>49.4</v>
      </c>
      <c r="Q174" s="21" t="str">
        <f aca="false">IF(Variants!$U175="","",Variants!$U175)</f>
        <v/>
      </c>
      <c r="R174" s="21" t="str">
        <f aca="false">IF(Variants!$Y175="","",Variants!$Y175)</f>
        <v/>
      </c>
      <c r="S174" s="21" t="n">
        <f aca="false">IFERROR(VLOOKUP(Variants!$B175,Designs!$A$3:$AP$165,37,FALSE()),"")</f>
        <v>0</v>
      </c>
      <c r="T174" s="21" t="str">
        <f aca="false">IFERROR(VLOOKUP(Variants!$B175,Designs!$A$3:$AP$165,38,FALSE()),"")</f>
        <v>No</v>
      </c>
      <c r="U174" s="21" t="str">
        <f aca="false">IF(Variants!$AD175="Active","active","draft")</f>
        <v>active</v>
      </c>
    </row>
    <row r="175" customFormat="false" ht="15.75" hidden="false" customHeight="true" outlineLevel="0" collapsed="false">
      <c r="A175" s="21" t="str">
        <f aca="false">IF(Variants!$B176="","",LOWER(Variants!$B176))</f>
        <v>dsgn-brac-alpha-men</v>
      </c>
      <c r="B175" s="21" t="str">
        <f aca="false">IF(Variants!$B176="","",Variants!$C176&amp;IF(Variants!$F176="",""," "&amp;Variants!$F176))</f>
        <v>Bird Letter Bracelet Մ</v>
      </c>
      <c r="C175" s="21" t="str">
        <f aca="false">IFERROR(IF(Variants!$B176="","","&lt;p&gt;"&amp;VLOOKUP(Variants!$B176,Designs!$A$3:$AP$165,9,FALSE())&amp;"&lt;/p&gt;"),"")</f>
        <v>&lt;p&gt;Bird letters are an ornamental medieval Armenian script where each letter is formed from stylised birds, used in illuminated manuscripts.&lt;/p&gt;</v>
      </c>
      <c r="D175" s="21" t="str">
        <f aca="false">IF(Variants!$B176="","","Karni Jewellery")</f>
        <v>Karni Jewellery</v>
      </c>
      <c r="E175" s="21" t="str">
        <f aca="false">IF(Variants!$B176="","","Apparel &amp; Accessories &gt; Jewelry")</f>
        <v>Apparel &amp; Accessories &gt; Jewelry</v>
      </c>
      <c r="F175" s="21" t="str">
        <f aca="false">IF(Variants!$D176="","",Variants!$D176)</f>
        <v>Bracelet</v>
      </c>
      <c r="G175" s="21" t="str">
        <f aca="false">IF(Variants!$E176="","",Variants!$E176&amp;", Armenian jewellery, handmade")</f>
        <v>Alphabet, Armenian jewellery, handmade</v>
      </c>
      <c r="H175" s="21" t="str">
        <f aca="false">IF(Variants!$AD176="Active","TRUE","FALSE")</f>
        <v>TRUE</v>
      </c>
      <c r="I175" s="21" t="str">
        <f aca="false">IF(Variants!$H176="","","Color")</f>
        <v>Color</v>
      </c>
      <c r="J175" s="21" t="str">
        <f aca="false">IF(Variants!$H176="","",Variants!$H176)</f>
        <v>white</v>
      </c>
      <c r="K175" s="21" t="str">
        <f aca="false">IF(Variants!$G176="","","Size")</f>
        <v/>
      </c>
      <c r="L175" s="21" t="str">
        <f aca="false">IF(Variants!$G176="","",Variants!$G176)</f>
        <v/>
      </c>
      <c r="M175" s="21" t="str">
        <f aca="false">Variants!$A176</f>
        <v>KARNI-BRAC-ALPHA-MEN-WHITE</v>
      </c>
      <c r="N175" s="21" t="str">
        <f aca="false">IF(Variants!$X176="","",Variants!$X176)</f>
        <v/>
      </c>
      <c r="O175" s="21" t="n">
        <f aca="false">IF(Variants!$O176="","",Variants!$O176)</f>
        <v>0</v>
      </c>
      <c r="P175" s="18" t="n">
        <f aca="false">IF(Variants!$J176="","",Variants!$J176)</f>
        <v>49.4</v>
      </c>
      <c r="Q175" s="21" t="str">
        <f aca="false">IF(Variants!$U176="","",Variants!$U176)</f>
        <v/>
      </c>
      <c r="R175" s="21" t="str">
        <f aca="false">IF(Variants!$Y176="","",Variants!$Y176)</f>
        <v/>
      </c>
      <c r="S175" s="21" t="n">
        <f aca="false">IFERROR(VLOOKUP(Variants!$B176,Designs!$A$3:$AP$165,37,FALSE()),"")</f>
        <v>0</v>
      </c>
      <c r="T175" s="21" t="str">
        <f aca="false">IFERROR(VLOOKUP(Variants!$B176,Designs!$A$3:$AP$165,38,FALSE()),"")</f>
        <v>No</v>
      </c>
      <c r="U175" s="21" t="str">
        <f aca="false">IF(Variants!$AD176="Active","active","draft")</f>
        <v>active</v>
      </c>
    </row>
    <row r="176" customFormat="false" ht="15.75" hidden="false" customHeight="true" outlineLevel="0" collapsed="false">
      <c r="A176" s="21" t="str">
        <f aca="false">IF(Variants!$B177="","",LOWER(Variants!$B177))</f>
        <v>dsgn-brac-alpha-hi</v>
      </c>
      <c r="B176" s="21" t="str">
        <f aca="false">IF(Variants!$B177="","",Variants!$C177&amp;IF(Variants!$F177="",""," "&amp;Variants!$F177))</f>
        <v>Bird Letter Bracelet Յ</v>
      </c>
      <c r="C176" s="21" t="str">
        <f aca="false">IFERROR(IF(Variants!$B177="","","&lt;p&gt;"&amp;VLOOKUP(Variants!$B177,Designs!$A$3:$AP$165,9,FALSE())&amp;"&lt;/p&gt;"),"")</f>
        <v>&lt;p&gt;Bird letters are an ornamental medieval Armenian script where each letter is formed from stylised birds, used in illuminated manuscripts.&lt;/p&gt;</v>
      </c>
      <c r="D176" s="21" t="str">
        <f aca="false">IF(Variants!$B177="","","Karni Jewellery")</f>
        <v>Karni Jewellery</v>
      </c>
      <c r="E176" s="21" t="str">
        <f aca="false">IF(Variants!$B177="","","Apparel &amp; Accessories &gt; Jewelry")</f>
        <v>Apparel &amp; Accessories &gt; Jewelry</v>
      </c>
      <c r="F176" s="21" t="str">
        <f aca="false">IF(Variants!$D177="","",Variants!$D177)</f>
        <v>Bracelet</v>
      </c>
      <c r="G176" s="21" t="str">
        <f aca="false">IF(Variants!$E177="","",Variants!$E177&amp;", Armenian jewellery, handmade")</f>
        <v>Alphabet, Armenian jewellery, handmade</v>
      </c>
      <c r="H176" s="21" t="str">
        <f aca="false">IF(Variants!$AD177="Active","TRUE","FALSE")</f>
        <v>TRUE</v>
      </c>
      <c r="I176" s="21" t="str">
        <f aca="false">IF(Variants!$H177="","","Color")</f>
        <v>Color</v>
      </c>
      <c r="J176" s="21" t="str">
        <f aca="false">IF(Variants!$H177="","",Variants!$H177)</f>
        <v>red</v>
      </c>
      <c r="K176" s="21" t="str">
        <f aca="false">IF(Variants!$G177="","","Size")</f>
        <v/>
      </c>
      <c r="L176" s="21" t="str">
        <f aca="false">IF(Variants!$G177="","",Variants!$G177)</f>
        <v/>
      </c>
      <c r="M176" s="21" t="str">
        <f aca="false">Variants!$A177</f>
        <v>KARNI-BRAC-ALPHA-HI-RED</v>
      </c>
      <c r="N176" s="21" t="str">
        <f aca="false">IF(Variants!$X177="","",Variants!$X177)</f>
        <v/>
      </c>
      <c r="O176" s="21" t="n">
        <f aca="false">IF(Variants!$O177="","",Variants!$O177)</f>
        <v>0</v>
      </c>
      <c r="P176" s="18" t="n">
        <f aca="false">IF(Variants!$J177="","",Variants!$J177)</f>
        <v>49.4</v>
      </c>
      <c r="Q176" s="21" t="str">
        <f aca="false">IF(Variants!$U177="","",Variants!$U177)</f>
        <v/>
      </c>
      <c r="R176" s="21" t="str">
        <f aca="false">IF(Variants!$Y177="","",Variants!$Y177)</f>
        <v/>
      </c>
      <c r="S176" s="21" t="n">
        <f aca="false">IFERROR(VLOOKUP(Variants!$B177,Designs!$A$3:$AP$165,37,FALSE()),"")</f>
        <v>0</v>
      </c>
      <c r="T176" s="21" t="str">
        <f aca="false">IFERROR(VLOOKUP(Variants!$B177,Designs!$A$3:$AP$165,38,FALSE()),"")</f>
        <v>No</v>
      </c>
      <c r="U176" s="21" t="str">
        <f aca="false">IF(Variants!$AD177="Active","active","draft")</f>
        <v>active</v>
      </c>
    </row>
    <row r="177" customFormat="false" ht="15.75" hidden="false" customHeight="true" outlineLevel="0" collapsed="false">
      <c r="A177" s="21" t="str">
        <f aca="false">IF(Variants!$B178="","",LOWER(Variants!$B178))</f>
        <v>dsgn-brac-alpha-hi</v>
      </c>
      <c r="B177" s="21" t="str">
        <f aca="false">IF(Variants!$B178="","",Variants!$C178&amp;IF(Variants!$F178="",""," "&amp;Variants!$F178))</f>
        <v>Bird Letter Bracelet Յ</v>
      </c>
      <c r="C177" s="21" t="str">
        <f aca="false">IFERROR(IF(Variants!$B178="","","&lt;p&gt;"&amp;VLOOKUP(Variants!$B178,Designs!$A$3:$AP$165,9,FALSE())&amp;"&lt;/p&gt;"),"")</f>
        <v>&lt;p&gt;Bird letters are an ornamental medieval Armenian script where each letter is formed from stylised birds, used in illuminated manuscripts.&lt;/p&gt;</v>
      </c>
      <c r="D177" s="21" t="str">
        <f aca="false">IF(Variants!$B178="","","Karni Jewellery")</f>
        <v>Karni Jewellery</v>
      </c>
      <c r="E177" s="21" t="str">
        <f aca="false">IF(Variants!$B178="","","Apparel &amp; Accessories &gt; Jewelry")</f>
        <v>Apparel &amp; Accessories &gt; Jewelry</v>
      </c>
      <c r="F177" s="21" t="str">
        <f aca="false">IF(Variants!$D178="","",Variants!$D178)</f>
        <v>Bracelet</v>
      </c>
      <c r="G177" s="21" t="str">
        <f aca="false">IF(Variants!$E178="","",Variants!$E178&amp;", Armenian jewellery, handmade")</f>
        <v>Alphabet, Armenian jewellery, handmade</v>
      </c>
      <c r="H177" s="21" t="str">
        <f aca="false">IF(Variants!$AD178="Active","TRUE","FALSE")</f>
        <v>TRUE</v>
      </c>
      <c r="I177" s="21" t="str">
        <f aca="false">IF(Variants!$H178="","","Color")</f>
        <v>Color</v>
      </c>
      <c r="J177" s="21" t="str">
        <f aca="false">IF(Variants!$H178="","",Variants!$H178)</f>
        <v>turquoise</v>
      </c>
      <c r="K177" s="21" t="str">
        <f aca="false">IF(Variants!$G178="","","Size")</f>
        <v/>
      </c>
      <c r="L177" s="21" t="str">
        <f aca="false">IF(Variants!$G178="","",Variants!$G178)</f>
        <v/>
      </c>
      <c r="M177" s="21" t="str">
        <f aca="false">Variants!$A178</f>
        <v>KARNI-BRAC-ALPHA-HI-TURQUOISE</v>
      </c>
      <c r="N177" s="21" t="str">
        <f aca="false">IF(Variants!$X178="","",Variants!$X178)</f>
        <v/>
      </c>
      <c r="O177" s="21" t="n">
        <f aca="false">IF(Variants!$O178="","",Variants!$O178)</f>
        <v>0</v>
      </c>
      <c r="P177" s="18" t="n">
        <f aca="false">IF(Variants!$J178="","",Variants!$J178)</f>
        <v>49.4</v>
      </c>
      <c r="Q177" s="21" t="str">
        <f aca="false">IF(Variants!$U178="","",Variants!$U178)</f>
        <v/>
      </c>
      <c r="R177" s="21" t="str">
        <f aca="false">IF(Variants!$Y178="","",Variants!$Y178)</f>
        <v/>
      </c>
      <c r="S177" s="21" t="n">
        <f aca="false">IFERROR(VLOOKUP(Variants!$B178,Designs!$A$3:$AP$165,37,FALSE()),"")</f>
        <v>0</v>
      </c>
      <c r="T177" s="21" t="str">
        <f aca="false">IFERROR(VLOOKUP(Variants!$B178,Designs!$A$3:$AP$165,38,FALSE()),"")</f>
        <v>No</v>
      </c>
      <c r="U177" s="21" t="str">
        <f aca="false">IF(Variants!$AD178="Active","active","draft")</f>
        <v>active</v>
      </c>
    </row>
    <row r="178" customFormat="false" ht="15.75" hidden="false" customHeight="true" outlineLevel="0" collapsed="false">
      <c r="A178" s="21" t="str">
        <f aca="false">IF(Variants!$B179="","",LOWER(Variants!$B179))</f>
        <v>dsgn-brac-alpha-hi</v>
      </c>
      <c r="B178" s="21" t="str">
        <f aca="false">IF(Variants!$B179="","",Variants!$C179&amp;IF(Variants!$F179="",""," "&amp;Variants!$F179))</f>
        <v>Bird Letter Bracelet Յ</v>
      </c>
      <c r="C178" s="21" t="str">
        <f aca="false">IFERROR(IF(Variants!$B179="","","&lt;p&gt;"&amp;VLOOKUP(Variants!$B179,Designs!$A$3:$AP$165,9,FALSE())&amp;"&lt;/p&gt;"),"")</f>
        <v>&lt;p&gt;Bird letters are an ornamental medieval Armenian script where each letter is formed from stylised birds, used in illuminated manuscripts.&lt;/p&gt;</v>
      </c>
      <c r="D178" s="21" t="str">
        <f aca="false">IF(Variants!$B179="","","Karni Jewellery")</f>
        <v>Karni Jewellery</v>
      </c>
      <c r="E178" s="21" t="str">
        <f aca="false">IF(Variants!$B179="","","Apparel &amp; Accessories &gt; Jewelry")</f>
        <v>Apparel &amp; Accessories &gt; Jewelry</v>
      </c>
      <c r="F178" s="21" t="str">
        <f aca="false">IF(Variants!$D179="","",Variants!$D179)</f>
        <v>Bracelet</v>
      </c>
      <c r="G178" s="21" t="str">
        <f aca="false">IF(Variants!$E179="","",Variants!$E179&amp;", Armenian jewellery, handmade")</f>
        <v>Alphabet, Armenian jewellery, handmade</v>
      </c>
      <c r="H178" s="21" t="str">
        <f aca="false">IF(Variants!$AD179="Active","TRUE","FALSE")</f>
        <v>TRUE</v>
      </c>
      <c r="I178" s="21" t="str">
        <f aca="false">IF(Variants!$H179="","","Color")</f>
        <v>Color</v>
      </c>
      <c r="J178" s="21" t="str">
        <f aca="false">IF(Variants!$H179="","",Variants!$H179)</f>
        <v>white</v>
      </c>
      <c r="K178" s="21" t="str">
        <f aca="false">IF(Variants!$G179="","","Size")</f>
        <v/>
      </c>
      <c r="L178" s="21" t="str">
        <f aca="false">IF(Variants!$G179="","",Variants!$G179)</f>
        <v/>
      </c>
      <c r="M178" s="21" t="str">
        <f aca="false">Variants!$A179</f>
        <v>KARNI-BRAC-ALPHA-HI-WHITE</v>
      </c>
      <c r="N178" s="21" t="str">
        <f aca="false">IF(Variants!$X179="","",Variants!$X179)</f>
        <v/>
      </c>
      <c r="O178" s="21" t="n">
        <f aca="false">IF(Variants!$O179="","",Variants!$O179)</f>
        <v>0</v>
      </c>
      <c r="P178" s="18" t="n">
        <f aca="false">IF(Variants!$J179="","",Variants!$J179)</f>
        <v>49.4</v>
      </c>
      <c r="Q178" s="21" t="str">
        <f aca="false">IF(Variants!$U179="","",Variants!$U179)</f>
        <v/>
      </c>
      <c r="R178" s="21" t="str">
        <f aca="false">IF(Variants!$Y179="","",Variants!$Y179)</f>
        <v/>
      </c>
      <c r="S178" s="21" t="n">
        <f aca="false">IFERROR(VLOOKUP(Variants!$B179,Designs!$A$3:$AP$165,37,FALSE()),"")</f>
        <v>0</v>
      </c>
      <c r="T178" s="21" t="str">
        <f aca="false">IFERROR(VLOOKUP(Variants!$B179,Designs!$A$3:$AP$165,38,FALSE()),"")</f>
        <v>No</v>
      </c>
      <c r="U178" s="21" t="str">
        <f aca="false">IF(Variants!$AD179="Active","active","draft")</f>
        <v>active</v>
      </c>
    </row>
    <row r="179" customFormat="false" ht="15.75" hidden="false" customHeight="true" outlineLevel="0" collapsed="false">
      <c r="A179" s="21" t="str">
        <f aca="false">IF(Variants!$B180="","",LOWER(Variants!$B180))</f>
        <v>dsgn-brac-alpha-nu</v>
      </c>
      <c r="B179" s="21" t="str">
        <f aca="false">IF(Variants!$B180="","",Variants!$C180&amp;IF(Variants!$F180="",""," "&amp;Variants!$F180))</f>
        <v>Bird Letter Bracelet Ն</v>
      </c>
      <c r="C179" s="21" t="str">
        <f aca="false">IFERROR(IF(Variants!$B180="","","&lt;p&gt;"&amp;VLOOKUP(Variants!$B180,Designs!$A$3:$AP$165,9,FALSE())&amp;"&lt;/p&gt;"),"")</f>
        <v>&lt;p&gt;Bird letters are an ornamental medieval Armenian script where each letter is formed from stylised birds, used in illuminated manuscripts.&lt;/p&gt;</v>
      </c>
      <c r="D179" s="21" t="str">
        <f aca="false">IF(Variants!$B180="","","Karni Jewellery")</f>
        <v>Karni Jewellery</v>
      </c>
      <c r="E179" s="21" t="str">
        <f aca="false">IF(Variants!$B180="","","Apparel &amp; Accessories &gt; Jewelry")</f>
        <v>Apparel &amp; Accessories &gt; Jewelry</v>
      </c>
      <c r="F179" s="21" t="str">
        <f aca="false">IF(Variants!$D180="","",Variants!$D180)</f>
        <v>Bracelet</v>
      </c>
      <c r="G179" s="21" t="str">
        <f aca="false">IF(Variants!$E180="","",Variants!$E180&amp;", Armenian jewellery, handmade")</f>
        <v>Alphabet, Armenian jewellery, handmade</v>
      </c>
      <c r="H179" s="21" t="str">
        <f aca="false">IF(Variants!$AD180="Active","TRUE","FALSE")</f>
        <v>TRUE</v>
      </c>
      <c r="I179" s="21" t="str">
        <f aca="false">IF(Variants!$H180="","","Color")</f>
        <v>Color</v>
      </c>
      <c r="J179" s="21" t="str">
        <f aca="false">IF(Variants!$H180="","",Variants!$H180)</f>
        <v>red</v>
      </c>
      <c r="K179" s="21" t="str">
        <f aca="false">IF(Variants!$G180="","","Size")</f>
        <v/>
      </c>
      <c r="L179" s="21" t="str">
        <f aca="false">IF(Variants!$G180="","",Variants!$G180)</f>
        <v/>
      </c>
      <c r="M179" s="21" t="str">
        <f aca="false">Variants!$A180</f>
        <v>KARNI-BRAC-ALPHA-NU-RED</v>
      </c>
      <c r="N179" s="21" t="str">
        <f aca="false">IF(Variants!$X180="","",Variants!$X180)</f>
        <v/>
      </c>
      <c r="O179" s="21" t="n">
        <f aca="false">IF(Variants!$O180="","",Variants!$O180)</f>
        <v>0</v>
      </c>
      <c r="P179" s="18" t="n">
        <f aca="false">IF(Variants!$J180="","",Variants!$J180)</f>
        <v>49.4</v>
      </c>
      <c r="Q179" s="21" t="str">
        <f aca="false">IF(Variants!$U180="","",Variants!$U180)</f>
        <v/>
      </c>
      <c r="R179" s="21" t="str">
        <f aca="false">IF(Variants!$Y180="","",Variants!$Y180)</f>
        <v/>
      </c>
      <c r="S179" s="21" t="n">
        <f aca="false">IFERROR(VLOOKUP(Variants!$B180,Designs!$A$3:$AP$165,37,FALSE()),"")</f>
        <v>0</v>
      </c>
      <c r="T179" s="21" t="str">
        <f aca="false">IFERROR(VLOOKUP(Variants!$B180,Designs!$A$3:$AP$165,38,FALSE()),"")</f>
        <v>No</v>
      </c>
      <c r="U179" s="21" t="str">
        <f aca="false">IF(Variants!$AD180="Active","active","draft")</f>
        <v>active</v>
      </c>
    </row>
    <row r="180" customFormat="false" ht="15.75" hidden="false" customHeight="true" outlineLevel="0" collapsed="false">
      <c r="A180" s="21" t="str">
        <f aca="false">IF(Variants!$B181="","",LOWER(Variants!$B181))</f>
        <v>dsgn-brac-alpha-nu</v>
      </c>
      <c r="B180" s="21" t="str">
        <f aca="false">IF(Variants!$B181="","",Variants!$C181&amp;IF(Variants!$F181="",""," "&amp;Variants!$F181))</f>
        <v>Bird Letter Bracelet Ն</v>
      </c>
      <c r="C180" s="21" t="str">
        <f aca="false">IFERROR(IF(Variants!$B181="","","&lt;p&gt;"&amp;VLOOKUP(Variants!$B181,Designs!$A$3:$AP$165,9,FALSE())&amp;"&lt;/p&gt;"),"")</f>
        <v>&lt;p&gt;Bird letters are an ornamental medieval Armenian script where each letter is formed from stylised birds, used in illuminated manuscripts.&lt;/p&gt;</v>
      </c>
      <c r="D180" s="21" t="str">
        <f aca="false">IF(Variants!$B181="","","Karni Jewellery")</f>
        <v>Karni Jewellery</v>
      </c>
      <c r="E180" s="21" t="str">
        <f aca="false">IF(Variants!$B181="","","Apparel &amp; Accessories &gt; Jewelry")</f>
        <v>Apparel &amp; Accessories &gt; Jewelry</v>
      </c>
      <c r="F180" s="21" t="str">
        <f aca="false">IF(Variants!$D181="","",Variants!$D181)</f>
        <v>Bracelet</v>
      </c>
      <c r="G180" s="21" t="str">
        <f aca="false">IF(Variants!$E181="","",Variants!$E181&amp;", Armenian jewellery, handmade")</f>
        <v>Alphabet, Armenian jewellery, handmade</v>
      </c>
      <c r="H180" s="21" t="str">
        <f aca="false">IF(Variants!$AD181="Active","TRUE","FALSE")</f>
        <v>TRUE</v>
      </c>
      <c r="I180" s="21" t="str">
        <f aca="false">IF(Variants!$H181="","","Color")</f>
        <v>Color</v>
      </c>
      <c r="J180" s="21" t="str">
        <f aca="false">IF(Variants!$H181="","",Variants!$H181)</f>
        <v>turquoise</v>
      </c>
      <c r="K180" s="21" t="str">
        <f aca="false">IF(Variants!$G181="","","Size")</f>
        <v/>
      </c>
      <c r="L180" s="21" t="str">
        <f aca="false">IF(Variants!$G181="","",Variants!$G181)</f>
        <v/>
      </c>
      <c r="M180" s="21" t="str">
        <f aca="false">Variants!$A181</f>
        <v>KARNI-BRAC-ALPHA-NU-TURQUOISE</v>
      </c>
      <c r="N180" s="21" t="str">
        <f aca="false">IF(Variants!$X181="","",Variants!$X181)</f>
        <v/>
      </c>
      <c r="O180" s="21" t="n">
        <f aca="false">IF(Variants!$O181="","",Variants!$O181)</f>
        <v>0</v>
      </c>
      <c r="P180" s="18" t="n">
        <f aca="false">IF(Variants!$J181="","",Variants!$J181)</f>
        <v>49.4</v>
      </c>
      <c r="Q180" s="21" t="str">
        <f aca="false">IF(Variants!$U181="","",Variants!$U181)</f>
        <v/>
      </c>
      <c r="R180" s="21" t="str">
        <f aca="false">IF(Variants!$Y181="","",Variants!$Y181)</f>
        <v/>
      </c>
      <c r="S180" s="21" t="n">
        <f aca="false">IFERROR(VLOOKUP(Variants!$B181,Designs!$A$3:$AP$165,37,FALSE()),"")</f>
        <v>0</v>
      </c>
      <c r="T180" s="21" t="str">
        <f aca="false">IFERROR(VLOOKUP(Variants!$B181,Designs!$A$3:$AP$165,38,FALSE()),"")</f>
        <v>No</v>
      </c>
      <c r="U180" s="21" t="str">
        <f aca="false">IF(Variants!$AD181="Active","active","draft")</f>
        <v>active</v>
      </c>
    </row>
    <row r="181" customFormat="false" ht="15.75" hidden="false" customHeight="true" outlineLevel="0" collapsed="false">
      <c r="A181" s="21" t="str">
        <f aca="false">IF(Variants!$B182="","",LOWER(Variants!$B182))</f>
        <v>dsgn-brac-alpha-nu</v>
      </c>
      <c r="B181" s="21" t="str">
        <f aca="false">IF(Variants!$B182="","",Variants!$C182&amp;IF(Variants!$F182="",""," "&amp;Variants!$F182))</f>
        <v>Bird Letter Bracelet Ն</v>
      </c>
      <c r="C181" s="21" t="str">
        <f aca="false">IFERROR(IF(Variants!$B182="","","&lt;p&gt;"&amp;VLOOKUP(Variants!$B182,Designs!$A$3:$AP$165,9,FALSE())&amp;"&lt;/p&gt;"),"")</f>
        <v>&lt;p&gt;Bird letters are an ornamental medieval Armenian script where each letter is formed from stylised birds, used in illuminated manuscripts.&lt;/p&gt;</v>
      </c>
      <c r="D181" s="21" t="str">
        <f aca="false">IF(Variants!$B182="","","Karni Jewellery")</f>
        <v>Karni Jewellery</v>
      </c>
      <c r="E181" s="21" t="str">
        <f aca="false">IF(Variants!$B182="","","Apparel &amp; Accessories &gt; Jewelry")</f>
        <v>Apparel &amp; Accessories &gt; Jewelry</v>
      </c>
      <c r="F181" s="21" t="str">
        <f aca="false">IF(Variants!$D182="","",Variants!$D182)</f>
        <v>Bracelet</v>
      </c>
      <c r="G181" s="21" t="str">
        <f aca="false">IF(Variants!$E182="","",Variants!$E182&amp;", Armenian jewellery, handmade")</f>
        <v>Alphabet, Armenian jewellery, handmade</v>
      </c>
      <c r="H181" s="21" t="str">
        <f aca="false">IF(Variants!$AD182="Active","TRUE","FALSE")</f>
        <v>TRUE</v>
      </c>
      <c r="I181" s="21" t="str">
        <f aca="false">IF(Variants!$H182="","","Color")</f>
        <v>Color</v>
      </c>
      <c r="J181" s="21" t="str">
        <f aca="false">IF(Variants!$H182="","",Variants!$H182)</f>
        <v>white</v>
      </c>
      <c r="K181" s="21" t="str">
        <f aca="false">IF(Variants!$G182="","","Size")</f>
        <v/>
      </c>
      <c r="L181" s="21" t="str">
        <f aca="false">IF(Variants!$G182="","",Variants!$G182)</f>
        <v/>
      </c>
      <c r="M181" s="21" t="str">
        <f aca="false">Variants!$A182</f>
        <v>KARNI-BRAC-ALPHA-NU-WHITE</v>
      </c>
      <c r="N181" s="21" t="str">
        <f aca="false">IF(Variants!$X182="","",Variants!$X182)</f>
        <v/>
      </c>
      <c r="O181" s="21" t="n">
        <f aca="false">IF(Variants!$O182="","",Variants!$O182)</f>
        <v>0</v>
      </c>
      <c r="P181" s="18" t="n">
        <f aca="false">IF(Variants!$J182="","",Variants!$J182)</f>
        <v>49.4</v>
      </c>
      <c r="Q181" s="21" t="str">
        <f aca="false">IF(Variants!$U182="","",Variants!$U182)</f>
        <v/>
      </c>
      <c r="R181" s="21" t="str">
        <f aca="false">IF(Variants!$Y182="","",Variants!$Y182)</f>
        <v/>
      </c>
      <c r="S181" s="21" t="n">
        <f aca="false">IFERROR(VLOOKUP(Variants!$B182,Designs!$A$3:$AP$165,37,FALSE()),"")</f>
        <v>0</v>
      </c>
      <c r="T181" s="21" t="str">
        <f aca="false">IFERROR(VLOOKUP(Variants!$B182,Designs!$A$3:$AP$165,38,FALSE()),"")</f>
        <v>No</v>
      </c>
      <c r="U181" s="21" t="str">
        <f aca="false">IF(Variants!$AD182="Active","active","draft")</f>
        <v>active</v>
      </c>
    </row>
    <row r="182" customFormat="false" ht="15.75" hidden="false" customHeight="true" outlineLevel="0" collapsed="false">
      <c r="A182" s="21" t="str">
        <f aca="false">IF(Variants!$B183="","",LOWER(Variants!$B183))</f>
        <v>dsgn-brac-alpha-sha</v>
      </c>
      <c r="B182" s="21" t="str">
        <f aca="false">IF(Variants!$B183="","",Variants!$C183&amp;IF(Variants!$F183="",""," "&amp;Variants!$F183))</f>
        <v>Bird Letter Bracelet Շ</v>
      </c>
      <c r="C182" s="21" t="str">
        <f aca="false">IFERROR(IF(Variants!$B183="","","&lt;p&gt;"&amp;VLOOKUP(Variants!$B183,Designs!$A$3:$AP$165,9,FALSE())&amp;"&lt;/p&gt;"),"")</f>
        <v>&lt;p&gt;Bird letters are an ornamental medieval Armenian script where each letter is formed from stylised birds, used in illuminated manuscripts.&lt;/p&gt;</v>
      </c>
      <c r="D182" s="21" t="str">
        <f aca="false">IF(Variants!$B183="","","Karni Jewellery")</f>
        <v>Karni Jewellery</v>
      </c>
      <c r="E182" s="21" t="str">
        <f aca="false">IF(Variants!$B183="","","Apparel &amp; Accessories &gt; Jewelry")</f>
        <v>Apparel &amp; Accessories &gt; Jewelry</v>
      </c>
      <c r="F182" s="21" t="str">
        <f aca="false">IF(Variants!$D183="","",Variants!$D183)</f>
        <v>Bracelet</v>
      </c>
      <c r="G182" s="21" t="str">
        <f aca="false">IF(Variants!$E183="","",Variants!$E183&amp;", Armenian jewellery, handmade")</f>
        <v>Alphabet, Armenian jewellery, handmade</v>
      </c>
      <c r="H182" s="21" t="str">
        <f aca="false">IF(Variants!$AD183="Active","TRUE","FALSE")</f>
        <v>TRUE</v>
      </c>
      <c r="I182" s="21" t="str">
        <f aca="false">IF(Variants!$H183="","","Color")</f>
        <v>Color</v>
      </c>
      <c r="J182" s="21" t="str">
        <f aca="false">IF(Variants!$H183="","",Variants!$H183)</f>
        <v>red</v>
      </c>
      <c r="K182" s="21" t="str">
        <f aca="false">IF(Variants!$G183="","","Size")</f>
        <v/>
      </c>
      <c r="L182" s="21" t="str">
        <f aca="false">IF(Variants!$G183="","",Variants!$G183)</f>
        <v/>
      </c>
      <c r="M182" s="21" t="str">
        <f aca="false">Variants!$A183</f>
        <v>KARNI-BRAC-ALPHA-SHA-RED</v>
      </c>
      <c r="N182" s="21" t="str">
        <f aca="false">IF(Variants!$X183="","",Variants!$X183)</f>
        <v/>
      </c>
      <c r="O182" s="21" t="n">
        <f aca="false">IF(Variants!$O183="","",Variants!$O183)</f>
        <v>0</v>
      </c>
      <c r="P182" s="18" t="n">
        <f aca="false">IF(Variants!$J183="","",Variants!$J183)</f>
        <v>49.4</v>
      </c>
      <c r="Q182" s="21" t="str">
        <f aca="false">IF(Variants!$U183="","",Variants!$U183)</f>
        <v/>
      </c>
      <c r="R182" s="21" t="str">
        <f aca="false">IF(Variants!$Y183="","",Variants!$Y183)</f>
        <v/>
      </c>
      <c r="S182" s="21" t="n">
        <f aca="false">IFERROR(VLOOKUP(Variants!$B183,Designs!$A$3:$AP$165,37,FALSE()),"")</f>
        <v>0</v>
      </c>
      <c r="T182" s="21" t="str">
        <f aca="false">IFERROR(VLOOKUP(Variants!$B183,Designs!$A$3:$AP$165,38,FALSE()),"")</f>
        <v>No</v>
      </c>
      <c r="U182" s="21" t="str">
        <f aca="false">IF(Variants!$AD183="Active","active","draft")</f>
        <v>active</v>
      </c>
    </row>
    <row r="183" customFormat="false" ht="15.75" hidden="false" customHeight="true" outlineLevel="0" collapsed="false">
      <c r="A183" s="21" t="str">
        <f aca="false">IF(Variants!$B184="","",LOWER(Variants!$B184))</f>
        <v>dsgn-brac-alpha-sha</v>
      </c>
      <c r="B183" s="21" t="str">
        <f aca="false">IF(Variants!$B184="","",Variants!$C184&amp;IF(Variants!$F184="",""," "&amp;Variants!$F184))</f>
        <v>Bird Letter Bracelet Շ</v>
      </c>
      <c r="C183" s="21" t="str">
        <f aca="false">IFERROR(IF(Variants!$B184="","","&lt;p&gt;"&amp;VLOOKUP(Variants!$B184,Designs!$A$3:$AP$165,9,FALSE())&amp;"&lt;/p&gt;"),"")</f>
        <v>&lt;p&gt;Bird letters are an ornamental medieval Armenian script where each letter is formed from stylised birds, used in illuminated manuscripts.&lt;/p&gt;</v>
      </c>
      <c r="D183" s="21" t="str">
        <f aca="false">IF(Variants!$B184="","","Karni Jewellery")</f>
        <v>Karni Jewellery</v>
      </c>
      <c r="E183" s="21" t="str">
        <f aca="false">IF(Variants!$B184="","","Apparel &amp; Accessories &gt; Jewelry")</f>
        <v>Apparel &amp; Accessories &gt; Jewelry</v>
      </c>
      <c r="F183" s="21" t="str">
        <f aca="false">IF(Variants!$D184="","",Variants!$D184)</f>
        <v>Bracelet</v>
      </c>
      <c r="G183" s="21" t="str">
        <f aca="false">IF(Variants!$E184="","",Variants!$E184&amp;", Armenian jewellery, handmade")</f>
        <v>Alphabet, Armenian jewellery, handmade</v>
      </c>
      <c r="H183" s="21" t="str">
        <f aca="false">IF(Variants!$AD184="Active","TRUE","FALSE")</f>
        <v>TRUE</v>
      </c>
      <c r="I183" s="21" t="str">
        <f aca="false">IF(Variants!$H184="","","Color")</f>
        <v>Color</v>
      </c>
      <c r="J183" s="21" t="str">
        <f aca="false">IF(Variants!$H184="","",Variants!$H184)</f>
        <v>turquoise</v>
      </c>
      <c r="K183" s="21" t="str">
        <f aca="false">IF(Variants!$G184="","","Size")</f>
        <v/>
      </c>
      <c r="L183" s="21" t="str">
        <f aca="false">IF(Variants!$G184="","",Variants!$G184)</f>
        <v/>
      </c>
      <c r="M183" s="21" t="str">
        <f aca="false">Variants!$A184</f>
        <v>KARNI-BRAC-ALPHA-SHA-TURQUOISE</v>
      </c>
      <c r="N183" s="21" t="str">
        <f aca="false">IF(Variants!$X184="","",Variants!$X184)</f>
        <v/>
      </c>
      <c r="O183" s="21" t="n">
        <f aca="false">IF(Variants!$O184="","",Variants!$O184)</f>
        <v>0</v>
      </c>
      <c r="P183" s="18" t="n">
        <f aca="false">IF(Variants!$J184="","",Variants!$J184)</f>
        <v>49.4</v>
      </c>
      <c r="Q183" s="21" t="str">
        <f aca="false">IF(Variants!$U184="","",Variants!$U184)</f>
        <v/>
      </c>
      <c r="R183" s="21" t="str">
        <f aca="false">IF(Variants!$Y184="","",Variants!$Y184)</f>
        <v/>
      </c>
      <c r="S183" s="21" t="n">
        <f aca="false">IFERROR(VLOOKUP(Variants!$B184,Designs!$A$3:$AP$165,37,FALSE()),"")</f>
        <v>0</v>
      </c>
      <c r="T183" s="21" t="str">
        <f aca="false">IFERROR(VLOOKUP(Variants!$B184,Designs!$A$3:$AP$165,38,FALSE()),"")</f>
        <v>No</v>
      </c>
      <c r="U183" s="21" t="str">
        <f aca="false">IF(Variants!$AD184="Active","active","draft")</f>
        <v>active</v>
      </c>
    </row>
    <row r="184" customFormat="false" ht="15.75" hidden="false" customHeight="true" outlineLevel="0" collapsed="false">
      <c r="A184" s="21" t="str">
        <f aca="false">IF(Variants!$B185="","",LOWER(Variants!$B185))</f>
        <v>dsgn-brac-alpha-sha</v>
      </c>
      <c r="B184" s="21" t="str">
        <f aca="false">IF(Variants!$B185="","",Variants!$C185&amp;IF(Variants!$F185="",""," "&amp;Variants!$F185))</f>
        <v>Bird Letter Bracelet Շ</v>
      </c>
      <c r="C184" s="21" t="str">
        <f aca="false">IFERROR(IF(Variants!$B185="","","&lt;p&gt;"&amp;VLOOKUP(Variants!$B185,Designs!$A$3:$AP$165,9,FALSE())&amp;"&lt;/p&gt;"),"")</f>
        <v>&lt;p&gt;Bird letters are an ornamental medieval Armenian script where each letter is formed from stylised birds, used in illuminated manuscripts.&lt;/p&gt;</v>
      </c>
      <c r="D184" s="21" t="str">
        <f aca="false">IF(Variants!$B185="","","Karni Jewellery")</f>
        <v>Karni Jewellery</v>
      </c>
      <c r="E184" s="21" t="str">
        <f aca="false">IF(Variants!$B185="","","Apparel &amp; Accessories &gt; Jewelry")</f>
        <v>Apparel &amp; Accessories &gt; Jewelry</v>
      </c>
      <c r="F184" s="21" t="str">
        <f aca="false">IF(Variants!$D185="","",Variants!$D185)</f>
        <v>Bracelet</v>
      </c>
      <c r="G184" s="21" t="str">
        <f aca="false">IF(Variants!$E185="","",Variants!$E185&amp;", Armenian jewellery, handmade")</f>
        <v>Alphabet, Armenian jewellery, handmade</v>
      </c>
      <c r="H184" s="21" t="str">
        <f aca="false">IF(Variants!$AD185="Active","TRUE","FALSE")</f>
        <v>TRUE</v>
      </c>
      <c r="I184" s="21" t="str">
        <f aca="false">IF(Variants!$H185="","","Color")</f>
        <v>Color</v>
      </c>
      <c r="J184" s="21" t="str">
        <f aca="false">IF(Variants!$H185="","",Variants!$H185)</f>
        <v>white</v>
      </c>
      <c r="K184" s="21" t="str">
        <f aca="false">IF(Variants!$G185="","","Size")</f>
        <v/>
      </c>
      <c r="L184" s="21" t="str">
        <f aca="false">IF(Variants!$G185="","",Variants!$G185)</f>
        <v/>
      </c>
      <c r="M184" s="21" t="str">
        <f aca="false">Variants!$A185</f>
        <v>KARNI-BRAC-ALPHA-SHA-WHITE</v>
      </c>
      <c r="N184" s="21" t="str">
        <f aca="false">IF(Variants!$X185="","",Variants!$X185)</f>
        <v/>
      </c>
      <c r="O184" s="21" t="n">
        <f aca="false">IF(Variants!$O185="","",Variants!$O185)</f>
        <v>0</v>
      </c>
      <c r="P184" s="18" t="n">
        <f aca="false">IF(Variants!$J185="","",Variants!$J185)</f>
        <v>49.4</v>
      </c>
      <c r="Q184" s="21" t="str">
        <f aca="false">IF(Variants!$U185="","",Variants!$U185)</f>
        <v/>
      </c>
      <c r="R184" s="21" t="str">
        <f aca="false">IF(Variants!$Y185="","",Variants!$Y185)</f>
        <v/>
      </c>
      <c r="S184" s="21" t="n">
        <f aca="false">IFERROR(VLOOKUP(Variants!$B185,Designs!$A$3:$AP$165,37,FALSE()),"")</f>
        <v>0</v>
      </c>
      <c r="T184" s="21" t="str">
        <f aca="false">IFERROR(VLOOKUP(Variants!$B185,Designs!$A$3:$AP$165,38,FALSE()),"")</f>
        <v>No</v>
      </c>
      <c r="U184" s="21" t="str">
        <f aca="false">IF(Variants!$AD185="Active","active","draft")</f>
        <v>active</v>
      </c>
    </row>
    <row r="185" customFormat="false" ht="15.75" hidden="false" customHeight="true" outlineLevel="0" collapsed="false">
      <c r="A185" s="21" t="str">
        <f aca="false">IF(Variants!$B186="","",LOWER(Variants!$B186))</f>
        <v>dsgn-brac-alpha-vo</v>
      </c>
      <c r="B185" s="21" t="str">
        <f aca="false">IF(Variants!$B186="","",Variants!$C186&amp;IF(Variants!$F186="",""," "&amp;Variants!$F186))</f>
        <v>Bird Letter Bracelet Ո</v>
      </c>
      <c r="C185" s="21" t="str">
        <f aca="false">IFERROR(IF(Variants!$B186="","","&lt;p&gt;"&amp;VLOOKUP(Variants!$B186,Designs!$A$3:$AP$165,9,FALSE())&amp;"&lt;/p&gt;"),"")</f>
        <v>&lt;p&gt;Bird letters are an ornamental medieval Armenian script where each letter is formed from stylised birds, used in illuminated manuscripts.&lt;/p&gt;</v>
      </c>
      <c r="D185" s="21" t="str">
        <f aca="false">IF(Variants!$B186="","","Karni Jewellery")</f>
        <v>Karni Jewellery</v>
      </c>
      <c r="E185" s="21" t="str">
        <f aca="false">IF(Variants!$B186="","","Apparel &amp; Accessories &gt; Jewelry")</f>
        <v>Apparel &amp; Accessories &gt; Jewelry</v>
      </c>
      <c r="F185" s="21" t="str">
        <f aca="false">IF(Variants!$D186="","",Variants!$D186)</f>
        <v>Bracelet</v>
      </c>
      <c r="G185" s="21" t="str">
        <f aca="false">IF(Variants!$E186="","",Variants!$E186&amp;", Armenian jewellery, handmade")</f>
        <v>Alphabet, Armenian jewellery, handmade</v>
      </c>
      <c r="H185" s="21" t="str">
        <f aca="false">IF(Variants!$AD186="Active","TRUE","FALSE")</f>
        <v>TRUE</v>
      </c>
      <c r="I185" s="21" t="str">
        <f aca="false">IF(Variants!$H186="","","Color")</f>
        <v>Color</v>
      </c>
      <c r="J185" s="21" t="str">
        <f aca="false">IF(Variants!$H186="","",Variants!$H186)</f>
        <v>red</v>
      </c>
      <c r="K185" s="21" t="str">
        <f aca="false">IF(Variants!$G186="","","Size")</f>
        <v/>
      </c>
      <c r="L185" s="21" t="str">
        <f aca="false">IF(Variants!$G186="","",Variants!$G186)</f>
        <v/>
      </c>
      <c r="M185" s="21" t="str">
        <f aca="false">Variants!$A186</f>
        <v>KARNI-BRAC-ALPHA-VO-RED</v>
      </c>
      <c r="N185" s="21" t="str">
        <f aca="false">IF(Variants!$X186="","",Variants!$X186)</f>
        <v/>
      </c>
      <c r="O185" s="21" t="n">
        <f aca="false">IF(Variants!$O186="","",Variants!$O186)</f>
        <v>0</v>
      </c>
      <c r="P185" s="18" t="n">
        <f aca="false">IF(Variants!$J186="","",Variants!$J186)</f>
        <v>49.4</v>
      </c>
      <c r="Q185" s="21" t="str">
        <f aca="false">IF(Variants!$U186="","",Variants!$U186)</f>
        <v/>
      </c>
      <c r="R185" s="21" t="str">
        <f aca="false">IF(Variants!$Y186="","",Variants!$Y186)</f>
        <v/>
      </c>
      <c r="S185" s="21" t="n">
        <f aca="false">IFERROR(VLOOKUP(Variants!$B186,Designs!$A$3:$AP$165,37,FALSE()),"")</f>
        <v>0</v>
      </c>
      <c r="T185" s="21" t="str">
        <f aca="false">IFERROR(VLOOKUP(Variants!$B186,Designs!$A$3:$AP$165,38,FALSE()),"")</f>
        <v>No</v>
      </c>
      <c r="U185" s="21" t="str">
        <f aca="false">IF(Variants!$AD186="Active","active","draft")</f>
        <v>active</v>
      </c>
    </row>
    <row r="186" customFormat="false" ht="15.75" hidden="false" customHeight="true" outlineLevel="0" collapsed="false">
      <c r="A186" s="21" t="str">
        <f aca="false">IF(Variants!$B187="","",LOWER(Variants!$B187))</f>
        <v>dsgn-brac-alpha-vo</v>
      </c>
      <c r="B186" s="21" t="str">
        <f aca="false">IF(Variants!$B187="","",Variants!$C187&amp;IF(Variants!$F187="",""," "&amp;Variants!$F187))</f>
        <v>Bird Letter Bracelet Ո</v>
      </c>
      <c r="C186" s="21" t="str">
        <f aca="false">IFERROR(IF(Variants!$B187="","","&lt;p&gt;"&amp;VLOOKUP(Variants!$B187,Designs!$A$3:$AP$165,9,FALSE())&amp;"&lt;/p&gt;"),"")</f>
        <v>&lt;p&gt;Bird letters are an ornamental medieval Armenian script where each letter is formed from stylised birds, used in illuminated manuscripts.&lt;/p&gt;</v>
      </c>
      <c r="D186" s="21" t="str">
        <f aca="false">IF(Variants!$B187="","","Karni Jewellery")</f>
        <v>Karni Jewellery</v>
      </c>
      <c r="E186" s="21" t="str">
        <f aca="false">IF(Variants!$B187="","","Apparel &amp; Accessories &gt; Jewelry")</f>
        <v>Apparel &amp; Accessories &gt; Jewelry</v>
      </c>
      <c r="F186" s="21" t="str">
        <f aca="false">IF(Variants!$D187="","",Variants!$D187)</f>
        <v>Bracelet</v>
      </c>
      <c r="G186" s="21" t="str">
        <f aca="false">IF(Variants!$E187="","",Variants!$E187&amp;", Armenian jewellery, handmade")</f>
        <v>Alphabet, Armenian jewellery, handmade</v>
      </c>
      <c r="H186" s="21" t="str">
        <f aca="false">IF(Variants!$AD187="Active","TRUE","FALSE")</f>
        <v>TRUE</v>
      </c>
      <c r="I186" s="21" t="str">
        <f aca="false">IF(Variants!$H187="","","Color")</f>
        <v>Color</v>
      </c>
      <c r="J186" s="21" t="str">
        <f aca="false">IF(Variants!$H187="","",Variants!$H187)</f>
        <v>turquoise</v>
      </c>
      <c r="K186" s="21" t="str">
        <f aca="false">IF(Variants!$G187="","","Size")</f>
        <v/>
      </c>
      <c r="L186" s="21" t="str">
        <f aca="false">IF(Variants!$G187="","",Variants!$G187)</f>
        <v/>
      </c>
      <c r="M186" s="21" t="str">
        <f aca="false">Variants!$A187</f>
        <v>KARNI-BRAC-ALPHA-VO-TURQUOISE</v>
      </c>
      <c r="N186" s="21" t="str">
        <f aca="false">IF(Variants!$X187="","",Variants!$X187)</f>
        <v/>
      </c>
      <c r="O186" s="21" t="n">
        <f aca="false">IF(Variants!$O187="","",Variants!$O187)</f>
        <v>0</v>
      </c>
      <c r="P186" s="18" t="n">
        <f aca="false">IF(Variants!$J187="","",Variants!$J187)</f>
        <v>49.4</v>
      </c>
      <c r="Q186" s="21" t="str">
        <f aca="false">IF(Variants!$U187="","",Variants!$U187)</f>
        <v/>
      </c>
      <c r="R186" s="21" t="str">
        <f aca="false">IF(Variants!$Y187="","",Variants!$Y187)</f>
        <v/>
      </c>
      <c r="S186" s="21" t="n">
        <f aca="false">IFERROR(VLOOKUP(Variants!$B187,Designs!$A$3:$AP$165,37,FALSE()),"")</f>
        <v>0</v>
      </c>
      <c r="T186" s="21" t="str">
        <f aca="false">IFERROR(VLOOKUP(Variants!$B187,Designs!$A$3:$AP$165,38,FALSE()),"")</f>
        <v>No</v>
      </c>
      <c r="U186" s="21" t="str">
        <f aca="false">IF(Variants!$AD187="Active","active","draft")</f>
        <v>active</v>
      </c>
    </row>
    <row r="187" customFormat="false" ht="15.75" hidden="false" customHeight="true" outlineLevel="0" collapsed="false">
      <c r="A187" s="21" t="str">
        <f aca="false">IF(Variants!$B188="","",LOWER(Variants!$B188))</f>
        <v>dsgn-brac-alpha-vo</v>
      </c>
      <c r="B187" s="21" t="str">
        <f aca="false">IF(Variants!$B188="","",Variants!$C188&amp;IF(Variants!$F188="",""," "&amp;Variants!$F188))</f>
        <v>Bird Letter Bracelet Ո</v>
      </c>
      <c r="C187" s="21" t="str">
        <f aca="false">IFERROR(IF(Variants!$B188="","","&lt;p&gt;"&amp;VLOOKUP(Variants!$B188,Designs!$A$3:$AP$165,9,FALSE())&amp;"&lt;/p&gt;"),"")</f>
        <v>&lt;p&gt;Bird letters are an ornamental medieval Armenian script where each letter is formed from stylised birds, used in illuminated manuscripts.&lt;/p&gt;</v>
      </c>
      <c r="D187" s="21" t="str">
        <f aca="false">IF(Variants!$B188="","","Karni Jewellery")</f>
        <v>Karni Jewellery</v>
      </c>
      <c r="E187" s="21" t="str">
        <f aca="false">IF(Variants!$B188="","","Apparel &amp; Accessories &gt; Jewelry")</f>
        <v>Apparel &amp; Accessories &gt; Jewelry</v>
      </c>
      <c r="F187" s="21" t="str">
        <f aca="false">IF(Variants!$D188="","",Variants!$D188)</f>
        <v>Bracelet</v>
      </c>
      <c r="G187" s="21" t="str">
        <f aca="false">IF(Variants!$E188="","",Variants!$E188&amp;", Armenian jewellery, handmade")</f>
        <v>Alphabet, Armenian jewellery, handmade</v>
      </c>
      <c r="H187" s="21" t="str">
        <f aca="false">IF(Variants!$AD188="Active","TRUE","FALSE")</f>
        <v>TRUE</v>
      </c>
      <c r="I187" s="21" t="str">
        <f aca="false">IF(Variants!$H188="","","Color")</f>
        <v>Color</v>
      </c>
      <c r="J187" s="21" t="str">
        <f aca="false">IF(Variants!$H188="","",Variants!$H188)</f>
        <v>white</v>
      </c>
      <c r="K187" s="21" t="str">
        <f aca="false">IF(Variants!$G188="","","Size")</f>
        <v/>
      </c>
      <c r="L187" s="21" t="str">
        <f aca="false">IF(Variants!$G188="","",Variants!$G188)</f>
        <v/>
      </c>
      <c r="M187" s="21" t="str">
        <f aca="false">Variants!$A188</f>
        <v>KARNI-BRAC-ALPHA-VO-WHITE</v>
      </c>
      <c r="N187" s="21" t="str">
        <f aca="false">IF(Variants!$X188="","",Variants!$X188)</f>
        <v/>
      </c>
      <c r="O187" s="21" t="n">
        <f aca="false">IF(Variants!$O188="","",Variants!$O188)</f>
        <v>0</v>
      </c>
      <c r="P187" s="18" t="n">
        <f aca="false">IF(Variants!$J188="","",Variants!$J188)</f>
        <v>49.4</v>
      </c>
      <c r="Q187" s="21" t="str">
        <f aca="false">IF(Variants!$U188="","",Variants!$U188)</f>
        <v/>
      </c>
      <c r="R187" s="21" t="str">
        <f aca="false">IF(Variants!$Y188="","",Variants!$Y188)</f>
        <v/>
      </c>
      <c r="S187" s="21" t="n">
        <f aca="false">IFERROR(VLOOKUP(Variants!$B188,Designs!$A$3:$AP$165,37,FALSE()),"")</f>
        <v>0</v>
      </c>
      <c r="T187" s="21" t="str">
        <f aca="false">IFERROR(VLOOKUP(Variants!$B188,Designs!$A$3:$AP$165,38,FALSE()),"")</f>
        <v>No</v>
      </c>
      <c r="U187" s="21" t="str">
        <f aca="false">IF(Variants!$AD188="Active","active","draft")</f>
        <v>active</v>
      </c>
    </row>
    <row r="188" customFormat="false" ht="15.75" hidden="false" customHeight="true" outlineLevel="0" collapsed="false">
      <c r="A188" s="21" t="str">
        <f aca="false">IF(Variants!$B189="","",LOWER(Variants!$B189))</f>
        <v>dsgn-brac-alpha-cha</v>
      </c>
      <c r="B188" s="21" t="str">
        <f aca="false">IF(Variants!$B189="","",Variants!$C189&amp;IF(Variants!$F189="",""," "&amp;Variants!$F189))</f>
        <v>Bird Letter Bracelet Չ</v>
      </c>
      <c r="C188" s="21" t="str">
        <f aca="false">IFERROR(IF(Variants!$B189="","","&lt;p&gt;"&amp;VLOOKUP(Variants!$B189,Designs!$A$3:$AP$165,9,FALSE())&amp;"&lt;/p&gt;"),"")</f>
        <v>&lt;p&gt;Bird letters are an ornamental medieval Armenian script where each letter is formed from stylised birds, used in illuminated manuscripts.&lt;/p&gt;</v>
      </c>
      <c r="D188" s="21" t="str">
        <f aca="false">IF(Variants!$B189="","","Karni Jewellery")</f>
        <v>Karni Jewellery</v>
      </c>
      <c r="E188" s="21" t="str">
        <f aca="false">IF(Variants!$B189="","","Apparel &amp; Accessories &gt; Jewelry")</f>
        <v>Apparel &amp; Accessories &gt; Jewelry</v>
      </c>
      <c r="F188" s="21" t="str">
        <f aca="false">IF(Variants!$D189="","",Variants!$D189)</f>
        <v>Bracelet</v>
      </c>
      <c r="G188" s="21" t="str">
        <f aca="false">IF(Variants!$E189="","",Variants!$E189&amp;", Armenian jewellery, handmade")</f>
        <v>Alphabet, Armenian jewellery, handmade</v>
      </c>
      <c r="H188" s="21" t="str">
        <f aca="false">IF(Variants!$AD189="Active","TRUE","FALSE")</f>
        <v>TRUE</v>
      </c>
      <c r="I188" s="21" t="str">
        <f aca="false">IF(Variants!$H189="","","Color")</f>
        <v>Color</v>
      </c>
      <c r="J188" s="21" t="str">
        <f aca="false">IF(Variants!$H189="","",Variants!$H189)</f>
        <v>red</v>
      </c>
      <c r="K188" s="21" t="str">
        <f aca="false">IF(Variants!$G189="","","Size")</f>
        <v/>
      </c>
      <c r="L188" s="21" t="str">
        <f aca="false">IF(Variants!$G189="","",Variants!$G189)</f>
        <v/>
      </c>
      <c r="M188" s="21" t="str">
        <f aca="false">Variants!$A189</f>
        <v>KARNI-BRAC-ALPHA-CHA-RED</v>
      </c>
      <c r="N188" s="21" t="str">
        <f aca="false">IF(Variants!$X189="","",Variants!$X189)</f>
        <v/>
      </c>
      <c r="O188" s="21" t="n">
        <f aca="false">IF(Variants!$O189="","",Variants!$O189)</f>
        <v>0</v>
      </c>
      <c r="P188" s="18" t="n">
        <f aca="false">IF(Variants!$J189="","",Variants!$J189)</f>
        <v>49.4</v>
      </c>
      <c r="Q188" s="21" t="str">
        <f aca="false">IF(Variants!$U189="","",Variants!$U189)</f>
        <v/>
      </c>
      <c r="R188" s="21" t="str">
        <f aca="false">IF(Variants!$Y189="","",Variants!$Y189)</f>
        <v/>
      </c>
      <c r="S188" s="21" t="n">
        <f aca="false">IFERROR(VLOOKUP(Variants!$B189,Designs!$A$3:$AP$165,37,FALSE()),"")</f>
        <v>0</v>
      </c>
      <c r="T188" s="21" t="str">
        <f aca="false">IFERROR(VLOOKUP(Variants!$B189,Designs!$A$3:$AP$165,38,FALSE()),"")</f>
        <v>No</v>
      </c>
      <c r="U188" s="21" t="str">
        <f aca="false">IF(Variants!$AD189="Active","active","draft")</f>
        <v>active</v>
      </c>
    </row>
    <row r="189" customFormat="false" ht="15.75" hidden="false" customHeight="true" outlineLevel="0" collapsed="false">
      <c r="A189" s="21" t="str">
        <f aca="false">IF(Variants!$B190="","",LOWER(Variants!$B190))</f>
        <v>dsgn-brac-alpha-cha</v>
      </c>
      <c r="B189" s="21" t="str">
        <f aca="false">IF(Variants!$B190="","",Variants!$C190&amp;IF(Variants!$F190="",""," "&amp;Variants!$F190))</f>
        <v>Bird Letter Bracelet Չ</v>
      </c>
      <c r="C189" s="21" t="str">
        <f aca="false">IFERROR(IF(Variants!$B190="","","&lt;p&gt;"&amp;VLOOKUP(Variants!$B190,Designs!$A$3:$AP$165,9,FALSE())&amp;"&lt;/p&gt;"),"")</f>
        <v>&lt;p&gt;Bird letters are an ornamental medieval Armenian script where each letter is formed from stylised birds, used in illuminated manuscripts.&lt;/p&gt;</v>
      </c>
      <c r="D189" s="21" t="str">
        <f aca="false">IF(Variants!$B190="","","Karni Jewellery")</f>
        <v>Karni Jewellery</v>
      </c>
      <c r="E189" s="21" t="str">
        <f aca="false">IF(Variants!$B190="","","Apparel &amp; Accessories &gt; Jewelry")</f>
        <v>Apparel &amp; Accessories &gt; Jewelry</v>
      </c>
      <c r="F189" s="21" t="str">
        <f aca="false">IF(Variants!$D190="","",Variants!$D190)</f>
        <v>Bracelet</v>
      </c>
      <c r="G189" s="21" t="str">
        <f aca="false">IF(Variants!$E190="","",Variants!$E190&amp;", Armenian jewellery, handmade")</f>
        <v>Alphabet, Armenian jewellery, handmade</v>
      </c>
      <c r="H189" s="21" t="str">
        <f aca="false">IF(Variants!$AD190="Active","TRUE","FALSE")</f>
        <v>TRUE</v>
      </c>
      <c r="I189" s="21" t="str">
        <f aca="false">IF(Variants!$H190="","","Color")</f>
        <v>Color</v>
      </c>
      <c r="J189" s="21" t="str">
        <f aca="false">IF(Variants!$H190="","",Variants!$H190)</f>
        <v>turquoise</v>
      </c>
      <c r="K189" s="21" t="str">
        <f aca="false">IF(Variants!$G190="","","Size")</f>
        <v/>
      </c>
      <c r="L189" s="21" t="str">
        <f aca="false">IF(Variants!$G190="","",Variants!$G190)</f>
        <v/>
      </c>
      <c r="M189" s="21" t="str">
        <f aca="false">Variants!$A190</f>
        <v>KARNI-BRAC-ALPHA-CHA-TURQUOISE</v>
      </c>
      <c r="N189" s="21" t="str">
        <f aca="false">IF(Variants!$X190="","",Variants!$X190)</f>
        <v/>
      </c>
      <c r="O189" s="21" t="n">
        <f aca="false">IF(Variants!$O190="","",Variants!$O190)</f>
        <v>0</v>
      </c>
      <c r="P189" s="18" t="n">
        <f aca="false">IF(Variants!$J190="","",Variants!$J190)</f>
        <v>49.4</v>
      </c>
      <c r="Q189" s="21" t="str">
        <f aca="false">IF(Variants!$U190="","",Variants!$U190)</f>
        <v/>
      </c>
      <c r="R189" s="21" t="str">
        <f aca="false">IF(Variants!$Y190="","",Variants!$Y190)</f>
        <v/>
      </c>
      <c r="S189" s="21" t="n">
        <f aca="false">IFERROR(VLOOKUP(Variants!$B190,Designs!$A$3:$AP$165,37,FALSE()),"")</f>
        <v>0</v>
      </c>
      <c r="T189" s="21" t="str">
        <f aca="false">IFERROR(VLOOKUP(Variants!$B190,Designs!$A$3:$AP$165,38,FALSE()),"")</f>
        <v>No</v>
      </c>
      <c r="U189" s="21" t="str">
        <f aca="false">IF(Variants!$AD190="Active","active","draft")</f>
        <v>active</v>
      </c>
    </row>
    <row r="190" customFormat="false" ht="15.75" hidden="false" customHeight="true" outlineLevel="0" collapsed="false">
      <c r="A190" s="21" t="str">
        <f aca="false">IF(Variants!$B191="","",LOWER(Variants!$B191))</f>
        <v>dsgn-brac-alpha-cha</v>
      </c>
      <c r="B190" s="21" t="str">
        <f aca="false">IF(Variants!$B191="","",Variants!$C191&amp;IF(Variants!$F191="",""," "&amp;Variants!$F191))</f>
        <v>Bird Letter Bracelet Չ</v>
      </c>
      <c r="C190" s="21" t="str">
        <f aca="false">IFERROR(IF(Variants!$B191="","","&lt;p&gt;"&amp;VLOOKUP(Variants!$B191,Designs!$A$3:$AP$165,9,FALSE())&amp;"&lt;/p&gt;"),"")</f>
        <v>&lt;p&gt;Bird letters are an ornamental medieval Armenian script where each letter is formed from stylised birds, used in illuminated manuscripts.&lt;/p&gt;</v>
      </c>
      <c r="D190" s="21" t="str">
        <f aca="false">IF(Variants!$B191="","","Karni Jewellery")</f>
        <v>Karni Jewellery</v>
      </c>
      <c r="E190" s="21" t="str">
        <f aca="false">IF(Variants!$B191="","","Apparel &amp; Accessories &gt; Jewelry")</f>
        <v>Apparel &amp; Accessories &gt; Jewelry</v>
      </c>
      <c r="F190" s="21" t="str">
        <f aca="false">IF(Variants!$D191="","",Variants!$D191)</f>
        <v>Bracelet</v>
      </c>
      <c r="G190" s="21" t="str">
        <f aca="false">IF(Variants!$E191="","",Variants!$E191&amp;", Armenian jewellery, handmade")</f>
        <v>Alphabet, Armenian jewellery, handmade</v>
      </c>
      <c r="H190" s="21" t="str">
        <f aca="false">IF(Variants!$AD191="Active","TRUE","FALSE")</f>
        <v>TRUE</v>
      </c>
      <c r="I190" s="21" t="str">
        <f aca="false">IF(Variants!$H191="","","Color")</f>
        <v>Color</v>
      </c>
      <c r="J190" s="21" t="str">
        <f aca="false">IF(Variants!$H191="","",Variants!$H191)</f>
        <v>white</v>
      </c>
      <c r="K190" s="21" t="str">
        <f aca="false">IF(Variants!$G191="","","Size")</f>
        <v/>
      </c>
      <c r="L190" s="21" t="str">
        <f aca="false">IF(Variants!$G191="","",Variants!$G191)</f>
        <v/>
      </c>
      <c r="M190" s="21" t="str">
        <f aca="false">Variants!$A191</f>
        <v>KARNI-BRAC-ALPHA-CHA-WHITE</v>
      </c>
      <c r="N190" s="21" t="str">
        <f aca="false">IF(Variants!$X191="","",Variants!$X191)</f>
        <v/>
      </c>
      <c r="O190" s="21" t="n">
        <f aca="false">IF(Variants!$O191="","",Variants!$O191)</f>
        <v>0</v>
      </c>
      <c r="P190" s="18" t="n">
        <f aca="false">IF(Variants!$J191="","",Variants!$J191)</f>
        <v>49.4</v>
      </c>
      <c r="Q190" s="21" t="str">
        <f aca="false">IF(Variants!$U191="","",Variants!$U191)</f>
        <v/>
      </c>
      <c r="R190" s="21" t="str">
        <f aca="false">IF(Variants!$Y191="","",Variants!$Y191)</f>
        <v/>
      </c>
      <c r="S190" s="21" t="n">
        <f aca="false">IFERROR(VLOOKUP(Variants!$B191,Designs!$A$3:$AP$165,37,FALSE()),"")</f>
        <v>0</v>
      </c>
      <c r="T190" s="21" t="str">
        <f aca="false">IFERROR(VLOOKUP(Variants!$B191,Designs!$A$3:$AP$165,38,FALSE()),"")</f>
        <v>No</v>
      </c>
      <c r="U190" s="21" t="str">
        <f aca="false">IF(Variants!$AD191="Active","active","draft")</f>
        <v>active</v>
      </c>
    </row>
    <row r="191" customFormat="false" ht="15.75" hidden="false" customHeight="true" outlineLevel="0" collapsed="false">
      <c r="A191" s="21" t="str">
        <f aca="false">IF(Variants!$B192="","",LOWER(Variants!$B192))</f>
        <v>dsgn-brac-alpha-peh</v>
      </c>
      <c r="B191" s="21" t="str">
        <f aca="false">IF(Variants!$B192="","",Variants!$C192&amp;IF(Variants!$F192="",""," "&amp;Variants!$F192))</f>
        <v>Bird Letter Bracelet Պ</v>
      </c>
      <c r="C191" s="21" t="str">
        <f aca="false">IFERROR(IF(Variants!$B192="","","&lt;p&gt;"&amp;VLOOKUP(Variants!$B192,Designs!$A$3:$AP$165,9,FALSE())&amp;"&lt;/p&gt;"),"")</f>
        <v>&lt;p&gt;Bird letters are an ornamental medieval Armenian script where each letter is formed from stylised birds, used in illuminated manuscripts.&lt;/p&gt;</v>
      </c>
      <c r="D191" s="21" t="str">
        <f aca="false">IF(Variants!$B192="","","Karni Jewellery")</f>
        <v>Karni Jewellery</v>
      </c>
      <c r="E191" s="21" t="str">
        <f aca="false">IF(Variants!$B192="","","Apparel &amp; Accessories &gt; Jewelry")</f>
        <v>Apparel &amp; Accessories &gt; Jewelry</v>
      </c>
      <c r="F191" s="21" t="str">
        <f aca="false">IF(Variants!$D192="","",Variants!$D192)</f>
        <v>Bracelet</v>
      </c>
      <c r="G191" s="21" t="str">
        <f aca="false">IF(Variants!$E192="","",Variants!$E192&amp;", Armenian jewellery, handmade")</f>
        <v>Alphabet, Armenian jewellery, handmade</v>
      </c>
      <c r="H191" s="21" t="str">
        <f aca="false">IF(Variants!$AD192="Active","TRUE","FALSE")</f>
        <v>TRUE</v>
      </c>
      <c r="I191" s="21" t="str">
        <f aca="false">IF(Variants!$H192="","","Color")</f>
        <v>Color</v>
      </c>
      <c r="J191" s="21" t="str">
        <f aca="false">IF(Variants!$H192="","",Variants!$H192)</f>
        <v>red</v>
      </c>
      <c r="K191" s="21" t="str">
        <f aca="false">IF(Variants!$G192="","","Size")</f>
        <v/>
      </c>
      <c r="L191" s="21" t="str">
        <f aca="false">IF(Variants!$G192="","",Variants!$G192)</f>
        <v/>
      </c>
      <c r="M191" s="21" t="str">
        <f aca="false">Variants!$A192</f>
        <v>KARNI-BRAC-ALPHA-PEH-RED</v>
      </c>
      <c r="N191" s="21" t="str">
        <f aca="false">IF(Variants!$X192="","",Variants!$X192)</f>
        <v/>
      </c>
      <c r="O191" s="21" t="n">
        <f aca="false">IF(Variants!$O192="","",Variants!$O192)</f>
        <v>0</v>
      </c>
      <c r="P191" s="18" t="n">
        <f aca="false">IF(Variants!$J192="","",Variants!$J192)</f>
        <v>49.4</v>
      </c>
      <c r="Q191" s="21" t="str">
        <f aca="false">IF(Variants!$U192="","",Variants!$U192)</f>
        <v/>
      </c>
      <c r="R191" s="21" t="str">
        <f aca="false">IF(Variants!$Y192="","",Variants!$Y192)</f>
        <v/>
      </c>
      <c r="S191" s="21" t="n">
        <f aca="false">IFERROR(VLOOKUP(Variants!$B192,Designs!$A$3:$AP$165,37,FALSE()),"")</f>
        <v>0</v>
      </c>
      <c r="T191" s="21" t="str">
        <f aca="false">IFERROR(VLOOKUP(Variants!$B192,Designs!$A$3:$AP$165,38,FALSE()),"")</f>
        <v>No</v>
      </c>
      <c r="U191" s="21" t="str">
        <f aca="false">IF(Variants!$AD192="Active","active","draft")</f>
        <v>active</v>
      </c>
    </row>
    <row r="192" customFormat="false" ht="15.75" hidden="false" customHeight="true" outlineLevel="0" collapsed="false">
      <c r="A192" s="21" t="str">
        <f aca="false">IF(Variants!$B193="","",LOWER(Variants!$B193))</f>
        <v>dsgn-brac-alpha-peh</v>
      </c>
      <c r="B192" s="21" t="str">
        <f aca="false">IF(Variants!$B193="","",Variants!$C193&amp;IF(Variants!$F193="",""," "&amp;Variants!$F193))</f>
        <v>Bird Letter Bracelet Պ</v>
      </c>
      <c r="C192" s="21" t="str">
        <f aca="false">IFERROR(IF(Variants!$B193="","","&lt;p&gt;"&amp;VLOOKUP(Variants!$B193,Designs!$A$3:$AP$165,9,FALSE())&amp;"&lt;/p&gt;"),"")</f>
        <v>&lt;p&gt;Bird letters are an ornamental medieval Armenian script where each letter is formed from stylised birds, used in illuminated manuscripts.&lt;/p&gt;</v>
      </c>
      <c r="D192" s="21" t="str">
        <f aca="false">IF(Variants!$B193="","","Karni Jewellery")</f>
        <v>Karni Jewellery</v>
      </c>
      <c r="E192" s="21" t="str">
        <f aca="false">IF(Variants!$B193="","","Apparel &amp; Accessories &gt; Jewelry")</f>
        <v>Apparel &amp; Accessories &gt; Jewelry</v>
      </c>
      <c r="F192" s="21" t="str">
        <f aca="false">IF(Variants!$D193="","",Variants!$D193)</f>
        <v>Bracelet</v>
      </c>
      <c r="G192" s="21" t="str">
        <f aca="false">IF(Variants!$E193="","",Variants!$E193&amp;", Armenian jewellery, handmade")</f>
        <v>Alphabet, Armenian jewellery, handmade</v>
      </c>
      <c r="H192" s="21" t="str">
        <f aca="false">IF(Variants!$AD193="Active","TRUE","FALSE")</f>
        <v>TRUE</v>
      </c>
      <c r="I192" s="21" t="str">
        <f aca="false">IF(Variants!$H193="","","Color")</f>
        <v>Color</v>
      </c>
      <c r="J192" s="21" t="str">
        <f aca="false">IF(Variants!$H193="","",Variants!$H193)</f>
        <v>turquoise</v>
      </c>
      <c r="K192" s="21" t="str">
        <f aca="false">IF(Variants!$G193="","","Size")</f>
        <v/>
      </c>
      <c r="L192" s="21" t="str">
        <f aca="false">IF(Variants!$G193="","",Variants!$G193)</f>
        <v/>
      </c>
      <c r="M192" s="21" t="str">
        <f aca="false">Variants!$A193</f>
        <v>KARNI-BRAC-ALPHA-PEH-TURQUOISE</v>
      </c>
      <c r="N192" s="21" t="str">
        <f aca="false">IF(Variants!$X193="","",Variants!$X193)</f>
        <v/>
      </c>
      <c r="O192" s="21" t="n">
        <f aca="false">IF(Variants!$O193="","",Variants!$O193)</f>
        <v>0</v>
      </c>
      <c r="P192" s="18" t="n">
        <f aca="false">IF(Variants!$J193="","",Variants!$J193)</f>
        <v>49.4</v>
      </c>
      <c r="Q192" s="21" t="str">
        <f aca="false">IF(Variants!$U193="","",Variants!$U193)</f>
        <v/>
      </c>
      <c r="R192" s="21" t="str">
        <f aca="false">IF(Variants!$Y193="","",Variants!$Y193)</f>
        <v/>
      </c>
      <c r="S192" s="21" t="n">
        <f aca="false">IFERROR(VLOOKUP(Variants!$B193,Designs!$A$3:$AP$165,37,FALSE()),"")</f>
        <v>0</v>
      </c>
      <c r="T192" s="21" t="str">
        <f aca="false">IFERROR(VLOOKUP(Variants!$B193,Designs!$A$3:$AP$165,38,FALSE()),"")</f>
        <v>No</v>
      </c>
      <c r="U192" s="21" t="str">
        <f aca="false">IF(Variants!$AD193="Active","active","draft")</f>
        <v>active</v>
      </c>
    </row>
    <row r="193" customFormat="false" ht="15.75" hidden="false" customHeight="true" outlineLevel="0" collapsed="false">
      <c r="A193" s="21" t="str">
        <f aca="false">IF(Variants!$B194="","",LOWER(Variants!$B194))</f>
        <v>dsgn-brac-alpha-peh</v>
      </c>
      <c r="B193" s="21" t="str">
        <f aca="false">IF(Variants!$B194="","",Variants!$C194&amp;IF(Variants!$F194="",""," "&amp;Variants!$F194))</f>
        <v>Bird Letter Bracelet Պ</v>
      </c>
      <c r="C193" s="21" t="str">
        <f aca="false">IFERROR(IF(Variants!$B194="","","&lt;p&gt;"&amp;VLOOKUP(Variants!$B194,Designs!$A$3:$AP$165,9,FALSE())&amp;"&lt;/p&gt;"),"")</f>
        <v>&lt;p&gt;Bird letters are an ornamental medieval Armenian script where each letter is formed from stylised birds, used in illuminated manuscripts.&lt;/p&gt;</v>
      </c>
      <c r="D193" s="21" t="str">
        <f aca="false">IF(Variants!$B194="","","Karni Jewellery")</f>
        <v>Karni Jewellery</v>
      </c>
      <c r="E193" s="21" t="str">
        <f aca="false">IF(Variants!$B194="","","Apparel &amp; Accessories &gt; Jewelry")</f>
        <v>Apparel &amp; Accessories &gt; Jewelry</v>
      </c>
      <c r="F193" s="21" t="str">
        <f aca="false">IF(Variants!$D194="","",Variants!$D194)</f>
        <v>Bracelet</v>
      </c>
      <c r="G193" s="21" t="str">
        <f aca="false">IF(Variants!$E194="","",Variants!$E194&amp;", Armenian jewellery, handmade")</f>
        <v>Alphabet, Armenian jewellery, handmade</v>
      </c>
      <c r="H193" s="21" t="str">
        <f aca="false">IF(Variants!$AD194="Active","TRUE","FALSE")</f>
        <v>TRUE</v>
      </c>
      <c r="I193" s="21" t="str">
        <f aca="false">IF(Variants!$H194="","","Color")</f>
        <v>Color</v>
      </c>
      <c r="J193" s="21" t="str">
        <f aca="false">IF(Variants!$H194="","",Variants!$H194)</f>
        <v>white</v>
      </c>
      <c r="K193" s="21" t="str">
        <f aca="false">IF(Variants!$G194="","","Size")</f>
        <v/>
      </c>
      <c r="L193" s="21" t="str">
        <f aca="false">IF(Variants!$G194="","",Variants!$G194)</f>
        <v/>
      </c>
      <c r="M193" s="21" t="str">
        <f aca="false">Variants!$A194</f>
        <v>KARNI-BRAC-ALPHA-PEH-WHITE</v>
      </c>
      <c r="N193" s="21" t="str">
        <f aca="false">IF(Variants!$X194="","",Variants!$X194)</f>
        <v/>
      </c>
      <c r="O193" s="21" t="n">
        <f aca="false">IF(Variants!$O194="","",Variants!$O194)</f>
        <v>0</v>
      </c>
      <c r="P193" s="18" t="n">
        <f aca="false">IF(Variants!$J194="","",Variants!$J194)</f>
        <v>49.4</v>
      </c>
      <c r="Q193" s="21" t="str">
        <f aca="false">IF(Variants!$U194="","",Variants!$U194)</f>
        <v/>
      </c>
      <c r="R193" s="21" t="str">
        <f aca="false">IF(Variants!$Y194="","",Variants!$Y194)</f>
        <v/>
      </c>
      <c r="S193" s="21" t="n">
        <f aca="false">IFERROR(VLOOKUP(Variants!$B194,Designs!$A$3:$AP$165,37,FALSE()),"")</f>
        <v>0</v>
      </c>
      <c r="T193" s="21" t="str">
        <f aca="false">IFERROR(VLOOKUP(Variants!$B194,Designs!$A$3:$AP$165,38,FALSE()),"")</f>
        <v>No</v>
      </c>
      <c r="U193" s="21" t="str">
        <f aca="false">IF(Variants!$AD194="Active","active","draft")</f>
        <v>active</v>
      </c>
    </row>
    <row r="194" customFormat="false" ht="15.75" hidden="false" customHeight="true" outlineLevel="0" collapsed="false">
      <c r="A194" s="21" t="str">
        <f aca="false">IF(Variants!$B195="","",LOWER(Variants!$B195))</f>
        <v>dsgn-brac-alpha-jheh</v>
      </c>
      <c r="B194" s="21" t="str">
        <f aca="false">IF(Variants!$B195="","",Variants!$C195&amp;IF(Variants!$F195="",""," "&amp;Variants!$F195))</f>
        <v>Bird Letter Bracelet Ջ</v>
      </c>
      <c r="C194" s="21" t="str">
        <f aca="false">IFERROR(IF(Variants!$B195="","","&lt;p&gt;"&amp;VLOOKUP(Variants!$B195,Designs!$A$3:$AP$165,9,FALSE())&amp;"&lt;/p&gt;"),"")</f>
        <v>&lt;p&gt;Bird letters are an ornamental medieval Armenian script where each letter is formed from stylised birds, used in illuminated manuscripts.&lt;/p&gt;</v>
      </c>
      <c r="D194" s="21" t="str">
        <f aca="false">IF(Variants!$B195="","","Karni Jewellery")</f>
        <v>Karni Jewellery</v>
      </c>
      <c r="E194" s="21" t="str">
        <f aca="false">IF(Variants!$B195="","","Apparel &amp; Accessories &gt; Jewelry")</f>
        <v>Apparel &amp; Accessories &gt; Jewelry</v>
      </c>
      <c r="F194" s="21" t="str">
        <f aca="false">IF(Variants!$D195="","",Variants!$D195)</f>
        <v>Bracelet</v>
      </c>
      <c r="G194" s="21" t="str">
        <f aca="false">IF(Variants!$E195="","",Variants!$E195&amp;", Armenian jewellery, handmade")</f>
        <v>Alphabet, Armenian jewellery, handmade</v>
      </c>
      <c r="H194" s="21" t="str">
        <f aca="false">IF(Variants!$AD195="Active","TRUE","FALSE")</f>
        <v>TRUE</v>
      </c>
      <c r="I194" s="21" t="str">
        <f aca="false">IF(Variants!$H195="","","Color")</f>
        <v>Color</v>
      </c>
      <c r="J194" s="21" t="str">
        <f aca="false">IF(Variants!$H195="","",Variants!$H195)</f>
        <v>red</v>
      </c>
      <c r="K194" s="21" t="str">
        <f aca="false">IF(Variants!$G195="","","Size")</f>
        <v/>
      </c>
      <c r="L194" s="21" t="str">
        <f aca="false">IF(Variants!$G195="","",Variants!$G195)</f>
        <v/>
      </c>
      <c r="M194" s="21" t="str">
        <f aca="false">Variants!$A195</f>
        <v>KARNI-BRAC-ALPHA-JHEH-RED</v>
      </c>
      <c r="N194" s="21" t="str">
        <f aca="false">IF(Variants!$X195="","",Variants!$X195)</f>
        <v/>
      </c>
      <c r="O194" s="21" t="n">
        <f aca="false">IF(Variants!$O195="","",Variants!$O195)</f>
        <v>0</v>
      </c>
      <c r="P194" s="18" t="n">
        <f aca="false">IF(Variants!$J195="","",Variants!$J195)</f>
        <v>49.4</v>
      </c>
      <c r="Q194" s="21" t="str">
        <f aca="false">IF(Variants!$U195="","",Variants!$U195)</f>
        <v/>
      </c>
      <c r="R194" s="21" t="str">
        <f aca="false">IF(Variants!$Y195="","",Variants!$Y195)</f>
        <v/>
      </c>
      <c r="S194" s="21" t="n">
        <f aca="false">IFERROR(VLOOKUP(Variants!$B195,Designs!$A$3:$AP$165,37,FALSE()),"")</f>
        <v>0</v>
      </c>
      <c r="T194" s="21" t="str">
        <f aca="false">IFERROR(VLOOKUP(Variants!$B195,Designs!$A$3:$AP$165,38,FALSE()),"")</f>
        <v>No</v>
      </c>
      <c r="U194" s="21" t="str">
        <f aca="false">IF(Variants!$AD195="Active","active","draft")</f>
        <v>active</v>
      </c>
    </row>
    <row r="195" customFormat="false" ht="15.75" hidden="false" customHeight="true" outlineLevel="0" collapsed="false">
      <c r="A195" s="21" t="str">
        <f aca="false">IF(Variants!$B196="","",LOWER(Variants!$B196))</f>
        <v>dsgn-brac-alpha-jheh</v>
      </c>
      <c r="B195" s="21" t="str">
        <f aca="false">IF(Variants!$B196="","",Variants!$C196&amp;IF(Variants!$F196="",""," "&amp;Variants!$F196))</f>
        <v>Bird Letter Bracelet Ջ</v>
      </c>
      <c r="C195" s="21" t="str">
        <f aca="false">IFERROR(IF(Variants!$B196="","","&lt;p&gt;"&amp;VLOOKUP(Variants!$B196,Designs!$A$3:$AP$165,9,FALSE())&amp;"&lt;/p&gt;"),"")</f>
        <v>&lt;p&gt;Bird letters are an ornamental medieval Armenian script where each letter is formed from stylised birds, used in illuminated manuscripts.&lt;/p&gt;</v>
      </c>
      <c r="D195" s="21" t="str">
        <f aca="false">IF(Variants!$B196="","","Karni Jewellery")</f>
        <v>Karni Jewellery</v>
      </c>
      <c r="E195" s="21" t="str">
        <f aca="false">IF(Variants!$B196="","","Apparel &amp; Accessories &gt; Jewelry")</f>
        <v>Apparel &amp; Accessories &gt; Jewelry</v>
      </c>
      <c r="F195" s="21" t="str">
        <f aca="false">IF(Variants!$D196="","",Variants!$D196)</f>
        <v>Bracelet</v>
      </c>
      <c r="G195" s="21" t="str">
        <f aca="false">IF(Variants!$E196="","",Variants!$E196&amp;", Armenian jewellery, handmade")</f>
        <v>Alphabet, Armenian jewellery, handmade</v>
      </c>
      <c r="H195" s="21" t="str">
        <f aca="false">IF(Variants!$AD196="Active","TRUE","FALSE")</f>
        <v>TRUE</v>
      </c>
      <c r="I195" s="21" t="str">
        <f aca="false">IF(Variants!$H196="","","Color")</f>
        <v>Color</v>
      </c>
      <c r="J195" s="21" t="str">
        <f aca="false">IF(Variants!$H196="","",Variants!$H196)</f>
        <v>turquoise</v>
      </c>
      <c r="K195" s="21" t="str">
        <f aca="false">IF(Variants!$G196="","","Size")</f>
        <v/>
      </c>
      <c r="L195" s="21" t="str">
        <f aca="false">IF(Variants!$G196="","",Variants!$G196)</f>
        <v/>
      </c>
      <c r="M195" s="21" t="str">
        <f aca="false">Variants!$A196</f>
        <v>KARNI-BRAC-ALPHA-JHEH-TURQUOISE</v>
      </c>
      <c r="N195" s="21" t="str">
        <f aca="false">IF(Variants!$X196="","",Variants!$X196)</f>
        <v/>
      </c>
      <c r="O195" s="21" t="n">
        <f aca="false">IF(Variants!$O196="","",Variants!$O196)</f>
        <v>0</v>
      </c>
      <c r="P195" s="18" t="n">
        <f aca="false">IF(Variants!$J196="","",Variants!$J196)</f>
        <v>49.4</v>
      </c>
      <c r="Q195" s="21" t="str">
        <f aca="false">IF(Variants!$U196="","",Variants!$U196)</f>
        <v/>
      </c>
      <c r="R195" s="21" t="str">
        <f aca="false">IF(Variants!$Y196="","",Variants!$Y196)</f>
        <v/>
      </c>
      <c r="S195" s="21" t="n">
        <f aca="false">IFERROR(VLOOKUP(Variants!$B196,Designs!$A$3:$AP$165,37,FALSE()),"")</f>
        <v>0</v>
      </c>
      <c r="T195" s="21" t="str">
        <f aca="false">IFERROR(VLOOKUP(Variants!$B196,Designs!$A$3:$AP$165,38,FALSE()),"")</f>
        <v>No</v>
      </c>
      <c r="U195" s="21" t="str">
        <f aca="false">IF(Variants!$AD196="Active","active","draft")</f>
        <v>active</v>
      </c>
    </row>
    <row r="196" customFormat="false" ht="15.75" hidden="false" customHeight="true" outlineLevel="0" collapsed="false">
      <c r="A196" s="21" t="str">
        <f aca="false">IF(Variants!$B197="","",LOWER(Variants!$B197))</f>
        <v>dsgn-brac-alpha-jheh</v>
      </c>
      <c r="B196" s="21" t="str">
        <f aca="false">IF(Variants!$B197="","",Variants!$C197&amp;IF(Variants!$F197="",""," "&amp;Variants!$F197))</f>
        <v>Bird Letter Bracelet Ջ</v>
      </c>
      <c r="C196" s="21" t="str">
        <f aca="false">IFERROR(IF(Variants!$B197="","","&lt;p&gt;"&amp;VLOOKUP(Variants!$B197,Designs!$A$3:$AP$165,9,FALSE())&amp;"&lt;/p&gt;"),"")</f>
        <v>&lt;p&gt;Bird letters are an ornamental medieval Armenian script where each letter is formed from stylised birds, used in illuminated manuscripts.&lt;/p&gt;</v>
      </c>
      <c r="D196" s="21" t="str">
        <f aca="false">IF(Variants!$B197="","","Karni Jewellery")</f>
        <v>Karni Jewellery</v>
      </c>
      <c r="E196" s="21" t="str">
        <f aca="false">IF(Variants!$B197="","","Apparel &amp; Accessories &gt; Jewelry")</f>
        <v>Apparel &amp; Accessories &gt; Jewelry</v>
      </c>
      <c r="F196" s="21" t="str">
        <f aca="false">IF(Variants!$D197="","",Variants!$D197)</f>
        <v>Bracelet</v>
      </c>
      <c r="G196" s="21" t="str">
        <f aca="false">IF(Variants!$E197="","",Variants!$E197&amp;", Armenian jewellery, handmade")</f>
        <v>Alphabet, Armenian jewellery, handmade</v>
      </c>
      <c r="H196" s="21" t="str">
        <f aca="false">IF(Variants!$AD197="Active","TRUE","FALSE")</f>
        <v>TRUE</v>
      </c>
      <c r="I196" s="21" t="str">
        <f aca="false">IF(Variants!$H197="","","Color")</f>
        <v>Color</v>
      </c>
      <c r="J196" s="21" t="str">
        <f aca="false">IF(Variants!$H197="","",Variants!$H197)</f>
        <v>white</v>
      </c>
      <c r="K196" s="21" t="str">
        <f aca="false">IF(Variants!$G197="","","Size")</f>
        <v/>
      </c>
      <c r="L196" s="21" t="str">
        <f aca="false">IF(Variants!$G197="","",Variants!$G197)</f>
        <v/>
      </c>
      <c r="M196" s="21" t="str">
        <f aca="false">Variants!$A197</f>
        <v>KARNI-BRAC-ALPHA-JHEH-WHITE</v>
      </c>
      <c r="N196" s="21" t="str">
        <f aca="false">IF(Variants!$X197="","",Variants!$X197)</f>
        <v/>
      </c>
      <c r="O196" s="21" t="n">
        <f aca="false">IF(Variants!$O197="","",Variants!$O197)</f>
        <v>0</v>
      </c>
      <c r="P196" s="18" t="n">
        <f aca="false">IF(Variants!$J197="","",Variants!$J197)</f>
        <v>49.4</v>
      </c>
      <c r="Q196" s="21" t="str">
        <f aca="false">IF(Variants!$U197="","",Variants!$U197)</f>
        <v/>
      </c>
      <c r="R196" s="21" t="str">
        <f aca="false">IF(Variants!$Y197="","",Variants!$Y197)</f>
        <v/>
      </c>
      <c r="S196" s="21" t="n">
        <f aca="false">IFERROR(VLOOKUP(Variants!$B197,Designs!$A$3:$AP$165,37,FALSE()),"")</f>
        <v>0</v>
      </c>
      <c r="T196" s="21" t="str">
        <f aca="false">IFERROR(VLOOKUP(Variants!$B197,Designs!$A$3:$AP$165,38,FALSE()),"")</f>
        <v>No</v>
      </c>
      <c r="U196" s="21" t="str">
        <f aca="false">IF(Variants!$AD197="Active","active","draft")</f>
        <v>active</v>
      </c>
    </row>
    <row r="197" customFormat="false" ht="15.75" hidden="false" customHeight="true" outlineLevel="0" collapsed="false">
      <c r="A197" s="21" t="str">
        <f aca="false">IF(Variants!$B198="","",LOWER(Variants!$B198))</f>
        <v>dsgn-brac-alpha-ra</v>
      </c>
      <c r="B197" s="21" t="str">
        <f aca="false">IF(Variants!$B198="","",Variants!$C198&amp;IF(Variants!$F198="",""," "&amp;Variants!$F198))</f>
        <v>Bird Letter Bracelet Ռ</v>
      </c>
      <c r="C197" s="21" t="str">
        <f aca="false">IFERROR(IF(Variants!$B198="","","&lt;p&gt;"&amp;VLOOKUP(Variants!$B198,Designs!$A$3:$AP$165,9,FALSE())&amp;"&lt;/p&gt;"),"")</f>
        <v>&lt;p&gt;Bird letters are an ornamental medieval Armenian script where each letter is formed from stylised birds, used in illuminated manuscripts.&lt;/p&gt;</v>
      </c>
      <c r="D197" s="21" t="str">
        <f aca="false">IF(Variants!$B198="","","Karni Jewellery")</f>
        <v>Karni Jewellery</v>
      </c>
      <c r="E197" s="21" t="str">
        <f aca="false">IF(Variants!$B198="","","Apparel &amp; Accessories &gt; Jewelry")</f>
        <v>Apparel &amp; Accessories &gt; Jewelry</v>
      </c>
      <c r="F197" s="21" t="str">
        <f aca="false">IF(Variants!$D198="","",Variants!$D198)</f>
        <v>Bracelet</v>
      </c>
      <c r="G197" s="21" t="str">
        <f aca="false">IF(Variants!$E198="","",Variants!$E198&amp;", Armenian jewellery, handmade")</f>
        <v>Alphabet, Armenian jewellery, handmade</v>
      </c>
      <c r="H197" s="21" t="str">
        <f aca="false">IF(Variants!$AD198="Active","TRUE","FALSE")</f>
        <v>TRUE</v>
      </c>
      <c r="I197" s="21" t="str">
        <f aca="false">IF(Variants!$H198="","","Color")</f>
        <v>Color</v>
      </c>
      <c r="J197" s="21" t="str">
        <f aca="false">IF(Variants!$H198="","",Variants!$H198)</f>
        <v>red</v>
      </c>
      <c r="K197" s="21" t="str">
        <f aca="false">IF(Variants!$G198="","","Size")</f>
        <v/>
      </c>
      <c r="L197" s="21" t="str">
        <f aca="false">IF(Variants!$G198="","",Variants!$G198)</f>
        <v/>
      </c>
      <c r="M197" s="21" t="str">
        <f aca="false">Variants!$A198</f>
        <v>KARNI-BRAC-ALPHA-RA-RED</v>
      </c>
      <c r="N197" s="21" t="str">
        <f aca="false">IF(Variants!$X198="","",Variants!$X198)</f>
        <v/>
      </c>
      <c r="O197" s="21" t="n">
        <f aca="false">IF(Variants!$O198="","",Variants!$O198)</f>
        <v>0</v>
      </c>
      <c r="P197" s="18" t="n">
        <f aca="false">IF(Variants!$J198="","",Variants!$J198)</f>
        <v>49.4</v>
      </c>
      <c r="Q197" s="21" t="str">
        <f aca="false">IF(Variants!$U198="","",Variants!$U198)</f>
        <v/>
      </c>
      <c r="R197" s="21" t="str">
        <f aca="false">IF(Variants!$Y198="","",Variants!$Y198)</f>
        <v/>
      </c>
      <c r="S197" s="21" t="n">
        <f aca="false">IFERROR(VLOOKUP(Variants!$B198,Designs!$A$3:$AP$165,37,FALSE()),"")</f>
        <v>0</v>
      </c>
      <c r="T197" s="21" t="str">
        <f aca="false">IFERROR(VLOOKUP(Variants!$B198,Designs!$A$3:$AP$165,38,FALSE()),"")</f>
        <v>No</v>
      </c>
      <c r="U197" s="21" t="str">
        <f aca="false">IF(Variants!$AD198="Active","active","draft")</f>
        <v>active</v>
      </c>
    </row>
    <row r="198" customFormat="false" ht="15.75" hidden="false" customHeight="true" outlineLevel="0" collapsed="false">
      <c r="A198" s="21" t="str">
        <f aca="false">IF(Variants!$B199="","",LOWER(Variants!$B199))</f>
        <v>dsgn-brac-alpha-ra</v>
      </c>
      <c r="B198" s="21" t="str">
        <f aca="false">IF(Variants!$B199="","",Variants!$C199&amp;IF(Variants!$F199="",""," "&amp;Variants!$F199))</f>
        <v>Bird Letter Bracelet Ռ</v>
      </c>
      <c r="C198" s="21" t="str">
        <f aca="false">IFERROR(IF(Variants!$B199="","","&lt;p&gt;"&amp;VLOOKUP(Variants!$B199,Designs!$A$3:$AP$165,9,FALSE())&amp;"&lt;/p&gt;"),"")</f>
        <v>&lt;p&gt;Bird letters are an ornamental medieval Armenian script where each letter is formed from stylised birds, used in illuminated manuscripts.&lt;/p&gt;</v>
      </c>
      <c r="D198" s="21" t="str">
        <f aca="false">IF(Variants!$B199="","","Karni Jewellery")</f>
        <v>Karni Jewellery</v>
      </c>
      <c r="E198" s="21" t="str">
        <f aca="false">IF(Variants!$B199="","","Apparel &amp; Accessories &gt; Jewelry")</f>
        <v>Apparel &amp; Accessories &gt; Jewelry</v>
      </c>
      <c r="F198" s="21" t="str">
        <f aca="false">IF(Variants!$D199="","",Variants!$D199)</f>
        <v>Bracelet</v>
      </c>
      <c r="G198" s="21" t="str">
        <f aca="false">IF(Variants!$E199="","",Variants!$E199&amp;", Armenian jewellery, handmade")</f>
        <v>Alphabet, Armenian jewellery, handmade</v>
      </c>
      <c r="H198" s="21" t="str">
        <f aca="false">IF(Variants!$AD199="Active","TRUE","FALSE")</f>
        <v>TRUE</v>
      </c>
      <c r="I198" s="21" t="str">
        <f aca="false">IF(Variants!$H199="","","Color")</f>
        <v>Color</v>
      </c>
      <c r="J198" s="21" t="str">
        <f aca="false">IF(Variants!$H199="","",Variants!$H199)</f>
        <v>turquoise</v>
      </c>
      <c r="K198" s="21" t="str">
        <f aca="false">IF(Variants!$G199="","","Size")</f>
        <v/>
      </c>
      <c r="L198" s="21" t="str">
        <f aca="false">IF(Variants!$G199="","",Variants!$G199)</f>
        <v/>
      </c>
      <c r="M198" s="21" t="str">
        <f aca="false">Variants!$A199</f>
        <v>KARNI-BRAC-ALPHA-RA-TURQUOISE</v>
      </c>
      <c r="N198" s="21" t="str">
        <f aca="false">IF(Variants!$X199="","",Variants!$X199)</f>
        <v/>
      </c>
      <c r="O198" s="21" t="n">
        <f aca="false">IF(Variants!$O199="","",Variants!$O199)</f>
        <v>0</v>
      </c>
      <c r="P198" s="18" t="n">
        <f aca="false">IF(Variants!$J199="","",Variants!$J199)</f>
        <v>49.4</v>
      </c>
      <c r="Q198" s="21" t="str">
        <f aca="false">IF(Variants!$U199="","",Variants!$U199)</f>
        <v/>
      </c>
      <c r="R198" s="21" t="str">
        <f aca="false">IF(Variants!$Y199="","",Variants!$Y199)</f>
        <v/>
      </c>
      <c r="S198" s="21" t="n">
        <f aca="false">IFERROR(VLOOKUP(Variants!$B199,Designs!$A$3:$AP$165,37,FALSE()),"")</f>
        <v>0</v>
      </c>
      <c r="T198" s="21" t="str">
        <f aca="false">IFERROR(VLOOKUP(Variants!$B199,Designs!$A$3:$AP$165,38,FALSE()),"")</f>
        <v>No</v>
      </c>
      <c r="U198" s="21" t="str">
        <f aca="false">IF(Variants!$AD199="Active","active","draft")</f>
        <v>active</v>
      </c>
    </row>
    <row r="199" customFormat="false" ht="15.75" hidden="false" customHeight="true" outlineLevel="0" collapsed="false">
      <c r="A199" s="21" t="str">
        <f aca="false">IF(Variants!$B200="","",LOWER(Variants!$B200))</f>
        <v>dsgn-brac-alpha-ra</v>
      </c>
      <c r="B199" s="21" t="str">
        <f aca="false">IF(Variants!$B200="","",Variants!$C200&amp;IF(Variants!$F200="",""," "&amp;Variants!$F200))</f>
        <v>Bird Letter Bracelet Ռ</v>
      </c>
      <c r="C199" s="21" t="str">
        <f aca="false">IFERROR(IF(Variants!$B200="","","&lt;p&gt;"&amp;VLOOKUP(Variants!$B200,Designs!$A$3:$AP$165,9,FALSE())&amp;"&lt;/p&gt;"),"")</f>
        <v>&lt;p&gt;Bird letters are an ornamental medieval Armenian script where each letter is formed from stylised birds, used in illuminated manuscripts.&lt;/p&gt;</v>
      </c>
      <c r="D199" s="21" t="str">
        <f aca="false">IF(Variants!$B200="","","Karni Jewellery")</f>
        <v>Karni Jewellery</v>
      </c>
      <c r="E199" s="21" t="str">
        <f aca="false">IF(Variants!$B200="","","Apparel &amp; Accessories &gt; Jewelry")</f>
        <v>Apparel &amp; Accessories &gt; Jewelry</v>
      </c>
      <c r="F199" s="21" t="str">
        <f aca="false">IF(Variants!$D200="","",Variants!$D200)</f>
        <v>Bracelet</v>
      </c>
      <c r="G199" s="21" t="str">
        <f aca="false">IF(Variants!$E200="","",Variants!$E200&amp;", Armenian jewellery, handmade")</f>
        <v>Alphabet, Armenian jewellery, handmade</v>
      </c>
      <c r="H199" s="21" t="str">
        <f aca="false">IF(Variants!$AD200="Active","TRUE","FALSE")</f>
        <v>TRUE</v>
      </c>
      <c r="I199" s="21" t="str">
        <f aca="false">IF(Variants!$H200="","","Color")</f>
        <v>Color</v>
      </c>
      <c r="J199" s="21" t="str">
        <f aca="false">IF(Variants!$H200="","",Variants!$H200)</f>
        <v>white</v>
      </c>
      <c r="K199" s="21" t="str">
        <f aca="false">IF(Variants!$G200="","","Size")</f>
        <v/>
      </c>
      <c r="L199" s="21" t="str">
        <f aca="false">IF(Variants!$G200="","",Variants!$G200)</f>
        <v/>
      </c>
      <c r="M199" s="21" t="str">
        <f aca="false">Variants!$A200</f>
        <v>KARNI-BRAC-ALPHA-RA-WHITE</v>
      </c>
      <c r="N199" s="21" t="str">
        <f aca="false">IF(Variants!$X200="","",Variants!$X200)</f>
        <v/>
      </c>
      <c r="O199" s="21" t="n">
        <f aca="false">IF(Variants!$O200="","",Variants!$O200)</f>
        <v>0</v>
      </c>
      <c r="P199" s="18" t="n">
        <f aca="false">IF(Variants!$J200="","",Variants!$J200)</f>
        <v>49.4</v>
      </c>
      <c r="Q199" s="21" t="str">
        <f aca="false">IF(Variants!$U200="","",Variants!$U200)</f>
        <v/>
      </c>
      <c r="R199" s="21" t="str">
        <f aca="false">IF(Variants!$Y200="","",Variants!$Y200)</f>
        <v/>
      </c>
      <c r="S199" s="21" t="n">
        <f aca="false">IFERROR(VLOOKUP(Variants!$B200,Designs!$A$3:$AP$165,37,FALSE()),"")</f>
        <v>0</v>
      </c>
      <c r="T199" s="21" t="str">
        <f aca="false">IFERROR(VLOOKUP(Variants!$B200,Designs!$A$3:$AP$165,38,FALSE()),"")</f>
        <v>No</v>
      </c>
      <c r="U199" s="21" t="str">
        <f aca="false">IF(Variants!$AD200="Active","active","draft")</f>
        <v>active</v>
      </c>
    </row>
    <row r="200" customFormat="false" ht="15.75" hidden="false" customHeight="true" outlineLevel="0" collapsed="false">
      <c r="A200" s="21" t="str">
        <f aca="false">IF(Variants!$B201="","",LOWER(Variants!$B201))</f>
        <v>dsgn-brac-alpha-seh</v>
      </c>
      <c r="B200" s="21" t="str">
        <f aca="false">IF(Variants!$B201="","",Variants!$C201&amp;IF(Variants!$F201="",""," "&amp;Variants!$F201))</f>
        <v>Bird Letter Bracelet Ս</v>
      </c>
      <c r="C200" s="21" t="str">
        <f aca="false">IFERROR(IF(Variants!$B201="","","&lt;p&gt;"&amp;VLOOKUP(Variants!$B201,Designs!$A$3:$AP$165,9,FALSE())&amp;"&lt;/p&gt;"),"")</f>
        <v>&lt;p&gt;Bird letters are an ornamental medieval Armenian script where each letter is formed from stylised birds, used in illuminated manuscripts.&lt;/p&gt;</v>
      </c>
      <c r="D200" s="21" t="str">
        <f aca="false">IF(Variants!$B201="","","Karni Jewellery")</f>
        <v>Karni Jewellery</v>
      </c>
      <c r="E200" s="21" t="str">
        <f aca="false">IF(Variants!$B201="","","Apparel &amp; Accessories &gt; Jewelry")</f>
        <v>Apparel &amp; Accessories &gt; Jewelry</v>
      </c>
      <c r="F200" s="21" t="str">
        <f aca="false">IF(Variants!$D201="","",Variants!$D201)</f>
        <v>Bracelet</v>
      </c>
      <c r="G200" s="21" t="str">
        <f aca="false">IF(Variants!$E201="","",Variants!$E201&amp;", Armenian jewellery, handmade")</f>
        <v>Alphabet, Armenian jewellery, handmade</v>
      </c>
      <c r="H200" s="21" t="str">
        <f aca="false">IF(Variants!$AD201="Active","TRUE","FALSE")</f>
        <v>TRUE</v>
      </c>
      <c r="I200" s="21" t="str">
        <f aca="false">IF(Variants!$H201="","","Color")</f>
        <v>Color</v>
      </c>
      <c r="J200" s="21" t="str">
        <f aca="false">IF(Variants!$H201="","",Variants!$H201)</f>
        <v>red</v>
      </c>
      <c r="K200" s="21" t="str">
        <f aca="false">IF(Variants!$G201="","","Size")</f>
        <v/>
      </c>
      <c r="L200" s="21" t="str">
        <f aca="false">IF(Variants!$G201="","",Variants!$G201)</f>
        <v/>
      </c>
      <c r="M200" s="21" t="str">
        <f aca="false">Variants!$A201</f>
        <v>KARNI-BRAC-ALPHA-SEH-RED</v>
      </c>
      <c r="N200" s="21" t="str">
        <f aca="false">IF(Variants!$X201="","",Variants!$X201)</f>
        <v/>
      </c>
      <c r="O200" s="21" t="n">
        <f aca="false">IF(Variants!$O201="","",Variants!$O201)</f>
        <v>0</v>
      </c>
      <c r="P200" s="18" t="n">
        <f aca="false">IF(Variants!$J201="","",Variants!$J201)</f>
        <v>49.4</v>
      </c>
      <c r="Q200" s="21" t="str">
        <f aca="false">IF(Variants!$U201="","",Variants!$U201)</f>
        <v/>
      </c>
      <c r="R200" s="21" t="str">
        <f aca="false">IF(Variants!$Y201="","",Variants!$Y201)</f>
        <v/>
      </c>
      <c r="S200" s="21" t="n">
        <f aca="false">IFERROR(VLOOKUP(Variants!$B201,Designs!$A$3:$AP$165,37,FALSE()),"")</f>
        <v>0</v>
      </c>
      <c r="T200" s="21" t="str">
        <f aca="false">IFERROR(VLOOKUP(Variants!$B201,Designs!$A$3:$AP$165,38,FALSE()),"")</f>
        <v>No</v>
      </c>
      <c r="U200" s="21" t="str">
        <f aca="false">IF(Variants!$AD201="Active","active","draft")</f>
        <v>active</v>
      </c>
    </row>
    <row r="201" customFormat="false" ht="15.75" hidden="false" customHeight="true" outlineLevel="0" collapsed="false">
      <c r="A201" s="21" t="str">
        <f aca="false">IF(Variants!$B202="","",LOWER(Variants!$B202))</f>
        <v>dsgn-brac-alpha-seh</v>
      </c>
      <c r="B201" s="21" t="str">
        <f aca="false">IF(Variants!$B202="","",Variants!$C202&amp;IF(Variants!$F202="",""," "&amp;Variants!$F202))</f>
        <v>Bird Letter Bracelet Ս</v>
      </c>
      <c r="C201" s="21" t="str">
        <f aca="false">IFERROR(IF(Variants!$B202="","","&lt;p&gt;"&amp;VLOOKUP(Variants!$B202,Designs!$A$3:$AP$165,9,FALSE())&amp;"&lt;/p&gt;"),"")</f>
        <v>&lt;p&gt;Bird letters are an ornamental medieval Armenian script where each letter is formed from stylised birds, used in illuminated manuscripts.&lt;/p&gt;</v>
      </c>
      <c r="D201" s="21" t="str">
        <f aca="false">IF(Variants!$B202="","","Karni Jewellery")</f>
        <v>Karni Jewellery</v>
      </c>
      <c r="E201" s="21" t="str">
        <f aca="false">IF(Variants!$B202="","","Apparel &amp; Accessories &gt; Jewelry")</f>
        <v>Apparel &amp; Accessories &gt; Jewelry</v>
      </c>
      <c r="F201" s="21" t="str">
        <f aca="false">IF(Variants!$D202="","",Variants!$D202)</f>
        <v>Bracelet</v>
      </c>
      <c r="G201" s="21" t="str">
        <f aca="false">IF(Variants!$E202="","",Variants!$E202&amp;", Armenian jewellery, handmade")</f>
        <v>Alphabet, Armenian jewellery, handmade</v>
      </c>
      <c r="H201" s="21" t="str">
        <f aca="false">IF(Variants!$AD202="Active","TRUE","FALSE")</f>
        <v>TRUE</v>
      </c>
      <c r="I201" s="21" t="str">
        <f aca="false">IF(Variants!$H202="","","Color")</f>
        <v>Color</v>
      </c>
      <c r="J201" s="21" t="str">
        <f aca="false">IF(Variants!$H202="","",Variants!$H202)</f>
        <v>turquoise</v>
      </c>
      <c r="K201" s="21" t="str">
        <f aca="false">IF(Variants!$G202="","","Size")</f>
        <v/>
      </c>
      <c r="L201" s="21" t="str">
        <f aca="false">IF(Variants!$G202="","",Variants!$G202)</f>
        <v/>
      </c>
      <c r="M201" s="21" t="str">
        <f aca="false">Variants!$A202</f>
        <v>KARNI-BRAC-ALPHA-SEH-TURQUOISE</v>
      </c>
      <c r="N201" s="21" t="str">
        <f aca="false">IF(Variants!$X202="","",Variants!$X202)</f>
        <v/>
      </c>
      <c r="O201" s="21" t="n">
        <f aca="false">IF(Variants!$O202="","",Variants!$O202)</f>
        <v>0</v>
      </c>
      <c r="P201" s="18" t="n">
        <f aca="false">IF(Variants!$J202="","",Variants!$J202)</f>
        <v>49.4</v>
      </c>
      <c r="Q201" s="21" t="str">
        <f aca="false">IF(Variants!$U202="","",Variants!$U202)</f>
        <v/>
      </c>
      <c r="R201" s="21" t="str">
        <f aca="false">IF(Variants!$Y202="","",Variants!$Y202)</f>
        <v/>
      </c>
      <c r="S201" s="21" t="n">
        <f aca="false">IFERROR(VLOOKUP(Variants!$B202,Designs!$A$3:$AP$165,37,FALSE()),"")</f>
        <v>0</v>
      </c>
      <c r="T201" s="21" t="str">
        <f aca="false">IFERROR(VLOOKUP(Variants!$B202,Designs!$A$3:$AP$165,38,FALSE()),"")</f>
        <v>No</v>
      </c>
      <c r="U201" s="21" t="str">
        <f aca="false">IF(Variants!$AD202="Active","active","draft")</f>
        <v>active</v>
      </c>
    </row>
    <row r="202" customFormat="false" ht="15.75" hidden="false" customHeight="true" outlineLevel="0" collapsed="false">
      <c r="A202" s="21" t="str">
        <f aca="false">IF(Variants!$B203="","",LOWER(Variants!$B203))</f>
        <v>dsgn-brac-alpha-seh</v>
      </c>
      <c r="B202" s="21" t="str">
        <f aca="false">IF(Variants!$B203="","",Variants!$C203&amp;IF(Variants!$F203="",""," "&amp;Variants!$F203))</f>
        <v>Bird Letter Bracelet Ս</v>
      </c>
      <c r="C202" s="21" t="str">
        <f aca="false">IFERROR(IF(Variants!$B203="","","&lt;p&gt;"&amp;VLOOKUP(Variants!$B203,Designs!$A$3:$AP$165,9,FALSE())&amp;"&lt;/p&gt;"),"")</f>
        <v>&lt;p&gt;Bird letters are an ornamental medieval Armenian script where each letter is formed from stylised birds, used in illuminated manuscripts.&lt;/p&gt;</v>
      </c>
      <c r="D202" s="21" t="str">
        <f aca="false">IF(Variants!$B203="","","Karni Jewellery")</f>
        <v>Karni Jewellery</v>
      </c>
      <c r="E202" s="21" t="str">
        <f aca="false">IF(Variants!$B203="","","Apparel &amp; Accessories &gt; Jewelry")</f>
        <v>Apparel &amp; Accessories &gt; Jewelry</v>
      </c>
      <c r="F202" s="21" t="str">
        <f aca="false">IF(Variants!$D203="","",Variants!$D203)</f>
        <v>Bracelet</v>
      </c>
      <c r="G202" s="21" t="str">
        <f aca="false">IF(Variants!$E203="","",Variants!$E203&amp;", Armenian jewellery, handmade")</f>
        <v>Alphabet, Armenian jewellery, handmade</v>
      </c>
      <c r="H202" s="21" t="str">
        <f aca="false">IF(Variants!$AD203="Active","TRUE","FALSE")</f>
        <v>TRUE</v>
      </c>
      <c r="I202" s="21" t="str">
        <f aca="false">IF(Variants!$H203="","","Color")</f>
        <v>Color</v>
      </c>
      <c r="J202" s="21" t="str">
        <f aca="false">IF(Variants!$H203="","",Variants!$H203)</f>
        <v>white</v>
      </c>
      <c r="K202" s="21" t="str">
        <f aca="false">IF(Variants!$G203="","","Size")</f>
        <v/>
      </c>
      <c r="L202" s="21" t="str">
        <f aca="false">IF(Variants!$G203="","",Variants!$G203)</f>
        <v/>
      </c>
      <c r="M202" s="21" t="str">
        <f aca="false">Variants!$A203</f>
        <v>KARNI-BRAC-ALPHA-SEH-WHITE</v>
      </c>
      <c r="N202" s="21" t="str">
        <f aca="false">IF(Variants!$X203="","",Variants!$X203)</f>
        <v/>
      </c>
      <c r="O202" s="21" t="n">
        <f aca="false">IF(Variants!$O203="","",Variants!$O203)</f>
        <v>0</v>
      </c>
      <c r="P202" s="18" t="n">
        <f aca="false">IF(Variants!$J203="","",Variants!$J203)</f>
        <v>49.4</v>
      </c>
      <c r="Q202" s="21" t="str">
        <f aca="false">IF(Variants!$U203="","",Variants!$U203)</f>
        <v/>
      </c>
      <c r="R202" s="21" t="str">
        <f aca="false">IF(Variants!$Y203="","",Variants!$Y203)</f>
        <v/>
      </c>
      <c r="S202" s="21" t="n">
        <f aca="false">IFERROR(VLOOKUP(Variants!$B203,Designs!$A$3:$AP$165,37,FALSE()),"")</f>
        <v>0</v>
      </c>
      <c r="T202" s="21" t="str">
        <f aca="false">IFERROR(VLOOKUP(Variants!$B203,Designs!$A$3:$AP$165,38,FALSE()),"")</f>
        <v>No</v>
      </c>
      <c r="U202" s="21" t="str">
        <f aca="false">IF(Variants!$AD203="Active","active","draft")</f>
        <v>active</v>
      </c>
    </row>
    <row r="203" customFormat="false" ht="15.75" hidden="false" customHeight="true" outlineLevel="0" collapsed="false">
      <c r="A203" s="21" t="str">
        <f aca="false">IF(Variants!$B204="","",LOWER(Variants!$B204))</f>
        <v>dsgn-brac-alpha-vev</v>
      </c>
      <c r="B203" s="21" t="str">
        <f aca="false">IF(Variants!$B204="","",Variants!$C204&amp;IF(Variants!$F204="",""," "&amp;Variants!$F204))</f>
        <v>Bird Letter Bracelet Վ</v>
      </c>
      <c r="C203" s="21" t="str">
        <f aca="false">IFERROR(IF(Variants!$B204="","","&lt;p&gt;"&amp;VLOOKUP(Variants!$B204,Designs!$A$3:$AP$165,9,FALSE())&amp;"&lt;/p&gt;"),"")</f>
        <v>&lt;p&gt;Bird letters are an ornamental medieval Armenian script where each letter is formed from stylised birds, used in illuminated manuscripts.&lt;/p&gt;</v>
      </c>
      <c r="D203" s="21" t="str">
        <f aca="false">IF(Variants!$B204="","","Karni Jewellery")</f>
        <v>Karni Jewellery</v>
      </c>
      <c r="E203" s="21" t="str">
        <f aca="false">IF(Variants!$B204="","","Apparel &amp; Accessories &gt; Jewelry")</f>
        <v>Apparel &amp; Accessories &gt; Jewelry</v>
      </c>
      <c r="F203" s="21" t="str">
        <f aca="false">IF(Variants!$D204="","",Variants!$D204)</f>
        <v>Bracelet</v>
      </c>
      <c r="G203" s="21" t="str">
        <f aca="false">IF(Variants!$E204="","",Variants!$E204&amp;", Armenian jewellery, handmade")</f>
        <v>Alphabet, Armenian jewellery, handmade</v>
      </c>
      <c r="H203" s="21" t="str">
        <f aca="false">IF(Variants!$AD204="Active","TRUE","FALSE")</f>
        <v>TRUE</v>
      </c>
      <c r="I203" s="21" t="str">
        <f aca="false">IF(Variants!$H204="","","Color")</f>
        <v>Color</v>
      </c>
      <c r="J203" s="21" t="str">
        <f aca="false">IF(Variants!$H204="","",Variants!$H204)</f>
        <v>red</v>
      </c>
      <c r="K203" s="21" t="str">
        <f aca="false">IF(Variants!$G204="","","Size")</f>
        <v/>
      </c>
      <c r="L203" s="21" t="str">
        <f aca="false">IF(Variants!$G204="","",Variants!$G204)</f>
        <v/>
      </c>
      <c r="M203" s="21" t="str">
        <f aca="false">Variants!$A204</f>
        <v>KARNI-BRAC-ALPHA-VEV-RED</v>
      </c>
      <c r="N203" s="21" t="str">
        <f aca="false">IF(Variants!$X204="","",Variants!$X204)</f>
        <v/>
      </c>
      <c r="O203" s="21" t="n">
        <f aca="false">IF(Variants!$O204="","",Variants!$O204)</f>
        <v>0</v>
      </c>
      <c r="P203" s="18" t="n">
        <f aca="false">IF(Variants!$J204="","",Variants!$J204)</f>
        <v>49.4</v>
      </c>
      <c r="Q203" s="21" t="str">
        <f aca="false">IF(Variants!$U204="","",Variants!$U204)</f>
        <v/>
      </c>
      <c r="R203" s="21" t="str">
        <f aca="false">IF(Variants!$Y204="","",Variants!$Y204)</f>
        <v/>
      </c>
      <c r="S203" s="21" t="n">
        <f aca="false">IFERROR(VLOOKUP(Variants!$B204,Designs!$A$3:$AP$165,37,FALSE()),"")</f>
        <v>0</v>
      </c>
      <c r="T203" s="21" t="str">
        <f aca="false">IFERROR(VLOOKUP(Variants!$B204,Designs!$A$3:$AP$165,38,FALSE()),"")</f>
        <v>No</v>
      </c>
      <c r="U203" s="21" t="str">
        <f aca="false">IF(Variants!$AD204="Active","active","draft")</f>
        <v>active</v>
      </c>
    </row>
    <row r="204" customFormat="false" ht="15.75" hidden="false" customHeight="true" outlineLevel="0" collapsed="false">
      <c r="A204" s="21" t="str">
        <f aca="false">IF(Variants!$B205="","",LOWER(Variants!$B205))</f>
        <v>dsgn-brac-alpha-vev</v>
      </c>
      <c r="B204" s="21" t="str">
        <f aca="false">IF(Variants!$B205="","",Variants!$C205&amp;IF(Variants!$F205="",""," "&amp;Variants!$F205))</f>
        <v>Bird Letter Bracelet Վ</v>
      </c>
      <c r="C204" s="21" t="str">
        <f aca="false">IFERROR(IF(Variants!$B205="","","&lt;p&gt;"&amp;VLOOKUP(Variants!$B205,Designs!$A$3:$AP$165,9,FALSE())&amp;"&lt;/p&gt;"),"")</f>
        <v>&lt;p&gt;Bird letters are an ornamental medieval Armenian script where each letter is formed from stylised birds, used in illuminated manuscripts.&lt;/p&gt;</v>
      </c>
      <c r="D204" s="21" t="str">
        <f aca="false">IF(Variants!$B205="","","Karni Jewellery")</f>
        <v>Karni Jewellery</v>
      </c>
      <c r="E204" s="21" t="str">
        <f aca="false">IF(Variants!$B205="","","Apparel &amp; Accessories &gt; Jewelry")</f>
        <v>Apparel &amp; Accessories &gt; Jewelry</v>
      </c>
      <c r="F204" s="21" t="str">
        <f aca="false">IF(Variants!$D205="","",Variants!$D205)</f>
        <v>Bracelet</v>
      </c>
      <c r="G204" s="21" t="str">
        <f aca="false">IF(Variants!$E205="","",Variants!$E205&amp;", Armenian jewellery, handmade")</f>
        <v>Alphabet, Armenian jewellery, handmade</v>
      </c>
      <c r="H204" s="21" t="str">
        <f aca="false">IF(Variants!$AD205="Active","TRUE","FALSE")</f>
        <v>TRUE</v>
      </c>
      <c r="I204" s="21" t="str">
        <f aca="false">IF(Variants!$H205="","","Color")</f>
        <v>Color</v>
      </c>
      <c r="J204" s="21" t="str">
        <f aca="false">IF(Variants!$H205="","",Variants!$H205)</f>
        <v>turquoise</v>
      </c>
      <c r="K204" s="21" t="str">
        <f aca="false">IF(Variants!$G205="","","Size")</f>
        <v/>
      </c>
      <c r="L204" s="21" t="str">
        <f aca="false">IF(Variants!$G205="","",Variants!$G205)</f>
        <v/>
      </c>
      <c r="M204" s="21" t="str">
        <f aca="false">Variants!$A205</f>
        <v>KARNI-BRAC-ALPHA-VEV-TURQUOISE</v>
      </c>
      <c r="N204" s="21" t="str">
        <f aca="false">IF(Variants!$X205="","",Variants!$X205)</f>
        <v/>
      </c>
      <c r="O204" s="21" t="n">
        <f aca="false">IF(Variants!$O205="","",Variants!$O205)</f>
        <v>0</v>
      </c>
      <c r="P204" s="18" t="n">
        <f aca="false">IF(Variants!$J205="","",Variants!$J205)</f>
        <v>49.4</v>
      </c>
      <c r="Q204" s="21" t="str">
        <f aca="false">IF(Variants!$U205="","",Variants!$U205)</f>
        <v/>
      </c>
      <c r="R204" s="21" t="str">
        <f aca="false">IF(Variants!$Y205="","",Variants!$Y205)</f>
        <v/>
      </c>
      <c r="S204" s="21" t="n">
        <f aca="false">IFERROR(VLOOKUP(Variants!$B205,Designs!$A$3:$AP$165,37,FALSE()),"")</f>
        <v>0</v>
      </c>
      <c r="T204" s="21" t="str">
        <f aca="false">IFERROR(VLOOKUP(Variants!$B205,Designs!$A$3:$AP$165,38,FALSE()),"")</f>
        <v>No</v>
      </c>
      <c r="U204" s="21" t="str">
        <f aca="false">IF(Variants!$AD205="Active","active","draft")</f>
        <v>active</v>
      </c>
    </row>
    <row r="205" customFormat="false" ht="15.75" hidden="false" customHeight="true" outlineLevel="0" collapsed="false">
      <c r="A205" s="21" t="str">
        <f aca="false">IF(Variants!$B206="","",LOWER(Variants!$B206))</f>
        <v>dsgn-brac-alpha-vev</v>
      </c>
      <c r="B205" s="21" t="str">
        <f aca="false">IF(Variants!$B206="","",Variants!$C206&amp;IF(Variants!$F206="",""," "&amp;Variants!$F206))</f>
        <v>Bird Letter Bracelet Վ</v>
      </c>
      <c r="C205" s="21" t="str">
        <f aca="false">IFERROR(IF(Variants!$B206="","","&lt;p&gt;"&amp;VLOOKUP(Variants!$B206,Designs!$A$3:$AP$165,9,FALSE())&amp;"&lt;/p&gt;"),"")</f>
        <v>&lt;p&gt;Bird letters are an ornamental medieval Armenian script where each letter is formed from stylised birds, used in illuminated manuscripts.&lt;/p&gt;</v>
      </c>
      <c r="D205" s="21" t="str">
        <f aca="false">IF(Variants!$B206="","","Karni Jewellery")</f>
        <v>Karni Jewellery</v>
      </c>
      <c r="E205" s="21" t="str">
        <f aca="false">IF(Variants!$B206="","","Apparel &amp; Accessories &gt; Jewelry")</f>
        <v>Apparel &amp; Accessories &gt; Jewelry</v>
      </c>
      <c r="F205" s="21" t="str">
        <f aca="false">IF(Variants!$D206="","",Variants!$D206)</f>
        <v>Bracelet</v>
      </c>
      <c r="G205" s="21" t="str">
        <f aca="false">IF(Variants!$E206="","",Variants!$E206&amp;", Armenian jewellery, handmade")</f>
        <v>Alphabet, Armenian jewellery, handmade</v>
      </c>
      <c r="H205" s="21" t="str">
        <f aca="false">IF(Variants!$AD206="Active","TRUE","FALSE")</f>
        <v>TRUE</v>
      </c>
      <c r="I205" s="21" t="str">
        <f aca="false">IF(Variants!$H206="","","Color")</f>
        <v>Color</v>
      </c>
      <c r="J205" s="21" t="str">
        <f aca="false">IF(Variants!$H206="","",Variants!$H206)</f>
        <v>white</v>
      </c>
      <c r="K205" s="21" t="str">
        <f aca="false">IF(Variants!$G206="","","Size")</f>
        <v/>
      </c>
      <c r="L205" s="21" t="str">
        <f aca="false">IF(Variants!$G206="","",Variants!$G206)</f>
        <v/>
      </c>
      <c r="M205" s="21" t="str">
        <f aca="false">Variants!$A206</f>
        <v>KARNI-BRAC-ALPHA-VEV-WHITE</v>
      </c>
      <c r="N205" s="21" t="str">
        <f aca="false">IF(Variants!$X206="","",Variants!$X206)</f>
        <v/>
      </c>
      <c r="O205" s="21" t="n">
        <f aca="false">IF(Variants!$O206="","",Variants!$O206)</f>
        <v>0</v>
      </c>
      <c r="P205" s="18" t="n">
        <f aca="false">IF(Variants!$J206="","",Variants!$J206)</f>
        <v>49.4</v>
      </c>
      <c r="Q205" s="21" t="str">
        <f aca="false">IF(Variants!$U206="","",Variants!$U206)</f>
        <v/>
      </c>
      <c r="R205" s="21" t="str">
        <f aca="false">IF(Variants!$Y206="","",Variants!$Y206)</f>
        <v/>
      </c>
      <c r="S205" s="21" t="n">
        <f aca="false">IFERROR(VLOOKUP(Variants!$B206,Designs!$A$3:$AP$165,37,FALSE()),"")</f>
        <v>0</v>
      </c>
      <c r="T205" s="21" t="str">
        <f aca="false">IFERROR(VLOOKUP(Variants!$B206,Designs!$A$3:$AP$165,38,FALSE()),"")</f>
        <v>No</v>
      </c>
      <c r="U205" s="21" t="str">
        <f aca="false">IF(Variants!$AD206="Active","active","draft")</f>
        <v>active</v>
      </c>
    </row>
    <row r="206" customFormat="false" ht="15.75" hidden="false" customHeight="true" outlineLevel="0" collapsed="false">
      <c r="A206" s="21" t="str">
        <f aca="false">IF(Variants!$B207="","",LOWER(Variants!$B207))</f>
        <v>dsgn-brac-alpha-tyun</v>
      </c>
      <c r="B206" s="21" t="str">
        <f aca="false">IF(Variants!$B207="","",Variants!$C207&amp;IF(Variants!$F207="",""," "&amp;Variants!$F207))</f>
        <v>Bird Letter Bracelet Տ</v>
      </c>
      <c r="C206" s="21" t="str">
        <f aca="false">IFERROR(IF(Variants!$B207="","","&lt;p&gt;"&amp;VLOOKUP(Variants!$B207,Designs!$A$3:$AP$165,9,FALSE())&amp;"&lt;/p&gt;"),"")</f>
        <v>&lt;p&gt;Bird letters are an ornamental medieval Armenian script where each letter is formed from stylised birds, used in illuminated manuscripts.&lt;/p&gt;</v>
      </c>
      <c r="D206" s="21" t="str">
        <f aca="false">IF(Variants!$B207="","","Karni Jewellery")</f>
        <v>Karni Jewellery</v>
      </c>
      <c r="E206" s="21" t="str">
        <f aca="false">IF(Variants!$B207="","","Apparel &amp; Accessories &gt; Jewelry")</f>
        <v>Apparel &amp; Accessories &gt; Jewelry</v>
      </c>
      <c r="F206" s="21" t="str">
        <f aca="false">IF(Variants!$D207="","",Variants!$D207)</f>
        <v>Bracelet</v>
      </c>
      <c r="G206" s="21" t="str">
        <f aca="false">IF(Variants!$E207="","",Variants!$E207&amp;", Armenian jewellery, handmade")</f>
        <v>Alphabet, Armenian jewellery, handmade</v>
      </c>
      <c r="H206" s="21" t="str">
        <f aca="false">IF(Variants!$AD207="Active","TRUE","FALSE")</f>
        <v>TRUE</v>
      </c>
      <c r="I206" s="21" t="str">
        <f aca="false">IF(Variants!$H207="","","Color")</f>
        <v>Color</v>
      </c>
      <c r="J206" s="21" t="str">
        <f aca="false">IF(Variants!$H207="","",Variants!$H207)</f>
        <v>red</v>
      </c>
      <c r="K206" s="21" t="str">
        <f aca="false">IF(Variants!$G207="","","Size")</f>
        <v/>
      </c>
      <c r="L206" s="21" t="str">
        <f aca="false">IF(Variants!$G207="","",Variants!$G207)</f>
        <v/>
      </c>
      <c r="M206" s="21" t="str">
        <f aca="false">Variants!$A207</f>
        <v>KARNI-BRAC-ALPHA-TYUN-RED</v>
      </c>
      <c r="N206" s="21" t="str">
        <f aca="false">IF(Variants!$X207="","",Variants!$X207)</f>
        <v/>
      </c>
      <c r="O206" s="21" t="n">
        <f aca="false">IF(Variants!$O207="","",Variants!$O207)</f>
        <v>0</v>
      </c>
      <c r="P206" s="18" t="n">
        <f aca="false">IF(Variants!$J207="","",Variants!$J207)</f>
        <v>49.4</v>
      </c>
      <c r="Q206" s="21" t="str">
        <f aca="false">IF(Variants!$U207="","",Variants!$U207)</f>
        <v/>
      </c>
      <c r="R206" s="21" t="str">
        <f aca="false">IF(Variants!$Y207="","",Variants!$Y207)</f>
        <v/>
      </c>
      <c r="S206" s="21" t="n">
        <f aca="false">IFERROR(VLOOKUP(Variants!$B207,Designs!$A$3:$AP$165,37,FALSE()),"")</f>
        <v>0</v>
      </c>
      <c r="T206" s="21" t="str">
        <f aca="false">IFERROR(VLOOKUP(Variants!$B207,Designs!$A$3:$AP$165,38,FALSE()),"")</f>
        <v>No</v>
      </c>
      <c r="U206" s="21" t="str">
        <f aca="false">IF(Variants!$AD207="Active","active","draft")</f>
        <v>active</v>
      </c>
    </row>
    <row r="207" customFormat="false" ht="15.75" hidden="false" customHeight="true" outlineLevel="0" collapsed="false">
      <c r="A207" s="21" t="str">
        <f aca="false">IF(Variants!$B208="","",LOWER(Variants!$B208))</f>
        <v>dsgn-brac-alpha-tyun</v>
      </c>
      <c r="B207" s="21" t="str">
        <f aca="false">IF(Variants!$B208="","",Variants!$C208&amp;IF(Variants!$F208="",""," "&amp;Variants!$F208))</f>
        <v>Bird Letter Bracelet Տ</v>
      </c>
      <c r="C207" s="21" t="str">
        <f aca="false">IFERROR(IF(Variants!$B208="","","&lt;p&gt;"&amp;VLOOKUP(Variants!$B208,Designs!$A$3:$AP$165,9,FALSE())&amp;"&lt;/p&gt;"),"")</f>
        <v>&lt;p&gt;Bird letters are an ornamental medieval Armenian script where each letter is formed from stylised birds, used in illuminated manuscripts.&lt;/p&gt;</v>
      </c>
      <c r="D207" s="21" t="str">
        <f aca="false">IF(Variants!$B208="","","Karni Jewellery")</f>
        <v>Karni Jewellery</v>
      </c>
      <c r="E207" s="21" t="str">
        <f aca="false">IF(Variants!$B208="","","Apparel &amp; Accessories &gt; Jewelry")</f>
        <v>Apparel &amp; Accessories &gt; Jewelry</v>
      </c>
      <c r="F207" s="21" t="str">
        <f aca="false">IF(Variants!$D208="","",Variants!$D208)</f>
        <v>Bracelet</v>
      </c>
      <c r="G207" s="21" t="str">
        <f aca="false">IF(Variants!$E208="","",Variants!$E208&amp;", Armenian jewellery, handmade")</f>
        <v>Alphabet, Armenian jewellery, handmade</v>
      </c>
      <c r="H207" s="21" t="str">
        <f aca="false">IF(Variants!$AD208="Active","TRUE","FALSE")</f>
        <v>TRUE</v>
      </c>
      <c r="I207" s="21" t="str">
        <f aca="false">IF(Variants!$H208="","","Color")</f>
        <v>Color</v>
      </c>
      <c r="J207" s="21" t="str">
        <f aca="false">IF(Variants!$H208="","",Variants!$H208)</f>
        <v>turquoise</v>
      </c>
      <c r="K207" s="21" t="str">
        <f aca="false">IF(Variants!$G208="","","Size")</f>
        <v/>
      </c>
      <c r="L207" s="21" t="str">
        <f aca="false">IF(Variants!$G208="","",Variants!$G208)</f>
        <v/>
      </c>
      <c r="M207" s="21" t="str">
        <f aca="false">Variants!$A208</f>
        <v>KARNI-BRAC-ALPHA-TYUN-TURQUOISE</v>
      </c>
      <c r="N207" s="21" t="str">
        <f aca="false">IF(Variants!$X208="","",Variants!$X208)</f>
        <v/>
      </c>
      <c r="O207" s="21" t="n">
        <f aca="false">IF(Variants!$O208="","",Variants!$O208)</f>
        <v>0</v>
      </c>
      <c r="P207" s="18" t="n">
        <f aca="false">IF(Variants!$J208="","",Variants!$J208)</f>
        <v>49.4</v>
      </c>
      <c r="Q207" s="21" t="str">
        <f aca="false">IF(Variants!$U208="","",Variants!$U208)</f>
        <v/>
      </c>
      <c r="R207" s="21" t="str">
        <f aca="false">IF(Variants!$Y208="","",Variants!$Y208)</f>
        <v/>
      </c>
      <c r="S207" s="21" t="n">
        <f aca="false">IFERROR(VLOOKUP(Variants!$B208,Designs!$A$3:$AP$165,37,FALSE()),"")</f>
        <v>0</v>
      </c>
      <c r="T207" s="21" t="str">
        <f aca="false">IFERROR(VLOOKUP(Variants!$B208,Designs!$A$3:$AP$165,38,FALSE()),"")</f>
        <v>No</v>
      </c>
      <c r="U207" s="21" t="str">
        <f aca="false">IF(Variants!$AD208="Active","active","draft")</f>
        <v>active</v>
      </c>
    </row>
    <row r="208" customFormat="false" ht="15.75" hidden="false" customHeight="true" outlineLevel="0" collapsed="false">
      <c r="A208" s="21" t="str">
        <f aca="false">IF(Variants!$B209="","",LOWER(Variants!$B209))</f>
        <v>dsgn-brac-alpha-tyun</v>
      </c>
      <c r="B208" s="21" t="str">
        <f aca="false">IF(Variants!$B209="","",Variants!$C209&amp;IF(Variants!$F209="",""," "&amp;Variants!$F209))</f>
        <v>Bird Letter Bracelet Տ</v>
      </c>
      <c r="C208" s="21" t="str">
        <f aca="false">IFERROR(IF(Variants!$B209="","","&lt;p&gt;"&amp;VLOOKUP(Variants!$B209,Designs!$A$3:$AP$165,9,FALSE())&amp;"&lt;/p&gt;"),"")</f>
        <v>&lt;p&gt;Bird letters are an ornamental medieval Armenian script where each letter is formed from stylised birds, used in illuminated manuscripts.&lt;/p&gt;</v>
      </c>
      <c r="D208" s="21" t="str">
        <f aca="false">IF(Variants!$B209="","","Karni Jewellery")</f>
        <v>Karni Jewellery</v>
      </c>
      <c r="E208" s="21" t="str">
        <f aca="false">IF(Variants!$B209="","","Apparel &amp; Accessories &gt; Jewelry")</f>
        <v>Apparel &amp; Accessories &gt; Jewelry</v>
      </c>
      <c r="F208" s="21" t="str">
        <f aca="false">IF(Variants!$D209="","",Variants!$D209)</f>
        <v>Bracelet</v>
      </c>
      <c r="G208" s="21" t="str">
        <f aca="false">IF(Variants!$E209="","",Variants!$E209&amp;", Armenian jewellery, handmade")</f>
        <v>Alphabet, Armenian jewellery, handmade</v>
      </c>
      <c r="H208" s="21" t="str">
        <f aca="false">IF(Variants!$AD209="Active","TRUE","FALSE")</f>
        <v>TRUE</v>
      </c>
      <c r="I208" s="21" t="str">
        <f aca="false">IF(Variants!$H209="","","Color")</f>
        <v>Color</v>
      </c>
      <c r="J208" s="21" t="str">
        <f aca="false">IF(Variants!$H209="","",Variants!$H209)</f>
        <v>white</v>
      </c>
      <c r="K208" s="21" t="str">
        <f aca="false">IF(Variants!$G209="","","Size")</f>
        <v/>
      </c>
      <c r="L208" s="21" t="str">
        <f aca="false">IF(Variants!$G209="","",Variants!$G209)</f>
        <v/>
      </c>
      <c r="M208" s="21" t="str">
        <f aca="false">Variants!$A209</f>
        <v>KARNI-BRAC-ALPHA-TYUN-WHITE</v>
      </c>
      <c r="N208" s="21" t="str">
        <f aca="false">IF(Variants!$X209="","",Variants!$X209)</f>
        <v/>
      </c>
      <c r="O208" s="21" t="n">
        <f aca="false">IF(Variants!$O209="","",Variants!$O209)</f>
        <v>0</v>
      </c>
      <c r="P208" s="18" t="n">
        <f aca="false">IF(Variants!$J209="","",Variants!$J209)</f>
        <v>49.4</v>
      </c>
      <c r="Q208" s="21" t="str">
        <f aca="false">IF(Variants!$U209="","",Variants!$U209)</f>
        <v/>
      </c>
      <c r="R208" s="21" t="str">
        <f aca="false">IF(Variants!$Y209="","",Variants!$Y209)</f>
        <v/>
      </c>
      <c r="S208" s="21" t="n">
        <f aca="false">IFERROR(VLOOKUP(Variants!$B209,Designs!$A$3:$AP$165,37,FALSE()),"")</f>
        <v>0</v>
      </c>
      <c r="T208" s="21" t="str">
        <f aca="false">IFERROR(VLOOKUP(Variants!$B209,Designs!$A$3:$AP$165,38,FALSE()),"")</f>
        <v>No</v>
      </c>
      <c r="U208" s="21" t="str">
        <f aca="false">IF(Variants!$AD209="Active","active","draft")</f>
        <v>active</v>
      </c>
    </row>
    <row r="209" customFormat="false" ht="15.75" hidden="false" customHeight="true" outlineLevel="0" collapsed="false">
      <c r="A209" s="21" t="str">
        <f aca="false">IF(Variants!$B210="","",LOWER(Variants!$B210))</f>
        <v>dsgn-brac-alpha-reh</v>
      </c>
      <c r="B209" s="21" t="str">
        <f aca="false">IF(Variants!$B210="","",Variants!$C210&amp;IF(Variants!$F210="",""," "&amp;Variants!$F210))</f>
        <v>Bird Letter Bracelet Ր</v>
      </c>
      <c r="C209" s="21" t="str">
        <f aca="false">IFERROR(IF(Variants!$B210="","","&lt;p&gt;"&amp;VLOOKUP(Variants!$B210,Designs!$A$3:$AP$165,9,FALSE())&amp;"&lt;/p&gt;"),"")</f>
        <v>&lt;p&gt;Bird letters are an ornamental medieval Armenian script where each letter is formed from stylised birds, used in illuminated manuscripts.&lt;/p&gt;</v>
      </c>
      <c r="D209" s="21" t="str">
        <f aca="false">IF(Variants!$B210="","","Karni Jewellery")</f>
        <v>Karni Jewellery</v>
      </c>
      <c r="E209" s="21" t="str">
        <f aca="false">IF(Variants!$B210="","","Apparel &amp; Accessories &gt; Jewelry")</f>
        <v>Apparel &amp; Accessories &gt; Jewelry</v>
      </c>
      <c r="F209" s="21" t="str">
        <f aca="false">IF(Variants!$D210="","",Variants!$D210)</f>
        <v>Bracelet</v>
      </c>
      <c r="G209" s="21" t="str">
        <f aca="false">IF(Variants!$E210="","",Variants!$E210&amp;", Armenian jewellery, handmade")</f>
        <v>Alphabet, Armenian jewellery, handmade</v>
      </c>
      <c r="H209" s="21" t="str">
        <f aca="false">IF(Variants!$AD210="Active","TRUE","FALSE")</f>
        <v>TRUE</v>
      </c>
      <c r="I209" s="21" t="str">
        <f aca="false">IF(Variants!$H210="","","Color")</f>
        <v>Color</v>
      </c>
      <c r="J209" s="21" t="str">
        <f aca="false">IF(Variants!$H210="","",Variants!$H210)</f>
        <v>red</v>
      </c>
      <c r="K209" s="21" t="str">
        <f aca="false">IF(Variants!$G210="","","Size")</f>
        <v/>
      </c>
      <c r="L209" s="21" t="str">
        <f aca="false">IF(Variants!$G210="","",Variants!$G210)</f>
        <v/>
      </c>
      <c r="M209" s="21" t="str">
        <f aca="false">Variants!$A210</f>
        <v>KARNI-BRAC-ALPHA-REH-RED</v>
      </c>
      <c r="N209" s="21" t="str">
        <f aca="false">IF(Variants!$X210="","",Variants!$X210)</f>
        <v/>
      </c>
      <c r="O209" s="21" t="n">
        <f aca="false">IF(Variants!$O210="","",Variants!$O210)</f>
        <v>0</v>
      </c>
      <c r="P209" s="18" t="n">
        <f aca="false">IF(Variants!$J210="","",Variants!$J210)</f>
        <v>49.4</v>
      </c>
      <c r="Q209" s="21" t="str">
        <f aca="false">IF(Variants!$U210="","",Variants!$U210)</f>
        <v/>
      </c>
      <c r="R209" s="21" t="str">
        <f aca="false">IF(Variants!$Y210="","",Variants!$Y210)</f>
        <v/>
      </c>
      <c r="S209" s="21" t="n">
        <f aca="false">IFERROR(VLOOKUP(Variants!$B210,Designs!$A$3:$AP$165,37,FALSE()),"")</f>
        <v>0</v>
      </c>
      <c r="T209" s="21" t="str">
        <f aca="false">IFERROR(VLOOKUP(Variants!$B210,Designs!$A$3:$AP$165,38,FALSE()),"")</f>
        <v>No</v>
      </c>
      <c r="U209" s="21" t="str">
        <f aca="false">IF(Variants!$AD210="Active","active","draft")</f>
        <v>active</v>
      </c>
    </row>
    <row r="210" customFormat="false" ht="15.75" hidden="false" customHeight="true" outlineLevel="0" collapsed="false">
      <c r="A210" s="21" t="str">
        <f aca="false">IF(Variants!$B211="","",LOWER(Variants!$B211))</f>
        <v>dsgn-brac-alpha-reh</v>
      </c>
      <c r="B210" s="21" t="str">
        <f aca="false">IF(Variants!$B211="","",Variants!$C211&amp;IF(Variants!$F211="",""," "&amp;Variants!$F211))</f>
        <v>Bird Letter Bracelet Ր</v>
      </c>
      <c r="C210" s="21" t="str">
        <f aca="false">IFERROR(IF(Variants!$B211="","","&lt;p&gt;"&amp;VLOOKUP(Variants!$B211,Designs!$A$3:$AP$165,9,FALSE())&amp;"&lt;/p&gt;"),"")</f>
        <v>&lt;p&gt;Bird letters are an ornamental medieval Armenian script where each letter is formed from stylised birds, used in illuminated manuscripts.&lt;/p&gt;</v>
      </c>
      <c r="D210" s="21" t="str">
        <f aca="false">IF(Variants!$B211="","","Karni Jewellery")</f>
        <v>Karni Jewellery</v>
      </c>
      <c r="E210" s="21" t="str">
        <f aca="false">IF(Variants!$B211="","","Apparel &amp; Accessories &gt; Jewelry")</f>
        <v>Apparel &amp; Accessories &gt; Jewelry</v>
      </c>
      <c r="F210" s="21" t="str">
        <f aca="false">IF(Variants!$D211="","",Variants!$D211)</f>
        <v>Bracelet</v>
      </c>
      <c r="G210" s="21" t="str">
        <f aca="false">IF(Variants!$E211="","",Variants!$E211&amp;", Armenian jewellery, handmade")</f>
        <v>Alphabet, Armenian jewellery, handmade</v>
      </c>
      <c r="H210" s="21" t="str">
        <f aca="false">IF(Variants!$AD211="Active","TRUE","FALSE")</f>
        <v>TRUE</v>
      </c>
      <c r="I210" s="21" t="str">
        <f aca="false">IF(Variants!$H211="","","Color")</f>
        <v>Color</v>
      </c>
      <c r="J210" s="21" t="str">
        <f aca="false">IF(Variants!$H211="","",Variants!$H211)</f>
        <v>turquoise</v>
      </c>
      <c r="K210" s="21" t="str">
        <f aca="false">IF(Variants!$G211="","","Size")</f>
        <v/>
      </c>
      <c r="L210" s="21" t="str">
        <f aca="false">IF(Variants!$G211="","",Variants!$G211)</f>
        <v/>
      </c>
      <c r="M210" s="21" t="str">
        <f aca="false">Variants!$A211</f>
        <v>KARNI-BRAC-ALPHA-REH-TURQUOISE</v>
      </c>
      <c r="N210" s="21" t="str">
        <f aca="false">IF(Variants!$X211="","",Variants!$X211)</f>
        <v/>
      </c>
      <c r="O210" s="21" t="n">
        <f aca="false">IF(Variants!$O211="","",Variants!$O211)</f>
        <v>0</v>
      </c>
      <c r="P210" s="18" t="n">
        <f aca="false">IF(Variants!$J211="","",Variants!$J211)</f>
        <v>49.4</v>
      </c>
      <c r="Q210" s="21" t="str">
        <f aca="false">IF(Variants!$U211="","",Variants!$U211)</f>
        <v/>
      </c>
      <c r="R210" s="21" t="str">
        <f aca="false">IF(Variants!$Y211="","",Variants!$Y211)</f>
        <v/>
      </c>
      <c r="S210" s="21" t="n">
        <f aca="false">IFERROR(VLOOKUP(Variants!$B211,Designs!$A$3:$AP$165,37,FALSE()),"")</f>
        <v>0</v>
      </c>
      <c r="T210" s="21" t="str">
        <f aca="false">IFERROR(VLOOKUP(Variants!$B211,Designs!$A$3:$AP$165,38,FALSE()),"")</f>
        <v>No</v>
      </c>
      <c r="U210" s="21" t="str">
        <f aca="false">IF(Variants!$AD211="Active","active","draft")</f>
        <v>active</v>
      </c>
    </row>
    <row r="211" customFormat="false" ht="15.75" hidden="false" customHeight="true" outlineLevel="0" collapsed="false">
      <c r="A211" s="21" t="str">
        <f aca="false">IF(Variants!$B212="","",LOWER(Variants!$B212))</f>
        <v>dsgn-brac-alpha-reh</v>
      </c>
      <c r="B211" s="21" t="str">
        <f aca="false">IF(Variants!$B212="","",Variants!$C212&amp;IF(Variants!$F212="",""," "&amp;Variants!$F212))</f>
        <v>Bird Letter Bracelet Ր</v>
      </c>
      <c r="C211" s="21" t="str">
        <f aca="false">IFERROR(IF(Variants!$B212="","","&lt;p&gt;"&amp;VLOOKUP(Variants!$B212,Designs!$A$3:$AP$165,9,FALSE())&amp;"&lt;/p&gt;"),"")</f>
        <v>&lt;p&gt;Bird letters are an ornamental medieval Armenian script where each letter is formed from stylised birds, used in illuminated manuscripts.&lt;/p&gt;</v>
      </c>
      <c r="D211" s="21" t="str">
        <f aca="false">IF(Variants!$B212="","","Karni Jewellery")</f>
        <v>Karni Jewellery</v>
      </c>
      <c r="E211" s="21" t="str">
        <f aca="false">IF(Variants!$B212="","","Apparel &amp; Accessories &gt; Jewelry")</f>
        <v>Apparel &amp; Accessories &gt; Jewelry</v>
      </c>
      <c r="F211" s="21" t="str">
        <f aca="false">IF(Variants!$D212="","",Variants!$D212)</f>
        <v>Bracelet</v>
      </c>
      <c r="G211" s="21" t="str">
        <f aca="false">IF(Variants!$E212="","",Variants!$E212&amp;", Armenian jewellery, handmade")</f>
        <v>Alphabet, Armenian jewellery, handmade</v>
      </c>
      <c r="H211" s="21" t="str">
        <f aca="false">IF(Variants!$AD212="Active","TRUE","FALSE")</f>
        <v>TRUE</v>
      </c>
      <c r="I211" s="21" t="str">
        <f aca="false">IF(Variants!$H212="","","Color")</f>
        <v>Color</v>
      </c>
      <c r="J211" s="21" t="str">
        <f aca="false">IF(Variants!$H212="","",Variants!$H212)</f>
        <v>white</v>
      </c>
      <c r="K211" s="21" t="str">
        <f aca="false">IF(Variants!$G212="","","Size")</f>
        <v/>
      </c>
      <c r="L211" s="21" t="str">
        <f aca="false">IF(Variants!$G212="","",Variants!$G212)</f>
        <v/>
      </c>
      <c r="M211" s="21" t="str">
        <f aca="false">Variants!$A212</f>
        <v>KARNI-BRAC-ALPHA-REH-WHITE</v>
      </c>
      <c r="N211" s="21" t="str">
        <f aca="false">IF(Variants!$X212="","",Variants!$X212)</f>
        <v/>
      </c>
      <c r="O211" s="21" t="n">
        <f aca="false">IF(Variants!$O212="","",Variants!$O212)</f>
        <v>0</v>
      </c>
      <c r="P211" s="18" t="n">
        <f aca="false">IF(Variants!$J212="","",Variants!$J212)</f>
        <v>49.4</v>
      </c>
      <c r="Q211" s="21" t="str">
        <f aca="false">IF(Variants!$U212="","",Variants!$U212)</f>
        <v/>
      </c>
      <c r="R211" s="21" t="str">
        <f aca="false">IF(Variants!$Y212="","",Variants!$Y212)</f>
        <v/>
      </c>
      <c r="S211" s="21" t="n">
        <f aca="false">IFERROR(VLOOKUP(Variants!$B212,Designs!$A$3:$AP$165,37,FALSE()),"")</f>
        <v>0</v>
      </c>
      <c r="T211" s="21" t="str">
        <f aca="false">IFERROR(VLOOKUP(Variants!$B212,Designs!$A$3:$AP$165,38,FALSE()),"")</f>
        <v>No</v>
      </c>
      <c r="U211" s="21" t="str">
        <f aca="false">IF(Variants!$AD212="Active","active","draft")</f>
        <v>active</v>
      </c>
    </row>
    <row r="212" customFormat="false" ht="15.75" hidden="false" customHeight="true" outlineLevel="0" collapsed="false">
      <c r="A212" s="21" t="str">
        <f aca="false">IF(Variants!$B213="","",LOWER(Variants!$B213))</f>
        <v>dsgn-brac-alpha-tso</v>
      </c>
      <c r="B212" s="21" t="str">
        <f aca="false">IF(Variants!$B213="","",Variants!$C213&amp;IF(Variants!$F213="",""," "&amp;Variants!$F213))</f>
        <v>Bird Letter Bracelet Ց</v>
      </c>
      <c r="C212" s="21" t="str">
        <f aca="false">IFERROR(IF(Variants!$B213="","","&lt;p&gt;"&amp;VLOOKUP(Variants!$B213,Designs!$A$3:$AP$165,9,FALSE())&amp;"&lt;/p&gt;"),"")</f>
        <v>&lt;p&gt;Bird letters are an ornamental medieval Armenian script where each letter is formed from stylised birds, used in illuminated manuscripts.&lt;/p&gt;</v>
      </c>
      <c r="D212" s="21" t="str">
        <f aca="false">IF(Variants!$B213="","","Karni Jewellery")</f>
        <v>Karni Jewellery</v>
      </c>
      <c r="E212" s="21" t="str">
        <f aca="false">IF(Variants!$B213="","","Apparel &amp; Accessories &gt; Jewelry")</f>
        <v>Apparel &amp; Accessories &gt; Jewelry</v>
      </c>
      <c r="F212" s="21" t="str">
        <f aca="false">IF(Variants!$D213="","",Variants!$D213)</f>
        <v>Bracelet</v>
      </c>
      <c r="G212" s="21" t="str">
        <f aca="false">IF(Variants!$E213="","",Variants!$E213&amp;", Armenian jewellery, handmade")</f>
        <v>Alphabet, Armenian jewellery, handmade</v>
      </c>
      <c r="H212" s="21" t="str">
        <f aca="false">IF(Variants!$AD213="Active","TRUE","FALSE")</f>
        <v>TRUE</v>
      </c>
      <c r="I212" s="21" t="str">
        <f aca="false">IF(Variants!$H213="","","Color")</f>
        <v>Color</v>
      </c>
      <c r="J212" s="21" t="str">
        <f aca="false">IF(Variants!$H213="","",Variants!$H213)</f>
        <v>red</v>
      </c>
      <c r="K212" s="21" t="str">
        <f aca="false">IF(Variants!$G213="","","Size")</f>
        <v/>
      </c>
      <c r="L212" s="21" t="str">
        <f aca="false">IF(Variants!$G213="","",Variants!$G213)</f>
        <v/>
      </c>
      <c r="M212" s="21" t="str">
        <f aca="false">Variants!$A213</f>
        <v>KARNI-BRAC-ALPHA-TSO-RED</v>
      </c>
      <c r="N212" s="21" t="str">
        <f aca="false">IF(Variants!$X213="","",Variants!$X213)</f>
        <v/>
      </c>
      <c r="O212" s="21" t="n">
        <f aca="false">IF(Variants!$O213="","",Variants!$O213)</f>
        <v>0</v>
      </c>
      <c r="P212" s="18" t="n">
        <f aca="false">IF(Variants!$J213="","",Variants!$J213)</f>
        <v>49.4</v>
      </c>
      <c r="Q212" s="21" t="str">
        <f aca="false">IF(Variants!$U213="","",Variants!$U213)</f>
        <v/>
      </c>
      <c r="R212" s="21" t="str">
        <f aca="false">IF(Variants!$Y213="","",Variants!$Y213)</f>
        <v/>
      </c>
      <c r="S212" s="21" t="n">
        <f aca="false">IFERROR(VLOOKUP(Variants!$B213,Designs!$A$3:$AP$165,37,FALSE()),"")</f>
        <v>0</v>
      </c>
      <c r="T212" s="21" t="str">
        <f aca="false">IFERROR(VLOOKUP(Variants!$B213,Designs!$A$3:$AP$165,38,FALSE()),"")</f>
        <v>No</v>
      </c>
      <c r="U212" s="21" t="str">
        <f aca="false">IF(Variants!$AD213="Active","active","draft")</f>
        <v>active</v>
      </c>
    </row>
    <row r="213" customFormat="false" ht="15.75" hidden="false" customHeight="true" outlineLevel="0" collapsed="false">
      <c r="A213" s="21" t="str">
        <f aca="false">IF(Variants!$B214="","",LOWER(Variants!$B214))</f>
        <v>dsgn-brac-alpha-tso</v>
      </c>
      <c r="B213" s="21" t="str">
        <f aca="false">IF(Variants!$B214="","",Variants!$C214&amp;IF(Variants!$F214="",""," "&amp;Variants!$F214))</f>
        <v>Bird Letter Bracelet Ց</v>
      </c>
      <c r="C213" s="21" t="str">
        <f aca="false">IFERROR(IF(Variants!$B214="","","&lt;p&gt;"&amp;VLOOKUP(Variants!$B214,Designs!$A$3:$AP$165,9,FALSE())&amp;"&lt;/p&gt;"),"")</f>
        <v>&lt;p&gt;Bird letters are an ornamental medieval Armenian script where each letter is formed from stylised birds, used in illuminated manuscripts.&lt;/p&gt;</v>
      </c>
      <c r="D213" s="21" t="str">
        <f aca="false">IF(Variants!$B214="","","Karni Jewellery")</f>
        <v>Karni Jewellery</v>
      </c>
      <c r="E213" s="21" t="str">
        <f aca="false">IF(Variants!$B214="","","Apparel &amp; Accessories &gt; Jewelry")</f>
        <v>Apparel &amp; Accessories &gt; Jewelry</v>
      </c>
      <c r="F213" s="21" t="str">
        <f aca="false">IF(Variants!$D214="","",Variants!$D214)</f>
        <v>Bracelet</v>
      </c>
      <c r="G213" s="21" t="str">
        <f aca="false">IF(Variants!$E214="","",Variants!$E214&amp;", Armenian jewellery, handmade")</f>
        <v>Alphabet, Armenian jewellery, handmade</v>
      </c>
      <c r="H213" s="21" t="str">
        <f aca="false">IF(Variants!$AD214="Active","TRUE","FALSE")</f>
        <v>TRUE</v>
      </c>
      <c r="I213" s="21" t="str">
        <f aca="false">IF(Variants!$H214="","","Color")</f>
        <v>Color</v>
      </c>
      <c r="J213" s="21" t="str">
        <f aca="false">IF(Variants!$H214="","",Variants!$H214)</f>
        <v>turquoise</v>
      </c>
      <c r="K213" s="21" t="str">
        <f aca="false">IF(Variants!$G214="","","Size")</f>
        <v/>
      </c>
      <c r="L213" s="21" t="str">
        <f aca="false">IF(Variants!$G214="","",Variants!$G214)</f>
        <v/>
      </c>
      <c r="M213" s="21" t="str">
        <f aca="false">Variants!$A214</f>
        <v>KARNI-BRAC-ALPHA-TSO-TURQUOISE</v>
      </c>
      <c r="N213" s="21" t="str">
        <f aca="false">IF(Variants!$X214="","",Variants!$X214)</f>
        <v/>
      </c>
      <c r="O213" s="21" t="n">
        <f aca="false">IF(Variants!$O214="","",Variants!$O214)</f>
        <v>0</v>
      </c>
      <c r="P213" s="18" t="n">
        <f aca="false">IF(Variants!$J214="","",Variants!$J214)</f>
        <v>49.4</v>
      </c>
      <c r="Q213" s="21" t="str">
        <f aca="false">IF(Variants!$U214="","",Variants!$U214)</f>
        <v/>
      </c>
      <c r="R213" s="21" t="str">
        <f aca="false">IF(Variants!$Y214="","",Variants!$Y214)</f>
        <v/>
      </c>
      <c r="S213" s="21" t="n">
        <f aca="false">IFERROR(VLOOKUP(Variants!$B214,Designs!$A$3:$AP$165,37,FALSE()),"")</f>
        <v>0</v>
      </c>
      <c r="T213" s="21" t="str">
        <f aca="false">IFERROR(VLOOKUP(Variants!$B214,Designs!$A$3:$AP$165,38,FALSE()),"")</f>
        <v>No</v>
      </c>
      <c r="U213" s="21" t="str">
        <f aca="false">IF(Variants!$AD214="Active","active","draft")</f>
        <v>active</v>
      </c>
    </row>
    <row r="214" customFormat="false" ht="15.75" hidden="false" customHeight="true" outlineLevel="0" collapsed="false">
      <c r="A214" s="21" t="str">
        <f aca="false">IF(Variants!$B215="","",LOWER(Variants!$B215))</f>
        <v>dsgn-brac-alpha-tso</v>
      </c>
      <c r="B214" s="21" t="str">
        <f aca="false">IF(Variants!$B215="","",Variants!$C215&amp;IF(Variants!$F215="",""," "&amp;Variants!$F215))</f>
        <v>Bird Letter Bracelet Ց</v>
      </c>
      <c r="C214" s="21" t="str">
        <f aca="false">IFERROR(IF(Variants!$B215="","","&lt;p&gt;"&amp;VLOOKUP(Variants!$B215,Designs!$A$3:$AP$165,9,FALSE())&amp;"&lt;/p&gt;"),"")</f>
        <v>&lt;p&gt;Bird letters are an ornamental medieval Armenian script where each letter is formed from stylised birds, used in illuminated manuscripts.&lt;/p&gt;</v>
      </c>
      <c r="D214" s="21" t="str">
        <f aca="false">IF(Variants!$B215="","","Karni Jewellery")</f>
        <v>Karni Jewellery</v>
      </c>
      <c r="E214" s="21" t="str">
        <f aca="false">IF(Variants!$B215="","","Apparel &amp; Accessories &gt; Jewelry")</f>
        <v>Apparel &amp; Accessories &gt; Jewelry</v>
      </c>
      <c r="F214" s="21" t="str">
        <f aca="false">IF(Variants!$D215="","",Variants!$D215)</f>
        <v>Bracelet</v>
      </c>
      <c r="G214" s="21" t="str">
        <f aca="false">IF(Variants!$E215="","",Variants!$E215&amp;", Armenian jewellery, handmade")</f>
        <v>Alphabet, Armenian jewellery, handmade</v>
      </c>
      <c r="H214" s="21" t="str">
        <f aca="false">IF(Variants!$AD215="Active","TRUE","FALSE")</f>
        <v>TRUE</v>
      </c>
      <c r="I214" s="21" t="str">
        <f aca="false">IF(Variants!$H215="","","Color")</f>
        <v>Color</v>
      </c>
      <c r="J214" s="21" t="str">
        <f aca="false">IF(Variants!$H215="","",Variants!$H215)</f>
        <v>white</v>
      </c>
      <c r="K214" s="21" t="str">
        <f aca="false">IF(Variants!$G215="","","Size")</f>
        <v/>
      </c>
      <c r="L214" s="21" t="str">
        <f aca="false">IF(Variants!$G215="","",Variants!$G215)</f>
        <v/>
      </c>
      <c r="M214" s="21" t="str">
        <f aca="false">Variants!$A215</f>
        <v>KARNI-BRAC-ALPHA-TSO-WHITE</v>
      </c>
      <c r="N214" s="21" t="str">
        <f aca="false">IF(Variants!$X215="","",Variants!$X215)</f>
        <v/>
      </c>
      <c r="O214" s="21" t="n">
        <f aca="false">IF(Variants!$O215="","",Variants!$O215)</f>
        <v>0</v>
      </c>
      <c r="P214" s="18" t="n">
        <f aca="false">IF(Variants!$J215="","",Variants!$J215)</f>
        <v>49.4</v>
      </c>
      <c r="Q214" s="21" t="str">
        <f aca="false">IF(Variants!$U215="","",Variants!$U215)</f>
        <v/>
      </c>
      <c r="R214" s="21" t="str">
        <f aca="false">IF(Variants!$Y215="","",Variants!$Y215)</f>
        <v/>
      </c>
      <c r="S214" s="21" t="n">
        <f aca="false">IFERROR(VLOOKUP(Variants!$B215,Designs!$A$3:$AP$165,37,FALSE()),"")</f>
        <v>0</v>
      </c>
      <c r="T214" s="21" t="str">
        <f aca="false">IFERROR(VLOOKUP(Variants!$B215,Designs!$A$3:$AP$165,38,FALSE()),"")</f>
        <v>No</v>
      </c>
      <c r="U214" s="21" t="str">
        <f aca="false">IF(Variants!$AD215="Active","active","draft")</f>
        <v>active</v>
      </c>
    </row>
    <row r="215" customFormat="false" ht="15.75" hidden="false" customHeight="true" outlineLevel="0" collapsed="false">
      <c r="A215" s="21" t="str">
        <f aca="false">IF(Variants!$B216="","",LOWER(Variants!$B216))</f>
        <v>dsgn-brac-alpha-vyun</v>
      </c>
      <c r="B215" s="21" t="str">
        <f aca="false">IF(Variants!$B216="","",Variants!$C216&amp;IF(Variants!$F216="",""," "&amp;Variants!$F216))</f>
        <v>Bird Letter Bracelet Ւ</v>
      </c>
      <c r="C215" s="21" t="str">
        <f aca="false">IFERROR(IF(Variants!$B216="","","&lt;p&gt;"&amp;VLOOKUP(Variants!$B216,Designs!$A$3:$AP$165,9,FALSE())&amp;"&lt;/p&gt;"),"")</f>
        <v>&lt;p&gt;Bird letters are an ornamental medieval Armenian script where each letter is formed from stylised birds, used in illuminated manuscripts.&lt;/p&gt;</v>
      </c>
      <c r="D215" s="21" t="str">
        <f aca="false">IF(Variants!$B216="","","Karni Jewellery")</f>
        <v>Karni Jewellery</v>
      </c>
      <c r="E215" s="21" t="str">
        <f aca="false">IF(Variants!$B216="","","Apparel &amp; Accessories &gt; Jewelry")</f>
        <v>Apparel &amp; Accessories &gt; Jewelry</v>
      </c>
      <c r="F215" s="21" t="str">
        <f aca="false">IF(Variants!$D216="","",Variants!$D216)</f>
        <v>Bracelet</v>
      </c>
      <c r="G215" s="21" t="str">
        <f aca="false">IF(Variants!$E216="","",Variants!$E216&amp;", Armenian jewellery, handmade")</f>
        <v>Alphabet, Armenian jewellery, handmade</v>
      </c>
      <c r="H215" s="21" t="str">
        <f aca="false">IF(Variants!$AD216="Active","TRUE","FALSE")</f>
        <v>TRUE</v>
      </c>
      <c r="I215" s="21" t="str">
        <f aca="false">IF(Variants!$H216="","","Color")</f>
        <v>Color</v>
      </c>
      <c r="J215" s="21" t="str">
        <f aca="false">IF(Variants!$H216="","",Variants!$H216)</f>
        <v>red</v>
      </c>
      <c r="K215" s="21" t="str">
        <f aca="false">IF(Variants!$G216="","","Size")</f>
        <v/>
      </c>
      <c r="L215" s="21" t="str">
        <f aca="false">IF(Variants!$G216="","",Variants!$G216)</f>
        <v/>
      </c>
      <c r="M215" s="21" t="str">
        <f aca="false">Variants!$A216</f>
        <v>KARNI-BRAC-ALPHA-VYUN-RED</v>
      </c>
      <c r="N215" s="21" t="str">
        <f aca="false">IF(Variants!$X216="","",Variants!$X216)</f>
        <v/>
      </c>
      <c r="O215" s="21" t="n">
        <f aca="false">IF(Variants!$O216="","",Variants!$O216)</f>
        <v>0</v>
      </c>
      <c r="P215" s="18" t="n">
        <f aca="false">IF(Variants!$J216="","",Variants!$J216)</f>
        <v>49.4</v>
      </c>
      <c r="Q215" s="21" t="str">
        <f aca="false">IF(Variants!$U216="","",Variants!$U216)</f>
        <v/>
      </c>
      <c r="R215" s="21" t="str">
        <f aca="false">IF(Variants!$Y216="","",Variants!$Y216)</f>
        <v/>
      </c>
      <c r="S215" s="21" t="n">
        <f aca="false">IFERROR(VLOOKUP(Variants!$B216,Designs!$A$3:$AP$165,37,FALSE()),"")</f>
        <v>0</v>
      </c>
      <c r="T215" s="21" t="str">
        <f aca="false">IFERROR(VLOOKUP(Variants!$B216,Designs!$A$3:$AP$165,38,FALSE()),"")</f>
        <v>No</v>
      </c>
      <c r="U215" s="21" t="str">
        <f aca="false">IF(Variants!$AD216="Active","active","draft")</f>
        <v>active</v>
      </c>
    </row>
    <row r="216" customFormat="false" ht="15.75" hidden="false" customHeight="true" outlineLevel="0" collapsed="false">
      <c r="A216" s="21" t="str">
        <f aca="false">IF(Variants!$B217="","",LOWER(Variants!$B217))</f>
        <v>dsgn-brac-alpha-vyun</v>
      </c>
      <c r="B216" s="21" t="str">
        <f aca="false">IF(Variants!$B217="","",Variants!$C217&amp;IF(Variants!$F217="",""," "&amp;Variants!$F217))</f>
        <v>Bird Letter Bracelet Ւ</v>
      </c>
      <c r="C216" s="21" t="str">
        <f aca="false">IFERROR(IF(Variants!$B217="","","&lt;p&gt;"&amp;VLOOKUP(Variants!$B217,Designs!$A$3:$AP$165,9,FALSE())&amp;"&lt;/p&gt;"),"")</f>
        <v>&lt;p&gt;Bird letters are an ornamental medieval Armenian script where each letter is formed from stylised birds, used in illuminated manuscripts.&lt;/p&gt;</v>
      </c>
      <c r="D216" s="21" t="str">
        <f aca="false">IF(Variants!$B217="","","Karni Jewellery")</f>
        <v>Karni Jewellery</v>
      </c>
      <c r="E216" s="21" t="str">
        <f aca="false">IF(Variants!$B217="","","Apparel &amp; Accessories &gt; Jewelry")</f>
        <v>Apparel &amp; Accessories &gt; Jewelry</v>
      </c>
      <c r="F216" s="21" t="str">
        <f aca="false">IF(Variants!$D217="","",Variants!$D217)</f>
        <v>Bracelet</v>
      </c>
      <c r="G216" s="21" t="str">
        <f aca="false">IF(Variants!$E217="","",Variants!$E217&amp;", Armenian jewellery, handmade")</f>
        <v>Alphabet, Armenian jewellery, handmade</v>
      </c>
      <c r="H216" s="21" t="str">
        <f aca="false">IF(Variants!$AD217="Active","TRUE","FALSE")</f>
        <v>TRUE</v>
      </c>
      <c r="I216" s="21" t="str">
        <f aca="false">IF(Variants!$H217="","","Color")</f>
        <v>Color</v>
      </c>
      <c r="J216" s="21" t="str">
        <f aca="false">IF(Variants!$H217="","",Variants!$H217)</f>
        <v>turquoise</v>
      </c>
      <c r="K216" s="21" t="str">
        <f aca="false">IF(Variants!$G217="","","Size")</f>
        <v/>
      </c>
      <c r="L216" s="21" t="str">
        <f aca="false">IF(Variants!$G217="","",Variants!$G217)</f>
        <v/>
      </c>
      <c r="M216" s="21" t="str">
        <f aca="false">Variants!$A217</f>
        <v>KARNI-BRAC-ALPHA-VYUN-TURQUOISE</v>
      </c>
      <c r="N216" s="21" t="str">
        <f aca="false">IF(Variants!$X217="","",Variants!$X217)</f>
        <v/>
      </c>
      <c r="O216" s="21" t="n">
        <f aca="false">IF(Variants!$O217="","",Variants!$O217)</f>
        <v>0</v>
      </c>
      <c r="P216" s="18" t="n">
        <f aca="false">IF(Variants!$J217="","",Variants!$J217)</f>
        <v>49.4</v>
      </c>
      <c r="Q216" s="21" t="str">
        <f aca="false">IF(Variants!$U217="","",Variants!$U217)</f>
        <v/>
      </c>
      <c r="R216" s="21" t="str">
        <f aca="false">IF(Variants!$Y217="","",Variants!$Y217)</f>
        <v/>
      </c>
      <c r="S216" s="21" t="n">
        <f aca="false">IFERROR(VLOOKUP(Variants!$B217,Designs!$A$3:$AP$165,37,FALSE()),"")</f>
        <v>0</v>
      </c>
      <c r="T216" s="21" t="str">
        <f aca="false">IFERROR(VLOOKUP(Variants!$B217,Designs!$A$3:$AP$165,38,FALSE()),"")</f>
        <v>No</v>
      </c>
      <c r="U216" s="21" t="str">
        <f aca="false">IF(Variants!$AD217="Active","active","draft")</f>
        <v>active</v>
      </c>
    </row>
    <row r="217" customFormat="false" ht="15.75" hidden="false" customHeight="true" outlineLevel="0" collapsed="false">
      <c r="A217" s="21" t="str">
        <f aca="false">IF(Variants!$B218="","",LOWER(Variants!$B218))</f>
        <v>dsgn-brac-alpha-vyun</v>
      </c>
      <c r="B217" s="21" t="str">
        <f aca="false">IF(Variants!$B218="","",Variants!$C218&amp;IF(Variants!$F218="",""," "&amp;Variants!$F218))</f>
        <v>Bird Letter Bracelet Ւ</v>
      </c>
      <c r="C217" s="21" t="str">
        <f aca="false">IFERROR(IF(Variants!$B218="","","&lt;p&gt;"&amp;VLOOKUP(Variants!$B218,Designs!$A$3:$AP$165,9,FALSE())&amp;"&lt;/p&gt;"),"")</f>
        <v>&lt;p&gt;Bird letters are an ornamental medieval Armenian script where each letter is formed from stylised birds, used in illuminated manuscripts.&lt;/p&gt;</v>
      </c>
      <c r="D217" s="21" t="str">
        <f aca="false">IF(Variants!$B218="","","Karni Jewellery")</f>
        <v>Karni Jewellery</v>
      </c>
      <c r="E217" s="21" t="str">
        <f aca="false">IF(Variants!$B218="","","Apparel &amp; Accessories &gt; Jewelry")</f>
        <v>Apparel &amp; Accessories &gt; Jewelry</v>
      </c>
      <c r="F217" s="21" t="str">
        <f aca="false">IF(Variants!$D218="","",Variants!$D218)</f>
        <v>Bracelet</v>
      </c>
      <c r="G217" s="21" t="str">
        <f aca="false">IF(Variants!$E218="","",Variants!$E218&amp;", Armenian jewellery, handmade")</f>
        <v>Alphabet, Armenian jewellery, handmade</v>
      </c>
      <c r="H217" s="21" t="str">
        <f aca="false">IF(Variants!$AD218="Active","TRUE","FALSE")</f>
        <v>TRUE</v>
      </c>
      <c r="I217" s="21" t="str">
        <f aca="false">IF(Variants!$H218="","","Color")</f>
        <v>Color</v>
      </c>
      <c r="J217" s="21" t="str">
        <f aca="false">IF(Variants!$H218="","",Variants!$H218)</f>
        <v>white</v>
      </c>
      <c r="K217" s="21" t="str">
        <f aca="false">IF(Variants!$G218="","","Size")</f>
        <v/>
      </c>
      <c r="L217" s="21" t="str">
        <f aca="false">IF(Variants!$G218="","",Variants!$G218)</f>
        <v/>
      </c>
      <c r="M217" s="21" t="str">
        <f aca="false">Variants!$A218</f>
        <v>KARNI-BRAC-ALPHA-VYUN-WHITE</v>
      </c>
      <c r="N217" s="21" t="str">
        <f aca="false">IF(Variants!$X218="","",Variants!$X218)</f>
        <v/>
      </c>
      <c r="O217" s="21" t="n">
        <f aca="false">IF(Variants!$O218="","",Variants!$O218)</f>
        <v>0</v>
      </c>
      <c r="P217" s="18" t="n">
        <f aca="false">IF(Variants!$J218="","",Variants!$J218)</f>
        <v>49.4</v>
      </c>
      <c r="Q217" s="21" t="str">
        <f aca="false">IF(Variants!$U218="","",Variants!$U218)</f>
        <v/>
      </c>
      <c r="R217" s="21" t="str">
        <f aca="false">IF(Variants!$Y218="","",Variants!$Y218)</f>
        <v/>
      </c>
      <c r="S217" s="21" t="n">
        <f aca="false">IFERROR(VLOOKUP(Variants!$B218,Designs!$A$3:$AP$165,37,FALSE()),"")</f>
        <v>0</v>
      </c>
      <c r="T217" s="21" t="str">
        <f aca="false">IFERROR(VLOOKUP(Variants!$B218,Designs!$A$3:$AP$165,38,FALSE()),"")</f>
        <v>No</v>
      </c>
      <c r="U217" s="21" t="str">
        <f aca="false">IF(Variants!$AD218="Active","active","draft")</f>
        <v>active</v>
      </c>
    </row>
    <row r="218" customFormat="false" ht="15.75" hidden="false" customHeight="true" outlineLevel="0" collapsed="false">
      <c r="A218" s="21" t="str">
        <f aca="false">IF(Variants!$B219="","",LOWER(Variants!$B219))</f>
        <v>dsgn-brac-alpha-pyur</v>
      </c>
      <c r="B218" s="21" t="str">
        <f aca="false">IF(Variants!$B219="","",Variants!$C219&amp;IF(Variants!$F219="",""," "&amp;Variants!$F219))</f>
        <v>Bird Letter Bracelet Փ</v>
      </c>
      <c r="C218" s="21" t="str">
        <f aca="false">IFERROR(IF(Variants!$B219="","","&lt;p&gt;"&amp;VLOOKUP(Variants!$B219,Designs!$A$3:$AP$165,9,FALSE())&amp;"&lt;/p&gt;"),"")</f>
        <v>&lt;p&gt;Bird letters are an ornamental medieval Armenian script where each letter is formed from stylised birds, used in illuminated manuscripts.&lt;/p&gt;</v>
      </c>
      <c r="D218" s="21" t="str">
        <f aca="false">IF(Variants!$B219="","","Karni Jewellery")</f>
        <v>Karni Jewellery</v>
      </c>
      <c r="E218" s="21" t="str">
        <f aca="false">IF(Variants!$B219="","","Apparel &amp; Accessories &gt; Jewelry")</f>
        <v>Apparel &amp; Accessories &gt; Jewelry</v>
      </c>
      <c r="F218" s="21" t="str">
        <f aca="false">IF(Variants!$D219="","",Variants!$D219)</f>
        <v>Bracelet</v>
      </c>
      <c r="G218" s="21" t="str">
        <f aca="false">IF(Variants!$E219="","",Variants!$E219&amp;", Armenian jewellery, handmade")</f>
        <v>Alphabet, Armenian jewellery, handmade</v>
      </c>
      <c r="H218" s="21" t="str">
        <f aca="false">IF(Variants!$AD219="Active","TRUE","FALSE")</f>
        <v>TRUE</v>
      </c>
      <c r="I218" s="21" t="str">
        <f aca="false">IF(Variants!$H219="","","Color")</f>
        <v>Color</v>
      </c>
      <c r="J218" s="21" t="str">
        <f aca="false">IF(Variants!$H219="","",Variants!$H219)</f>
        <v>red</v>
      </c>
      <c r="K218" s="21" t="str">
        <f aca="false">IF(Variants!$G219="","","Size")</f>
        <v/>
      </c>
      <c r="L218" s="21" t="str">
        <f aca="false">IF(Variants!$G219="","",Variants!$G219)</f>
        <v/>
      </c>
      <c r="M218" s="21" t="str">
        <f aca="false">Variants!$A219</f>
        <v>KARNI-BRAC-ALPHA-PYUR-RED</v>
      </c>
      <c r="N218" s="21" t="str">
        <f aca="false">IF(Variants!$X219="","",Variants!$X219)</f>
        <v/>
      </c>
      <c r="O218" s="21" t="n">
        <f aca="false">IF(Variants!$O219="","",Variants!$O219)</f>
        <v>0</v>
      </c>
      <c r="P218" s="18" t="n">
        <f aca="false">IF(Variants!$J219="","",Variants!$J219)</f>
        <v>49.4</v>
      </c>
      <c r="Q218" s="21" t="str">
        <f aca="false">IF(Variants!$U219="","",Variants!$U219)</f>
        <v/>
      </c>
      <c r="R218" s="21" t="str">
        <f aca="false">IF(Variants!$Y219="","",Variants!$Y219)</f>
        <v/>
      </c>
      <c r="S218" s="21" t="n">
        <f aca="false">IFERROR(VLOOKUP(Variants!$B219,Designs!$A$3:$AP$165,37,FALSE()),"")</f>
        <v>0</v>
      </c>
      <c r="T218" s="21" t="str">
        <f aca="false">IFERROR(VLOOKUP(Variants!$B219,Designs!$A$3:$AP$165,38,FALSE()),"")</f>
        <v>No</v>
      </c>
      <c r="U218" s="21" t="str">
        <f aca="false">IF(Variants!$AD219="Active","active","draft")</f>
        <v>active</v>
      </c>
    </row>
    <row r="219" customFormat="false" ht="15.75" hidden="false" customHeight="true" outlineLevel="0" collapsed="false">
      <c r="A219" s="21" t="str">
        <f aca="false">IF(Variants!$B220="","",LOWER(Variants!$B220))</f>
        <v>dsgn-brac-alpha-pyur</v>
      </c>
      <c r="B219" s="21" t="str">
        <f aca="false">IF(Variants!$B220="","",Variants!$C220&amp;IF(Variants!$F220="",""," "&amp;Variants!$F220))</f>
        <v>Bird Letter Bracelet Փ</v>
      </c>
      <c r="C219" s="21" t="str">
        <f aca="false">IFERROR(IF(Variants!$B220="","","&lt;p&gt;"&amp;VLOOKUP(Variants!$B220,Designs!$A$3:$AP$165,9,FALSE())&amp;"&lt;/p&gt;"),"")</f>
        <v>&lt;p&gt;Bird letters are an ornamental medieval Armenian script where each letter is formed from stylised birds, used in illuminated manuscripts.&lt;/p&gt;</v>
      </c>
      <c r="D219" s="21" t="str">
        <f aca="false">IF(Variants!$B220="","","Karni Jewellery")</f>
        <v>Karni Jewellery</v>
      </c>
      <c r="E219" s="21" t="str">
        <f aca="false">IF(Variants!$B220="","","Apparel &amp; Accessories &gt; Jewelry")</f>
        <v>Apparel &amp; Accessories &gt; Jewelry</v>
      </c>
      <c r="F219" s="21" t="str">
        <f aca="false">IF(Variants!$D220="","",Variants!$D220)</f>
        <v>Bracelet</v>
      </c>
      <c r="G219" s="21" t="str">
        <f aca="false">IF(Variants!$E220="","",Variants!$E220&amp;", Armenian jewellery, handmade")</f>
        <v>Alphabet, Armenian jewellery, handmade</v>
      </c>
      <c r="H219" s="21" t="str">
        <f aca="false">IF(Variants!$AD220="Active","TRUE","FALSE")</f>
        <v>TRUE</v>
      </c>
      <c r="I219" s="21" t="str">
        <f aca="false">IF(Variants!$H220="","","Color")</f>
        <v>Color</v>
      </c>
      <c r="J219" s="21" t="str">
        <f aca="false">IF(Variants!$H220="","",Variants!$H220)</f>
        <v>turquoise</v>
      </c>
      <c r="K219" s="21" t="str">
        <f aca="false">IF(Variants!$G220="","","Size")</f>
        <v/>
      </c>
      <c r="L219" s="21" t="str">
        <f aca="false">IF(Variants!$G220="","",Variants!$G220)</f>
        <v/>
      </c>
      <c r="M219" s="21" t="str">
        <f aca="false">Variants!$A220</f>
        <v>KARNI-BRAC-ALPHA-PYUR-TURQUOISE</v>
      </c>
      <c r="N219" s="21" t="str">
        <f aca="false">IF(Variants!$X220="","",Variants!$X220)</f>
        <v/>
      </c>
      <c r="O219" s="21" t="n">
        <f aca="false">IF(Variants!$O220="","",Variants!$O220)</f>
        <v>0</v>
      </c>
      <c r="P219" s="18" t="n">
        <f aca="false">IF(Variants!$J220="","",Variants!$J220)</f>
        <v>49.4</v>
      </c>
      <c r="Q219" s="21" t="str">
        <f aca="false">IF(Variants!$U220="","",Variants!$U220)</f>
        <v/>
      </c>
      <c r="R219" s="21" t="str">
        <f aca="false">IF(Variants!$Y220="","",Variants!$Y220)</f>
        <v/>
      </c>
      <c r="S219" s="21" t="n">
        <f aca="false">IFERROR(VLOOKUP(Variants!$B220,Designs!$A$3:$AP$165,37,FALSE()),"")</f>
        <v>0</v>
      </c>
      <c r="T219" s="21" t="str">
        <f aca="false">IFERROR(VLOOKUP(Variants!$B220,Designs!$A$3:$AP$165,38,FALSE()),"")</f>
        <v>No</v>
      </c>
      <c r="U219" s="21" t="str">
        <f aca="false">IF(Variants!$AD220="Active","active","draft")</f>
        <v>active</v>
      </c>
    </row>
    <row r="220" customFormat="false" ht="15.75" hidden="false" customHeight="true" outlineLevel="0" collapsed="false">
      <c r="A220" s="21" t="str">
        <f aca="false">IF(Variants!$B221="","",LOWER(Variants!$B221))</f>
        <v>dsgn-brac-alpha-pyur</v>
      </c>
      <c r="B220" s="21" t="str">
        <f aca="false">IF(Variants!$B221="","",Variants!$C221&amp;IF(Variants!$F221="",""," "&amp;Variants!$F221))</f>
        <v>Bird Letter Bracelet Փ</v>
      </c>
      <c r="C220" s="21" t="str">
        <f aca="false">IFERROR(IF(Variants!$B221="","","&lt;p&gt;"&amp;VLOOKUP(Variants!$B221,Designs!$A$3:$AP$165,9,FALSE())&amp;"&lt;/p&gt;"),"")</f>
        <v>&lt;p&gt;Bird letters are an ornamental medieval Armenian script where each letter is formed from stylised birds, used in illuminated manuscripts.&lt;/p&gt;</v>
      </c>
      <c r="D220" s="21" t="str">
        <f aca="false">IF(Variants!$B221="","","Karni Jewellery")</f>
        <v>Karni Jewellery</v>
      </c>
      <c r="E220" s="21" t="str">
        <f aca="false">IF(Variants!$B221="","","Apparel &amp; Accessories &gt; Jewelry")</f>
        <v>Apparel &amp; Accessories &gt; Jewelry</v>
      </c>
      <c r="F220" s="21" t="str">
        <f aca="false">IF(Variants!$D221="","",Variants!$D221)</f>
        <v>Bracelet</v>
      </c>
      <c r="G220" s="21" t="str">
        <f aca="false">IF(Variants!$E221="","",Variants!$E221&amp;", Armenian jewellery, handmade")</f>
        <v>Alphabet, Armenian jewellery, handmade</v>
      </c>
      <c r="H220" s="21" t="str">
        <f aca="false">IF(Variants!$AD221="Active","TRUE","FALSE")</f>
        <v>TRUE</v>
      </c>
      <c r="I220" s="21" t="str">
        <f aca="false">IF(Variants!$H221="","","Color")</f>
        <v>Color</v>
      </c>
      <c r="J220" s="21" t="str">
        <f aca="false">IF(Variants!$H221="","",Variants!$H221)</f>
        <v>white</v>
      </c>
      <c r="K220" s="21" t="str">
        <f aca="false">IF(Variants!$G221="","","Size")</f>
        <v/>
      </c>
      <c r="L220" s="21" t="str">
        <f aca="false">IF(Variants!$G221="","",Variants!$G221)</f>
        <v/>
      </c>
      <c r="M220" s="21" t="str">
        <f aca="false">Variants!$A221</f>
        <v>KARNI-BRAC-ALPHA-PYUR-WHITE</v>
      </c>
      <c r="N220" s="21" t="str">
        <f aca="false">IF(Variants!$X221="","",Variants!$X221)</f>
        <v/>
      </c>
      <c r="O220" s="21" t="n">
        <f aca="false">IF(Variants!$O221="","",Variants!$O221)</f>
        <v>0</v>
      </c>
      <c r="P220" s="18" t="n">
        <f aca="false">IF(Variants!$J221="","",Variants!$J221)</f>
        <v>49.4</v>
      </c>
      <c r="Q220" s="21" t="str">
        <f aca="false">IF(Variants!$U221="","",Variants!$U221)</f>
        <v/>
      </c>
      <c r="R220" s="21" t="str">
        <f aca="false">IF(Variants!$Y221="","",Variants!$Y221)</f>
        <v/>
      </c>
      <c r="S220" s="21" t="n">
        <f aca="false">IFERROR(VLOOKUP(Variants!$B221,Designs!$A$3:$AP$165,37,FALSE()),"")</f>
        <v>0</v>
      </c>
      <c r="T220" s="21" t="str">
        <f aca="false">IFERROR(VLOOKUP(Variants!$B221,Designs!$A$3:$AP$165,38,FALSE()),"")</f>
        <v>No</v>
      </c>
      <c r="U220" s="21" t="str">
        <f aca="false">IF(Variants!$AD221="Active","active","draft")</f>
        <v>active</v>
      </c>
    </row>
    <row r="221" customFormat="false" ht="15.75" hidden="false" customHeight="true" outlineLevel="0" collapsed="false">
      <c r="A221" s="21" t="str">
        <f aca="false">IF(Variants!$B222="","",LOWER(Variants!$B222))</f>
        <v>dsgn-brac-alpha-qeh</v>
      </c>
      <c r="B221" s="21" t="str">
        <f aca="false">IF(Variants!$B222="","",Variants!$C222&amp;IF(Variants!$F222="",""," "&amp;Variants!$F222))</f>
        <v>Bird Letter Bracelet Ք</v>
      </c>
      <c r="C221" s="21" t="str">
        <f aca="false">IFERROR(IF(Variants!$B222="","","&lt;p&gt;"&amp;VLOOKUP(Variants!$B222,Designs!$A$3:$AP$165,9,FALSE())&amp;"&lt;/p&gt;"),"")</f>
        <v>&lt;p&gt;Bird letters are an ornamental medieval Armenian script where each letter is formed from stylised birds, used in illuminated manuscripts.&lt;/p&gt;</v>
      </c>
      <c r="D221" s="21" t="str">
        <f aca="false">IF(Variants!$B222="","","Karni Jewellery")</f>
        <v>Karni Jewellery</v>
      </c>
      <c r="E221" s="21" t="str">
        <f aca="false">IF(Variants!$B222="","","Apparel &amp; Accessories &gt; Jewelry")</f>
        <v>Apparel &amp; Accessories &gt; Jewelry</v>
      </c>
      <c r="F221" s="21" t="str">
        <f aca="false">IF(Variants!$D222="","",Variants!$D222)</f>
        <v>Bracelet</v>
      </c>
      <c r="G221" s="21" t="str">
        <f aca="false">IF(Variants!$E222="","",Variants!$E222&amp;", Armenian jewellery, handmade")</f>
        <v>Alphabet, Armenian jewellery, handmade</v>
      </c>
      <c r="H221" s="21" t="str">
        <f aca="false">IF(Variants!$AD222="Active","TRUE","FALSE")</f>
        <v>TRUE</v>
      </c>
      <c r="I221" s="21" t="str">
        <f aca="false">IF(Variants!$H222="","","Color")</f>
        <v>Color</v>
      </c>
      <c r="J221" s="21" t="str">
        <f aca="false">IF(Variants!$H222="","",Variants!$H222)</f>
        <v>red</v>
      </c>
      <c r="K221" s="21" t="str">
        <f aca="false">IF(Variants!$G222="","","Size")</f>
        <v/>
      </c>
      <c r="L221" s="21" t="str">
        <f aca="false">IF(Variants!$G222="","",Variants!$G222)</f>
        <v/>
      </c>
      <c r="M221" s="21" t="str">
        <f aca="false">Variants!$A222</f>
        <v>KARNI-BRAC-ALPHA-QEH-RED</v>
      </c>
      <c r="N221" s="21" t="str">
        <f aca="false">IF(Variants!$X222="","",Variants!$X222)</f>
        <v/>
      </c>
      <c r="O221" s="21" t="n">
        <f aca="false">IF(Variants!$O222="","",Variants!$O222)</f>
        <v>0</v>
      </c>
      <c r="P221" s="18" t="n">
        <f aca="false">IF(Variants!$J222="","",Variants!$J222)</f>
        <v>49.4</v>
      </c>
      <c r="Q221" s="21" t="str">
        <f aca="false">IF(Variants!$U222="","",Variants!$U222)</f>
        <v/>
      </c>
      <c r="R221" s="21" t="str">
        <f aca="false">IF(Variants!$Y222="","",Variants!$Y222)</f>
        <v/>
      </c>
      <c r="S221" s="21" t="n">
        <f aca="false">IFERROR(VLOOKUP(Variants!$B222,Designs!$A$3:$AP$165,37,FALSE()),"")</f>
        <v>0</v>
      </c>
      <c r="T221" s="21" t="str">
        <f aca="false">IFERROR(VLOOKUP(Variants!$B222,Designs!$A$3:$AP$165,38,FALSE()),"")</f>
        <v>No</v>
      </c>
      <c r="U221" s="21" t="str">
        <f aca="false">IF(Variants!$AD222="Active","active","draft")</f>
        <v>active</v>
      </c>
    </row>
    <row r="222" customFormat="false" ht="15.75" hidden="false" customHeight="true" outlineLevel="0" collapsed="false">
      <c r="A222" s="21" t="str">
        <f aca="false">IF(Variants!$B223="","",LOWER(Variants!$B223))</f>
        <v>dsgn-brac-alpha-qeh</v>
      </c>
      <c r="B222" s="21" t="str">
        <f aca="false">IF(Variants!$B223="","",Variants!$C223&amp;IF(Variants!$F223="",""," "&amp;Variants!$F223))</f>
        <v>Bird Letter Bracelet Ք</v>
      </c>
      <c r="C222" s="21" t="str">
        <f aca="false">IFERROR(IF(Variants!$B223="","","&lt;p&gt;"&amp;VLOOKUP(Variants!$B223,Designs!$A$3:$AP$165,9,FALSE())&amp;"&lt;/p&gt;"),"")</f>
        <v>&lt;p&gt;Bird letters are an ornamental medieval Armenian script where each letter is formed from stylised birds, used in illuminated manuscripts.&lt;/p&gt;</v>
      </c>
      <c r="D222" s="21" t="str">
        <f aca="false">IF(Variants!$B223="","","Karni Jewellery")</f>
        <v>Karni Jewellery</v>
      </c>
      <c r="E222" s="21" t="str">
        <f aca="false">IF(Variants!$B223="","","Apparel &amp; Accessories &gt; Jewelry")</f>
        <v>Apparel &amp; Accessories &gt; Jewelry</v>
      </c>
      <c r="F222" s="21" t="str">
        <f aca="false">IF(Variants!$D223="","",Variants!$D223)</f>
        <v>Bracelet</v>
      </c>
      <c r="G222" s="21" t="str">
        <f aca="false">IF(Variants!$E223="","",Variants!$E223&amp;", Armenian jewellery, handmade")</f>
        <v>Alphabet, Armenian jewellery, handmade</v>
      </c>
      <c r="H222" s="21" t="str">
        <f aca="false">IF(Variants!$AD223="Active","TRUE","FALSE")</f>
        <v>TRUE</v>
      </c>
      <c r="I222" s="21" t="str">
        <f aca="false">IF(Variants!$H223="","","Color")</f>
        <v>Color</v>
      </c>
      <c r="J222" s="21" t="str">
        <f aca="false">IF(Variants!$H223="","",Variants!$H223)</f>
        <v>turquoise</v>
      </c>
      <c r="K222" s="21" t="str">
        <f aca="false">IF(Variants!$G223="","","Size")</f>
        <v/>
      </c>
      <c r="L222" s="21" t="str">
        <f aca="false">IF(Variants!$G223="","",Variants!$G223)</f>
        <v/>
      </c>
      <c r="M222" s="21" t="str">
        <f aca="false">Variants!$A223</f>
        <v>KARNI-BRAC-ALPHA-QEH-TURQUOISE</v>
      </c>
      <c r="N222" s="21" t="str">
        <f aca="false">IF(Variants!$X223="","",Variants!$X223)</f>
        <v/>
      </c>
      <c r="O222" s="21" t="n">
        <f aca="false">IF(Variants!$O223="","",Variants!$O223)</f>
        <v>0</v>
      </c>
      <c r="P222" s="18" t="n">
        <f aca="false">IF(Variants!$J223="","",Variants!$J223)</f>
        <v>49.4</v>
      </c>
      <c r="Q222" s="21" t="str">
        <f aca="false">IF(Variants!$U223="","",Variants!$U223)</f>
        <v/>
      </c>
      <c r="R222" s="21" t="str">
        <f aca="false">IF(Variants!$Y223="","",Variants!$Y223)</f>
        <v/>
      </c>
      <c r="S222" s="21" t="n">
        <f aca="false">IFERROR(VLOOKUP(Variants!$B223,Designs!$A$3:$AP$165,37,FALSE()),"")</f>
        <v>0</v>
      </c>
      <c r="T222" s="21" t="str">
        <f aca="false">IFERROR(VLOOKUP(Variants!$B223,Designs!$A$3:$AP$165,38,FALSE()),"")</f>
        <v>No</v>
      </c>
      <c r="U222" s="21" t="str">
        <f aca="false">IF(Variants!$AD223="Active","active","draft")</f>
        <v>active</v>
      </c>
    </row>
    <row r="223" customFormat="false" ht="15.75" hidden="false" customHeight="true" outlineLevel="0" collapsed="false">
      <c r="A223" s="21" t="str">
        <f aca="false">IF(Variants!$B224="","",LOWER(Variants!$B224))</f>
        <v>dsgn-brac-alpha-qeh</v>
      </c>
      <c r="B223" s="21" t="str">
        <f aca="false">IF(Variants!$B224="","",Variants!$C224&amp;IF(Variants!$F224="",""," "&amp;Variants!$F224))</f>
        <v>Bird Letter Bracelet Ք</v>
      </c>
      <c r="C223" s="21" t="str">
        <f aca="false">IFERROR(IF(Variants!$B224="","","&lt;p&gt;"&amp;VLOOKUP(Variants!$B224,Designs!$A$3:$AP$165,9,FALSE())&amp;"&lt;/p&gt;"),"")</f>
        <v>&lt;p&gt;Bird letters are an ornamental medieval Armenian script where each letter is formed from stylised birds, used in illuminated manuscripts.&lt;/p&gt;</v>
      </c>
      <c r="D223" s="21" t="str">
        <f aca="false">IF(Variants!$B224="","","Karni Jewellery")</f>
        <v>Karni Jewellery</v>
      </c>
      <c r="E223" s="21" t="str">
        <f aca="false">IF(Variants!$B224="","","Apparel &amp; Accessories &gt; Jewelry")</f>
        <v>Apparel &amp; Accessories &gt; Jewelry</v>
      </c>
      <c r="F223" s="21" t="str">
        <f aca="false">IF(Variants!$D224="","",Variants!$D224)</f>
        <v>Bracelet</v>
      </c>
      <c r="G223" s="21" t="str">
        <f aca="false">IF(Variants!$E224="","",Variants!$E224&amp;", Armenian jewellery, handmade")</f>
        <v>Alphabet, Armenian jewellery, handmade</v>
      </c>
      <c r="H223" s="21" t="str">
        <f aca="false">IF(Variants!$AD224="Active","TRUE","FALSE")</f>
        <v>TRUE</v>
      </c>
      <c r="I223" s="21" t="str">
        <f aca="false">IF(Variants!$H224="","","Color")</f>
        <v>Color</v>
      </c>
      <c r="J223" s="21" t="str">
        <f aca="false">IF(Variants!$H224="","",Variants!$H224)</f>
        <v>white</v>
      </c>
      <c r="K223" s="21" t="str">
        <f aca="false">IF(Variants!$G224="","","Size")</f>
        <v/>
      </c>
      <c r="L223" s="21" t="str">
        <f aca="false">IF(Variants!$G224="","",Variants!$G224)</f>
        <v/>
      </c>
      <c r="M223" s="21" t="str">
        <f aca="false">Variants!$A224</f>
        <v>KARNI-BRAC-ALPHA-QEH-WHITE</v>
      </c>
      <c r="N223" s="21" t="str">
        <f aca="false">IF(Variants!$X224="","",Variants!$X224)</f>
        <v/>
      </c>
      <c r="O223" s="21" t="n">
        <f aca="false">IF(Variants!$O224="","",Variants!$O224)</f>
        <v>0</v>
      </c>
      <c r="P223" s="18" t="n">
        <f aca="false">IF(Variants!$J224="","",Variants!$J224)</f>
        <v>49.4</v>
      </c>
      <c r="Q223" s="21" t="str">
        <f aca="false">IF(Variants!$U224="","",Variants!$U224)</f>
        <v/>
      </c>
      <c r="R223" s="21" t="str">
        <f aca="false">IF(Variants!$Y224="","",Variants!$Y224)</f>
        <v/>
      </c>
      <c r="S223" s="21" t="n">
        <f aca="false">IFERROR(VLOOKUP(Variants!$B224,Designs!$A$3:$AP$165,37,FALSE()),"")</f>
        <v>0</v>
      </c>
      <c r="T223" s="21" t="str">
        <f aca="false">IFERROR(VLOOKUP(Variants!$B224,Designs!$A$3:$AP$165,38,FALSE()),"")</f>
        <v>No</v>
      </c>
      <c r="U223" s="21" t="str">
        <f aca="false">IF(Variants!$AD224="Active","active","draft")</f>
        <v>active</v>
      </c>
    </row>
    <row r="224" customFormat="false" ht="15.75" hidden="false" customHeight="true" outlineLevel="0" collapsed="false">
      <c r="A224" s="21" t="str">
        <f aca="false">IF(Variants!$B225="","",LOWER(Variants!$B225))</f>
        <v>dsgn-brac-alpha-oh</v>
      </c>
      <c r="B224" s="21" t="str">
        <f aca="false">IF(Variants!$B225="","",Variants!$C225&amp;IF(Variants!$F225="",""," "&amp;Variants!$F225))</f>
        <v>Bird Letter Bracelet Օ</v>
      </c>
      <c r="C224" s="21" t="str">
        <f aca="false">IFERROR(IF(Variants!$B225="","","&lt;p&gt;"&amp;VLOOKUP(Variants!$B225,Designs!$A$3:$AP$165,9,FALSE())&amp;"&lt;/p&gt;"),"")</f>
        <v>&lt;p&gt;Bird letters are an ornamental medieval Armenian script where each letter is formed from stylised birds, used in illuminated manuscripts.&lt;/p&gt;</v>
      </c>
      <c r="D224" s="21" t="str">
        <f aca="false">IF(Variants!$B225="","","Karni Jewellery")</f>
        <v>Karni Jewellery</v>
      </c>
      <c r="E224" s="21" t="str">
        <f aca="false">IF(Variants!$B225="","","Apparel &amp; Accessories &gt; Jewelry")</f>
        <v>Apparel &amp; Accessories &gt; Jewelry</v>
      </c>
      <c r="F224" s="21" t="str">
        <f aca="false">IF(Variants!$D225="","",Variants!$D225)</f>
        <v>Bracelet</v>
      </c>
      <c r="G224" s="21" t="str">
        <f aca="false">IF(Variants!$E225="","",Variants!$E225&amp;", Armenian jewellery, handmade")</f>
        <v>Alphabet, Armenian jewellery, handmade</v>
      </c>
      <c r="H224" s="21" t="str">
        <f aca="false">IF(Variants!$AD225="Active","TRUE","FALSE")</f>
        <v>TRUE</v>
      </c>
      <c r="I224" s="21" t="str">
        <f aca="false">IF(Variants!$H225="","","Color")</f>
        <v>Color</v>
      </c>
      <c r="J224" s="21" t="str">
        <f aca="false">IF(Variants!$H225="","",Variants!$H225)</f>
        <v>red</v>
      </c>
      <c r="K224" s="21" t="str">
        <f aca="false">IF(Variants!$G225="","","Size")</f>
        <v/>
      </c>
      <c r="L224" s="21" t="str">
        <f aca="false">IF(Variants!$G225="","",Variants!$G225)</f>
        <v/>
      </c>
      <c r="M224" s="21" t="str">
        <f aca="false">Variants!$A225</f>
        <v>KARNI-BRAC-ALPHA-OH-RED</v>
      </c>
      <c r="N224" s="21" t="str">
        <f aca="false">IF(Variants!$X225="","",Variants!$X225)</f>
        <v/>
      </c>
      <c r="O224" s="21" t="n">
        <f aca="false">IF(Variants!$O225="","",Variants!$O225)</f>
        <v>0</v>
      </c>
      <c r="P224" s="18" t="n">
        <f aca="false">IF(Variants!$J225="","",Variants!$J225)</f>
        <v>49.4</v>
      </c>
      <c r="Q224" s="21" t="str">
        <f aca="false">IF(Variants!$U225="","",Variants!$U225)</f>
        <v/>
      </c>
      <c r="R224" s="21" t="str">
        <f aca="false">IF(Variants!$Y225="","",Variants!$Y225)</f>
        <v/>
      </c>
      <c r="S224" s="21" t="n">
        <f aca="false">IFERROR(VLOOKUP(Variants!$B225,Designs!$A$3:$AP$165,37,FALSE()),"")</f>
        <v>0</v>
      </c>
      <c r="T224" s="21" t="str">
        <f aca="false">IFERROR(VLOOKUP(Variants!$B225,Designs!$A$3:$AP$165,38,FALSE()),"")</f>
        <v>No</v>
      </c>
      <c r="U224" s="21" t="str">
        <f aca="false">IF(Variants!$AD225="Active","active","draft")</f>
        <v>active</v>
      </c>
    </row>
    <row r="225" customFormat="false" ht="15.75" hidden="false" customHeight="true" outlineLevel="0" collapsed="false">
      <c r="A225" s="21" t="str">
        <f aca="false">IF(Variants!$B226="","",LOWER(Variants!$B226))</f>
        <v>dsgn-brac-alpha-oh</v>
      </c>
      <c r="B225" s="21" t="str">
        <f aca="false">IF(Variants!$B226="","",Variants!$C226&amp;IF(Variants!$F226="",""," "&amp;Variants!$F226))</f>
        <v>Bird Letter Bracelet Օ</v>
      </c>
      <c r="C225" s="21" t="str">
        <f aca="false">IFERROR(IF(Variants!$B226="","","&lt;p&gt;"&amp;VLOOKUP(Variants!$B226,Designs!$A$3:$AP$165,9,FALSE())&amp;"&lt;/p&gt;"),"")</f>
        <v>&lt;p&gt;Bird letters are an ornamental medieval Armenian script where each letter is formed from stylised birds, used in illuminated manuscripts.&lt;/p&gt;</v>
      </c>
      <c r="D225" s="21" t="str">
        <f aca="false">IF(Variants!$B226="","","Karni Jewellery")</f>
        <v>Karni Jewellery</v>
      </c>
      <c r="E225" s="21" t="str">
        <f aca="false">IF(Variants!$B226="","","Apparel &amp; Accessories &gt; Jewelry")</f>
        <v>Apparel &amp; Accessories &gt; Jewelry</v>
      </c>
      <c r="F225" s="21" t="str">
        <f aca="false">IF(Variants!$D226="","",Variants!$D226)</f>
        <v>Bracelet</v>
      </c>
      <c r="G225" s="21" t="str">
        <f aca="false">IF(Variants!$E226="","",Variants!$E226&amp;", Armenian jewellery, handmade")</f>
        <v>Alphabet, Armenian jewellery, handmade</v>
      </c>
      <c r="H225" s="21" t="str">
        <f aca="false">IF(Variants!$AD226="Active","TRUE","FALSE")</f>
        <v>TRUE</v>
      </c>
      <c r="I225" s="21" t="str">
        <f aca="false">IF(Variants!$H226="","","Color")</f>
        <v>Color</v>
      </c>
      <c r="J225" s="21" t="str">
        <f aca="false">IF(Variants!$H226="","",Variants!$H226)</f>
        <v>turquoise</v>
      </c>
      <c r="K225" s="21" t="str">
        <f aca="false">IF(Variants!$G226="","","Size")</f>
        <v/>
      </c>
      <c r="L225" s="21" t="str">
        <f aca="false">IF(Variants!$G226="","",Variants!$G226)</f>
        <v/>
      </c>
      <c r="M225" s="21" t="str">
        <f aca="false">Variants!$A226</f>
        <v>KARNI-BRAC-ALPHA-OH-TURQUOISE</v>
      </c>
      <c r="N225" s="21" t="str">
        <f aca="false">IF(Variants!$X226="","",Variants!$X226)</f>
        <v/>
      </c>
      <c r="O225" s="21" t="n">
        <f aca="false">IF(Variants!$O226="","",Variants!$O226)</f>
        <v>0</v>
      </c>
      <c r="P225" s="18" t="n">
        <f aca="false">IF(Variants!$J226="","",Variants!$J226)</f>
        <v>49.4</v>
      </c>
      <c r="Q225" s="21" t="str">
        <f aca="false">IF(Variants!$U226="","",Variants!$U226)</f>
        <v/>
      </c>
      <c r="R225" s="21" t="str">
        <f aca="false">IF(Variants!$Y226="","",Variants!$Y226)</f>
        <v/>
      </c>
      <c r="S225" s="21" t="n">
        <f aca="false">IFERROR(VLOOKUP(Variants!$B226,Designs!$A$3:$AP$165,37,FALSE()),"")</f>
        <v>0</v>
      </c>
      <c r="T225" s="21" t="str">
        <f aca="false">IFERROR(VLOOKUP(Variants!$B226,Designs!$A$3:$AP$165,38,FALSE()),"")</f>
        <v>No</v>
      </c>
      <c r="U225" s="21" t="str">
        <f aca="false">IF(Variants!$AD226="Active","active","draft")</f>
        <v>active</v>
      </c>
    </row>
    <row r="226" customFormat="false" ht="15.75" hidden="false" customHeight="true" outlineLevel="0" collapsed="false">
      <c r="A226" s="21" t="str">
        <f aca="false">IF(Variants!$B227="","",LOWER(Variants!$B227))</f>
        <v>dsgn-brac-alpha-oh</v>
      </c>
      <c r="B226" s="21" t="str">
        <f aca="false">IF(Variants!$B227="","",Variants!$C227&amp;IF(Variants!$F227="",""," "&amp;Variants!$F227))</f>
        <v>Bird Letter Bracelet Օ</v>
      </c>
      <c r="C226" s="21" t="str">
        <f aca="false">IFERROR(IF(Variants!$B227="","","&lt;p&gt;"&amp;VLOOKUP(Variants!$B227,Designs!$A$3:$AP$165,9,FALSE())&amp;"&lt;/p&gt;"),"")</f>
        <v>&lt;p&gt;Bird letters are an ornamental medieval Armenian script where each letter is formed from stylised birds, used in illuminated manuscripts.&lt;/p&gt;</v>
      </c>
      <c r="D226" s="21" t="str">
        <f aca="false">IF(Variants!$B227="","","Karni Jewellery")</f>
        <v>Karni Jewellery</v>
      </c>
      <c r="E226" s="21" t="str">
        <f aca="false">IF(Variants!$B227="","","Apparel &amp; Accessories &gt; Jewelry")</f>
        <v>Apparel &amp; Accessories &gt; Jewelry</v>
      </c>
      <c r="F226" s="21" t="str">
        <f aca="false">IF(Variants!$D227="","",Variants!$D227)</f>
        <v>Bracelet</v>
      </c>
      <c r="G226" s="21" t="str">
        <f aca="false">IF(Variants!$E227="","",Variants!$E227&amp;", Armenian jewellery, handmade")</f>
        <v>Alphabet, Armenian jewellery, handmade</v>
      </c>
      <c r="H226" s="21" t="str">
        <f aca="false">IF(Variants!$AD227="Active","TRUE","FALSE")</f>
        <v>TRUE</v>
      </c>
      <c r="I226" s="21" t="str">
        <f aca="false">IF(Variants!$H227="","","Color")</f>
        <v>Color</v>
      </c>
      <c r="J226" s="21" t="str">
        <f aca="false">IF(Variants!$H227="","",Variants!$H227)</f>
        <v>white</v>
      </c>
      <c r="K226" s="21" t="str">
        <f aca="false">IF(Variants!$G227="","","Size")</f>
        <v/>
      </c>
      <c r="L226" s="21" t="str">
        <f aca="false">IF(Variants!$G227="","",Variants!$G227)</f>
        <v/>
      </c>
      <c r="M226" s="21" t="str">
        <f aca="false">Variants!$A227</f>
        <v>KARNI-BRAC-ALPHA-OH-WHITE</v>
      </c>
      <c r="N226" s="21" t="str">
        <f aca="false">IF(Variants!$X227="","",Variants!$X227)</f>
        <v/>
      </c>
      <c r="O226" s="21" t="n">
        <f aca="false">IF(Variants!$O227="","",Variants!$O227)</f>
        <v>0</v>
      </c>
      <c r="P226" s="18" t="n">
        <f aca="false">IF(Variants!$J227="","",Variants!$J227)</f>
        <v>49.4</v>
      </c>
      <c r="Q226" s="21" t="str">
        <f aca="false">IF(Variants!$U227="","",Variants!$U227)</f>
        <v/>
      </c>
      <c r="R226" s="21" t="str">
        <f aca="false">IF(Variants!$Y227="","",Variants!$Y227)</f>
        <v/>
      </c>
      <c r="S226" s="21" t="n">
        <f aca="false">IFERROR(VLOOKUP(Variants!$B227,Designs!$A$3:$AP$165,37,FALSE()),"")</f>
        <v>0</v>
      </c>
      <c r="T226" s="21" t="str">
        <f aca="false">IFERROR(VLOOKUP(Variants!$B227,Designs!$A$3:$AP$165,38,FALSE()),"")</f>
        <v>No</v>
      </c>
      <c r="U226" s="21" t="str">
        <f aca="false">IF(Variants!$AD227="Active","active","draft")</f>
        <v>active</v>
      </c>
    </row>
    <row r="227" customFormat="false" ht="15.75" hidden="false" customHeight="true" outlineLevel="0" collapsed="false">
      <c r="A227" s="21" t="str">
        <f aca="false">IF(Variants!$B228="","",LOWER(Variants!$B228))</f>
        <v>dsgn-brac-alpha-feh</v>
      </c>
      <c r="B227" s="21" t="str">
        <f aca="false">IF(Variants!$B228="","",Variants!$C228&amp;IF(Variants!$F228="",""," "&amp;Variants!$F228))</f>
        <v>Bird Letter Bracelet Ֆ</v>
      </c>
      <c r="C227" s="21" t="str">
        <f aca="false">IFERROR(IF(Variants!$B228="","","&lt;p&gt;"&amp;VLOOKUP(Variants!$B228,Designs!$A$3:$AP$165,9,FALSE())&amp;"&lt;/p&gt;"),"")</f>
        <v>&lt;p&gt;Bird letters are an ornamental medieval Armenian script where each letter is formed from stylised birds, used in illuminated manuscripts.&lt;/p&gt;</v>
      </c>
      <c r="D227" s="21" t="str">
        <f aca="false">IF(Variants!$B228="","","Karni Jewellery")</f>
        <v>Karni Jewellery</v>
      </c>
      <c r="E227" s="21" t="str">
        <f aca="false">IF(Variants!$B228="","","Apparel &amp; Accessories &gt; Jewelry")</f>
        <v>Apparel &amp; Accessories &gt; Jewelry</v>
      </c>
      <c r="F227" s="21" t="str">
        <f aca="false">IF(Variants!$D228="","",Variants!$D228)</f>
        <v>Bracelet</v>
      </c>
      <c r="G227" s="21" t="str">
        <f aca="false">IF(Variants!$E228="","",Variants!$E228&amp;", Armenian jewellery, handmade")</f>
        <v>Alphabet, Armenian jewellery, handmade</v>
      </c>
      <c r="H227" s="21" t="str">
        <f aca="false">IF(Variants!$AD228="Active","TRUE","FALSE")</f>
        <v>TRUE</v>
      </c>
      <c r="I227" s="21" t="str">
        <f aca="false">IF(Variants!$H228="","","Color")</f>
        <v>Color</v>
      </c>
      <c r="J227" s="21" t="str">
        <f aca="false">IF(Variants!$H228="","",Variants!$H228)</f>
        <v>red</v>
      </c>
      <c r="K227" s="21" t="str">
        <f aca="false">IF(Variants!$G228="","","Size")</f>
        <v/>
      </c>
      <c r="L227" s="21" t="str">
        <f aca="false">IF(Variants!$G228="","",Variants!$G228)</f>
        <v/>
      </c>
      <c r="M227" s="21" t="str">
        <f aca="false">Variants!$A228</f>
        <v>KARNI-BRAC-ALPHA-FEH-RED</v>
      </c>
      <c r="N227" s="21" t="str">
        <f aca="false">IF(Variants!$X228="","",Variants!$X228)</f>
        <v/>
      </c>
      <c r="O227" s="21" t="n">
        <f aca="false">IF(Variants!$O228="","",Variants!$O228)</f>
        <v>0</v>
      </c>
      <c r="P227" s="18" t="n">
        <f aca="false">IF(Variants!$J228="","",Variants!$J228)</f>
        <v>49.4</v>
      </c>
      <c r="Q227" s="21" t="str">
        <f aca="false">IF(Variants!$U228="","",Variants!$U228)</f>
        <v/>
      </c>
      <c r="R227" s="21" t="str">
        <f aca="false">IF(Variants!$Y228="","",Variants!$Y228)</f>
        <v/>
      </c>
      <c r="S227" s="21" t="n">
        <f aca="false">IFERROR(VLOOKUP(Variants!$B228,Designs!$A$3:$AP$165,37,FALSE()),"")</f>
        <v>0</v>
      </c>
      <c r="T227" s="21" t="str">
        <f aca="false">IFERROR(VLOOKUP(Variants!$B228,Designs!$A$3:$AP$165,38,FALSE()),"")</f>
        <v>No</v>
      </c>
      <c r="U227" s="21" t="str">
        <f aca="false">IF(Variants!$AD228="Active","active","draft")</f>
        <v>active</v>
      </c>
    </row>
    <row r="228" customFormat="false" ht="15.75" hidden="false" customHeight="true" outlineLevel="0" collapsed="false">
      <c r="A228" s="21" t="str">
        <f aca="false">IF(Variants!$B229="","",LOWER(Variants!$B229))</f>
        <v>dsgn-brac-alpha-feh</v>
      </c>
      <c r="B228" s="21" t="str">
        <f aca="false">IF(Variants!$B229="","",Variants!$C229&amp;IF(Variants!$F229="",""," "&amp;Variants!$F229))</f>
        <v>Bird Letter Bracelet Ֆ</v>
      </c>
      <c r="C228" s="21" t="str">
        <f aca="false">IFERROR(IF(Variants!$B229="","","&lt;p&gt;"&amp;VLOOKUP(Variants!$B229,Designs!$A$3:$AP$165,9,FALSE())&amp;"&lt;/p&gt;"),"")</f>
        <v>&lt;p&gt;Bird letters are an ornamental medieval Armenian script where each letter is formed from stylised birds, used in illuminated manuscripts.&lt;/p&gt;</v>
      </c>
      <c r="D228" s="21" t="str">
        <f aca="false">IF(Variants!$B229="","","Karni Jewellery")</f>
        <v>Karni Jewellery</v>
      </c>
      <c r="E228" s="21" t="str">
        <f aca="false">IF(Variants!$B229="","","Apparel &amp; Accessories &gt; Jewelry")</f>
        <v>Apparel &amp; Accessories &gt; Jewelry</v>
      </c>
      <c r="F228" s="21" t="str">
        <f aca="false">IF(Variants!$D229="","",Variants!$D229)</f>
        <v>Bracelet</v>
      </c>
      <c r="G228" s="21" t="str">
        <f aca="false">IF(Variants!$E229="","",Variants!$E229&amp;", Armenian jewellery, handmade")</f>
        <v>Alphabet, Armenian jewellery, handmade</v>
      </c>
      <c r="H228" s="21" t="str">
        <f aca="false">IF(Variants!$AD229="Active","TRUE","FALSE")</f>
        <v>TRUE</v>
      </c>
      <c r="I228" s="21" t="str">
        <f aca="false">IF(Variants!$H229="","","Color")</f>
        <v>Color</v>
      </c>
      <c r="J228" s="21" t="str">
        <f aca="false">IF(Variants!$H229="","",Variants!$H229)</f>
        <v>turquoise</v>
      </c>
      <c r="K228" s="21" t="str">
        <f aca="false">IF(Variants!$G229="","","Size")</f>
        <v/>
      </c>
      <c r="L228" s="21" t="str">
        <f aca="false">IF(Variants!$G229="","",Variants!$G229)</f>
        <v/>
      </c>
      <c r="M228" s="21" t="str">
        <f aca="false">Variants!$A229</f>
        <v>KARNI-BRAC-ALPHA-FEH-TURQUOISE</v>
      </c>
      <c r="N228" s="21" t="str">
        <f aca="false">IF(Variants!$X229="","",Variants!$X229)</f>
        <v/>
      </c>
      <c r="O228" s="21" t="n">
        <f aca="false">IF(Variants!$O229="","",Variants!$O229)</f>
        <v>0</v>
      </c>
      <c r="P228" s="18" t="n">
        <f aca="false">IF(Variants!$J229="","",Variants!$J229)</f>
        <v>49.4</v>
      </c>
      <c r="Q228" s="21" t="str">
        <f aca="false">IF(Variants!$U229="","",Variants!$U229)</f>
        <v/>
      </c>
      <c r="R228" s="21" t="str">
        <f aca="false">IF(Variants!$Y229="","",Variants!$Y229)</f>
        <v/>
      </c>
      <c r="S228" s="21" t="n">
        <f aca="false">IFERROR(VLOOKUP(Variants!$B229,Designs!$A$3:$AP$165,37,FALSE()),"")</f>
        <v>0</v>
      </c>
      <c r="T228" s="21" t="str">
        <f aca="false">IFERROR(VLOOKUP(Variants!$B229,Designs!$A$3:$AP$165,38,FALSE()),"")</f>
        <v>No</v>
      </c>
      <c r="U228" s="21" t="str">
        <f aca="false">IF(Variants!$AD229="Active","active","draft")</f>
        <v>active</v>
      </c>
    </row>
    <row r="229" customFormat="false" ht="15.75" hidden="false" customHeight="true" outlineLevel="0" collapsed="false">
      <c r="A229" s="21" t="str">
        <f aca="false">IF(Variants!$B230="","",LOWER(Variants!$B230))</f>
        <v>dsgn-brac-alpha-feh</v>
      </c>
      <c r="B229" s="21" t="str">
        <f aca="false">IF(Variants!$B230="","",Variants!$C230&amp;IF(Variants!$F230="",""," "&amp;Variants!$F230))</f>
        <v>Bird Letter Bracelet Ֆ</v>
      </c>
      <c r="C229" s="21" t="str">
        <f aca="false">IFERROR(IF(Variants!$B230="","","&lt;p&gt;"&amp;VLOOKUP(Variants!$B230,Designs!$A$3:$AP$165,9,FALSE())&amp;"&lt;/p&gt;"),"")</f>
        <v>&lt;p&gt;Bird letters are an ornamental medieval Armenian script where each letter is formed from stylised birds, used in illuminated manuscripts.&lt;/p&gt;</v>
      </c>
      <c r="D229" s="21" t="str">
        <f aca="false">IF(Variants!$B230="","","Karni Jewellery")</f>
        <v>Karni Jewellery</v>
      </c>
      <c r="E229" s="21" t="str">
        <f aca="false">IF(Variants!$B230="","","Apparel &amp; Accessories &gt; Jewelry")</f>
        <v>Apparel &amp; Accessories &gt; Jewelry</v>
      </c>
      <c r="F229" s="21" t="str">
        <f aca="false">IF(Variants!$D230="","",Variants!$D230)</f>
        <v>Bracelet</v>
      </c>
      <c r="G229" s="21" t="str">
        <f aca="false">IF(Variants!$E230="","",Variants!$E230&amp;", Armenian jewellery, handmade")</f>
        <v>Alphabet, Armenian jewellery, handmade</v>
      </c>
      <c r="H229" s="21" t="str">
        <f aca="false">IF(Variants!$AD230="Active","TRUE","FALSE")</f>
        <v>TRUE</v>
      </c>
      <c r="I229" s="21" t="str">
        <f aca="false">IF(Variants!$H230="","","Color")</f>
        <v>Color</v>
      </c>
      <c r="J229" s="21" t="str">
        <f aca="false">IF(Variants!$H230="","",Variants!$H230)</f>
        <v>white</v>
      </c>
      <c r="K229" s="21" t="str">
        <f aca="false">IF(Variants!$G230="","","Size")</f>
        <v/>
      </c>
      <c r="L229" s="21" t="str">
        <f aca="false">IF(Variants!$G230="","",Variants!$G230)</f>
        <v/>
      </c>
      <c r="M229" s="21" t="str">
        <f aca="false">Variants!$A230</f>
        <v>KARNI-BRAC-ALPHA-FEH-WHITE</v>
      </c>
      <c r="N229" s="21" t="str">
        <f aca="false">IF(Variants!$X230="","",Variants!$X230)</f>
        <v/>
      </c>
      <c r="O229" s="21" t="n">
        <f aca="false">IF(Variants!$O230="","",Variants!$O230)</f>
        <v>0</v>
      </c>
      <c r="P229" s="18" t="n">
        <f aca="false">IF(Variants!$J230="","",Variants!$J230)</f>
        <v>49.4</v>
      </c>
      <c r="Q229" s="21" t="str">
        <f aca="false">IF(Variants!$U230="","",Variants!$U230)</f>
        <v/>
      </c>
      <c r="R229" s="21" t="str">
        <f aca="false">IF(Variants!$Y230="","",Variants!$Y230)</f>
        <v/>
      </c>
      <c r="S229" s="21" t="n">
        <f aca="false">IFERROR(VLOOKUP(Variants!$B230,Designs!$A$3:$AP$165,37,FALSE()),"")</f>
        <v>0</v>
      </c>
      <c r="T229" s="21" t="str">
        <f aca="false">IFERROR(VLOOKUP(Variants!$B230,Designs!$A$3:$AP$165,38,FALSE()),"")</f>
        <v>No</v>
      </c>
      <c r="U229" s="21" t="str">
        <f aca="false">IF(Variants!$AD230="Active","active","draft")</f>
        <v>active</v>
      </c>
    </row>
    <row r="230" customFormat="false" ht="15.75" hidden="false" customHeight="true" outlineLevel="0" collapsed="false">
      <c r="A230" s="21" t="str">
        <f aca="false">IF(Variants!$B231="","",LOWER(Variants!$B231))</f>
        <v>dsgn-brch-alpha-ayb</v>
      </c>
      <c r="B230" s="21" t="str">
        <f aca="false">IF(Variants!$B231="","",Variants!$C231&amp;IF(Variants!$F231="",""," "&amp;Variants!$F231))</f>
        <v>Bird Letter Brooch Ա</v>
      </c>
      <c r="C230" s="21" t="str">
        <f aca="false">IFERROR(IF(Variants!$B231="","","&lt;p&gt;"&amp;VLOOKUP(Variants!$B231,Designs!$A$3:$AP$165,9,FALSE())&amp;"&lt;/p&gt;"),"")</f>
        <v>&lt;p&gt;Bird letters are an ornamental medieval Armenian script where each letter is formed from stylised birds, used in illuminated manuscripts.&lt;/p&gt;</v>
      </c>
      <c r="D230" s="21" t="str">
        <f aca="false">IF(Variants!$B231="","","Karni Jewellery")</f>
        <v>Karni Jewellery</v>
      </c>
      <c r="E230" s="21" t="str">
        <f aca="false">IF(Variants!$B231="","","Apparel &amp; Accessories &gt; Jewelry")</f>
        <v>Apparel &amp; Accessories &gt; Jewelry</v>
      </c>
      <c r="F230" s="21" t="str">
        <f aca="false">IF(Variants!$D231="","",Variants!$D231)</f>
        <v>Brooch</v>
      </c>
      <c r="G230" s="21" t="str">
        <f aca="false">IF(Variants!$E231="","",Variants!$E231&amp;", Armenian jewellery, handmade")</f>
        <v>Alphabet, Armenian jewellery, handmade</v>
      </c>
      <c r="H230" s="21" t="str">
        <f aca="false">IF(Variants!$AD231="Active","TRUE","FALSE")</f>
        <v>TRUE</v>
      </c>
      <c r="I230" s="21" t="str">
        <f aca="false">IF(Variants!$H231="","","Color")</f>
        <v>Color</v>
      </c>
      <c r="J230" s="21" t="str">
        <f aca="false">IF(Variants!$H231="","",Variants!$H231)</f>
        <v>turquoise</v>
      </c>
      <c r="K230" s="21" t="str">
        <f aca="false">IF(Variants!$G231="","","Size")</f>
        <v/>
      </c>
      <c r="L230" s="21" t="str">
        <f aca="false">IF(Variants!$G231="","",Variants!$G231)</f>
        <v/>
      </c>
      <c r="M230" s="21" t="str">
        <f aca="false">Variants!$A231</f>
        <v>KARNI-BRCH-ALPHA-AYB-TURQUOISE</v>
      </c>
      <c r="N230" s="21" t="str">
        <f aca="false">IF(Variants!$X231="","",Variants!$X231)</f>
        <v/>
      </c>
      <c r="O230" s="21" t="n">
        <f aca="false">IF(Variants!$O231="","",Variants!$O231)</f>
        <v>0</v>
      </c>
      <c r="P230" s="18" t="n">
        <f aca="false">IF(Variants!$J231="","",Variants!$J231)</f>
        <v>65</v>
      </c>
      <c r="Q230" s="21" t="str">
        <f aca="false">IF(Variants!$U231="","",Variants!$U231)</f>
        <v/>
      </c>
      <c r="R230" s="21" t="str">
        <f aca="false">IF(Variants!$Y231="","",Variants!$Y231)</f>
        <v/>
      </c>
      <c r="S230" s="21" t="n">
        <f aca="false">IFERROR(VLOOKUP(Variants!$B231,Designs!$A$3:$AP$165,37,FALSE()),"")</f>
        <v>0</v>
      </c>
      <c r="T230" s="21" t="str">
        <f aca="false">IFERROR(VLOOKUP(Variants!$B231,Designs!$A$3:$AP$165,38,FALSE()),"")</f>
        <v>No</v>
      </c>
      <c r="U230" s="21" t="str">
        <f aca="false">IF(Variants!$AD231="Active","active","draft")</f>
        <v>active</v>
      </c>
    </row>
    <row r="231" customFormat="false" ht="15.75" hidden="false" customHeight="true" outlineLevel="0" collapsed="false">
      <c r="A231" s="21" t="str">
        <f aca="false">IF(Variants!$B232="","",LOWER(Variants!$B232))</f>
        <v>dsgn-brch-alpha-ben</v>
      </c>
      <c r="B231" s="21" t="str">
        <f aca="false">IF(Variants!$B232="","",Variants!$C232&amp;IF(Variants!$F232="",""," "&amp;Variants!$F232))</f>
        <v>Bird Letter Brooch Բ</v>
      </c>
      <c r="C231" s="21" t="str">
        <f aca="false">IFERROR(IF(Variants!$B232="","","&lt;p&gt;"&amp;VLOOKUP(Variants!$B232,Designs!$A$3:$AP$165,9,FALSE())&amp;"&lt;/p&gt;"),"")</f>
        <v>&lt;p&gt;Bird letters are an ornamental medieval Armenian script where each letter is formed from stylised birds, used in illuminated manuscripts.&lt;/p&gt;</v>
      </c>
      <c r="D231" s="21" t="str">
        <f aca="false">IF(Variants!$B232="","","Karni Jewellery")</f>
        <v>Karni Jewellery</v>
      </c>
      <c r="E231" s="21" t="str">
        <f aca="false">IF(Variants!$B232="","","Apparel &amp; Accessories &gt; Jewelry")</f>
        <v>Apparel &amp; Accessories &gt; Jewelry</v>
      </c>
      <c r="F231" s="21" t="str">
        <f aca="false">IF(Variants!$D232="","",Variants!$D232)</f>
        <v>Brooch</v>
      </c>
      <c r="G231" s="21" t="str">
        <f aca="false">IF(Variants!$E232="","",Variants!$E232&amp;", Armenian jewellery, handmade")</f>
        <v>Alphabet, Armenian jewellery, handmade</v>
      </c>
      <c r="H231" s="21" t="str">
        <f aca="false">IF(Variants!$AD232="Active","TRUE","FALSE")</f>
        <v>TRUE</v>
      </c>
      <c r="I231" s="21" t="str">
        <f aca="false">IF(Variants!$H232="","","Color")</f>
        <v>Color</v>
      </c>
      <c r="J231" s="21" t="str">
        <f aca="false">IF(Variants!$H232="","",Variants!$H232)</f>
        <v>turquoise</v>
      </c>
      <c r="K231" s="21" t="str">
        <f aca="false">IF(Variants!$G232="","","Size")</f>
        <v/>
      </c>
      <c r="L231" s="21" t="str">
        <f aca="false">IF(Variants!$G232="","",Variants!$G232)</f>
        <v/>
      </c>
      <c r="M231" s="21" t="str">
        <f aca="false">Variants!$A232</f>
        <v>KARNI-BRCH-ALPHA-BEN-TURQUOISE</v>
      </c>
      <c r="N231" s="21" t="str">
        <f aca="false">IF(Variants!$X232="","",Variants!$X232)</f>
        <v/>
      </c>
      <c r="O231" s="21" t="n">
        <f aca="false">IF(Variants!$O232="","",Variants!$O232)</f>
        <v>0</v>
      </c>
      <c r="P231" s="18" t="n">
        <f aca="false">IF(Variants!$J232="","",Variants!$J232)</f>
        <v>65</v>
      </c>
      <c r="Q231" s="21" t="str">
        <f aca="false">IF(Variants!$U232="","",Variants!$U232)</f>
        <v/>
      </c>
      <c r="R231" s="21" t="str">
        <f aca="false">IF(Variants!$Y232="","",Variants!$Y232)</f>
        <v/>
      </c>
      <c r="S231" s="21" t="n">
        <f aca="false">IFERROR(VLOOKUP(Variants!$B232,Designs!$A$3:$AP$165,37,FALSE()),"")</f>
        <v>0</v>
      </c>
      <c r="T231" s="21" t="str">
        <f aca="false">IFERROR(VLOOKUP(Variants!$B232,Designs!$A$3:$AP$165,38,FALSE()),"")</f>
        <v>No</v>
      </c>
      <c r="U231" s="21" t="str">
        <f aca="false">IF(Variants!$AD232="Active","active","draft")</f>
        <v>active</v>
      </c>
    </row>
    <row r="232" customFormat="false" ht="15.75" hidden="false" customHeight="true" outlineLevel="0" collapsed="false">
      <c r="A232" s="21" t="str">
        <f aca="false">IF(Variants!$B233="","",LOWER(Variants!$B233))</f>
        <v>dsgn-brch-alpha-gim</v>
      </c>
      <c r="B232" s="21" t="str">
        <f aca="false">IF(Variants!$B233="","",Variants!$C233&amp;IF(Variants!$F233="",""," "&amp;Variants!$F233))</f>
        <v>Bird Letter Brooch Գ</v>
      </c>
      <c r="C232" s="21" t="str">
        <f aca="false">IFERROR(IF(Variants!$B233="","","&lt;p&gt;"&amp;VLOOKUP(Variants!$B233,Designs!$A$3:$AP$165,9,FALSE())&amp;"&lt;/p&gt;"),"")</f>
        <v>&lt;p&gt;Bird letters are an ornamental medieval Armenian script where each letter is formed from stylised birds, used in illuminated manuscripts.&lt;/p&gt;</v>
      </c>
      <c r="D232" s="21" t="str">
        <f aca="false">IF(Variants!$B233="","","Karni Jewellery")</f>
        <v>Karni Jewellery</v>
      </c>
      <c r="E232" s="21" t="str">
        <f aca="false">IF(Variants!$B233="","","Apparel &amp; Accessories &gt; Jewelry")</f>
        <v>Apparel &amp; Accessories &gt; Jewelry</v>
      </c>
      <c r="F232" s="21" t="str">
        <f aca="false">IF(Variants!$D233="","",Variants!$D233)</f>
        <v>Brooch</v>
      </c>
      <c r="G232" s="21" t="str">
        <f aca="false">IF(Variants!$E233="","",Variants!$E233&amp;", Armenian jewellery, handmade")</f>
        <v>Alphabet, Armenian jewellery, handmade</v>
      </c>
      <c r="H232" s="21" t="str">
        <f aca="false">IF(Variants!$AD233="Active","TRUE","FALSE")</f>
        <v>TRUE</v>
      </c>
      <c r="I232" s="21" t="str">
        <f aca="false">IF(Variants!$H233="","","Color")</f>
        <v>Color</v>
      </c>
      <c r="J232" s="21" t="str">
        <f aca="false">IF(Variants!$H233="","",Variants!$H233)</f>
        <v>turquoise</v>
      </c>
      <c r="K232" s="21" t="str">
        <f aca="false">IF(Variants!$G233="","","Size")</f>
        <v/>
      </c>
      <c r="L232" s="21" t="str">
        <f aca="false">IF(Variants!$G233="","",Variants!$G233)</f>
        <v/>
      </c>
      <c r="M232" s="21" t="str">
        <f aca="false">Variants!$A233</f>
        <v>KARNI-BRCH-ALPHA-GIM-TURQUOISE</v>
      </c>
      <c r="N232" s="21" t="str">
        <f aca="false">IF(Variants!$X233="","",Variants!$X233)</f>
        <v/>
      </c>
      <c r="O232" s="21" t="n">
        <f aca="false">IF(Variants!$O233="","",Variants!$O233)</f>
        <v>0</v>
      </c>
      <c r="P232" s="18" t="n">
        <f aca="false">IF(Variants!$J233="","",Variants!$J233)</f>
        <v>65</v>
      </c>
      <c r="Q232" s="21" t="str">
        <f aca="false">IF(Variants!$U233="","",Variants!$U233)</f>
        <v/>
      </c>
      <c r="R232" s="21" t="str">
        <f aca="false">IF(Variants!$Y233="","",Variants!$Y233)</f>
        <v/>
      </c>
      <c r="S232" s="21" t="n">
        <f aca="false">IFERROR(VLOOKUP(Variants!$B233,Designs!$A$3:$AP$165,37,FALSE()),"")</f>
        <v>0</v>
      </c>
      <c r="T232" s="21" t="str">
        <f aca="false">IFERROR(VLOOKUP(Variants!$B233,Designs!$A$3:$AP$165,38,FALSE()),"")</f>
        <v>No</v>
      </c>
      <c r="U232" s="21" t="str">
        <f aca="false">IF(Variants!$AD233="Active","active","draft")</f>
        <v>active</v>
      </c>
    </row>
    <row r="233" customFormat="false" ht="15.75" hidden="false" customHeight="true" outlineLevel="0" collapsed="false">
      <c r="A233" s="21" t="str">
        <f aca="false">IF(Variants!$B234="","",LOWER(Variants!$B234))</f>
        <v>dsgn-brch-alpha-da</v>
      </c>
      <c r="B233" s="21" t="str">
        <f aca="false">IF(Variants!$B234="","",Variants!$C234&amp;IF(Variants!$F234="",""," "&amp;Variants!$F234))</f>
        <v>Bird Letter Brooch Դ</v>
      </c>
      <c r="C233" s="21" t="str">
        <f aca="false">IFERROR(IF(Variants!$B234="","","&lt;p&gt;"&amp;VLOOKUP(Variants!$B234,Designs!$A$3:$AP$165,9,FALSE())&amp;"&lt;/p&gt;"),"")</f>
        <v>&lt;p&gt;Bird letters are an ornamental medieval Armenian script where each letter is formed from stylised birds, used in illuminated manuscripts.&lt;/p&gt;</v>
      </c>
      <c r="D233" s="21" t="str">
        <f aca="false">IF(Variants!$B234="","","Karni Jewellery")</f>
        <v>Karni Jewellery</v>
      </c>
      <c r="E233" s="21" t="str">
        <f aca="false">IF(Variants!$B234="","","Apparel &amp; Accessories &gt; Jewelry")</f>
        <v>Apparel &amp; Accessories &gt; Jewelry</v>
      </c>
      <c r="F233" s="21" t="str">
        <f aca="false">IF(Variants!$D234="","",Variants!$D234)</f>
        <v>Brooch</v>
      </c>
      <c r="G233" s="21" t="str">
        <f aca="false">IF(Variants!$E234="","",Variants!$E234&amp;", Armenian jewellery, handmade")</f>
        <v>Alphabet, Armenian jewellery, handmade</v>
      </c>
      <c r="H233" s="21" t="str">
        <f aca="false">IF(Variants!$AD234="Active","TRUE","FALSE")</f>
        <v>TRUE</v>
      </c>
      <c r="I233" s="21" t="str">
        <f aca="false">IF(Variants!$H234="","","Color")</f>
        <v>Color</v>
      </c>
      <c r="J233" s="21" t="str">
        <f aca="false">IF(Variants!$H234="","",Variants!$H234)</f>
        <v>turquoise</v>
      </c>
      <c r="K233" s="21" t="str">
        <f aca="false">IF(Variants!$G234="","","Size")</f>
        <v/>
      </c>
      <c r="L233" s="21" t="str">
        <f aca="false">IF(Variants!$G234="","",Variants!$G234)</f>
        <v/>
      </c>
      <c r="M233" s="21" t="str">
        <f aca="false">Variants!$A234</f>
        <v>KARNI-BRCH-ALPHA-DA-TURQUOISE</v>
      </c>
      <c r="N233" s="21" t="str">
        <f aca="false">IF(Variants!$X234="","",Variants!$X234)</f>
        <v/>
      </c>
      <c r="O233" s="21" t="n">
        <f aca="false">IF(Variants!$O234="","",Variants!$O234)</f>
        <v>0</v>
      </c>
      <c r="P233" s="18" t="n">
        <f aca="false">IF(Variants!$J234="","",Variants!$J234)</f>
        <v>65</v>
      </c>
      <c r="Q233" s="21" t="str">
        <f aca="false">IF(Variants!$U234="","",Variants!$U234)</f>
        <v/>
      </c>
      <c r="R233" s="21" t="str">
        <f aca="false">IF(Variants!$Y234="","",Variants!$Y234)</f>
        <v/>
      </c>
      <c r="S233" s="21" t="n">
        <f aca="false">IFERROR(VLOOKUP(Variants!$B234,Designs!$A$3:$AP$165,37,FALSE()),"")</f>
        <v>0</v>
      </c>
      <c r="T233" s="21" t="str">
        <f aca="false">IFERROR(VLOOKUP(Variants!$B234,Designs!$A$3:$AP$165,38,FALSE()),"")</f>
        <v>No</v>
      </c>
      <c r="U233" s="21" t="str">
        <f aca="false">IF(Variants!$AD234="Active","active","draft")</f>
        <v>active</v>
      </c>
    </row>
    <row r="234" customFormat="false" ht="15.75" hidden="false" customHeight="true" outlineLevel="0" collapsed="false">
      <c r="A234" s="21" t="str">
        <f aca="false">IF(Variants!$B235="","",LOWER(Variants!$B235))</f>
        <v>dsgn-brch-alpha-yech</v>
      </c>
      <c r="B234" s="21" t="str">
        <f aca="false">IF(Variants!$B235="","",Variants!$C235&amp;IF(Variants!$F235="",""," "&amp;Variants!$F235))</f>
        <v>Bird Letter Brooch Ե</v>
      </c>
      <c r="C234" s="21" t="str">
        <f aca="false">IFERROR(IF(Variants!$B235="","","&lt;p&gt;"&amp;VLOOKUP(Variants!$B235,Designs!$A$3:$AP$165,9,FALSE())&amp;"&lt;/p&gt;"),"")</f>
        <v>&lt;p&gt;Bird letters are an ornamental medieval Armenian script where each letter is formed from stylised birds, used in illuminated manuscripts.&lt;/p&gt;</v>
      </c>
      <c r="D234" s="21" t="str">
        <f aca="false">IF(Variants!$B235="","","Karni Jewellery")</f>
        <v>Karni Jewellery</v>
      </c>
      <c r="E234" s="21" t="str">
        <f aca="false">IF(Variants!$B235="","","Apparel &amp; Accessories &gt; Jewelry")</f>
        <v>Apparel &amp; Accessories &gt; Jewelry</v>
      </c>
      <c r="F234" s="21" t="str">
        <f aca="false">IF(Variants!$D235="","",Variants!$D235)</f>
        <v>Brooch</v>
      </c>
      <c r="G234" s="21" t="str">
        <f aca="false">IF(Variants!$E235="","",Variants!$E235&amp;", Armenian jewellery, handmade")</f>
        <v>Alphabet, Armenian jewellery, handmade</v>
      </c>
      <c r="H234" s="21" t="str">
        <f aca="false">IF(Variants!$AD235="Active","TRUE","FALSE")</f>
        <v>TRUE</v>
      </c>
      <c r="I234" s="21" t="str">
        <f aca="false">IF(Variants!$H235="","","Color")</f>
        <v>Color</v>
      </c>
      <c r="J234" s="21" t="str">
        <f aca="false">IF(Variants!$H235="","",Variants!$H235)</f>
        <v>turquoise</v>
      </c>
      <c r="K234" s="21" t="str">
        <f aca="false">IF(Variants!$G235="","","Size")</f>
        <v/>
      </c>
      <c r="L234" s="21" t="str">
        <f aca="false">IF(Variants!$G235="","",Variants!$G235)</f>
        <v/>
      </c>
      <c r="M234" s="21" t="str">
        <f aca="false">Variants!$A235</f>
        <v>KARNI-BRCH-ALPHA-YECH-TURQUOISE</v>
      </c>
      <c r="N234" s="21" t="str">
        <f aca="false">IF(Variants!$X235="","",Variants!$X235)</f>
        <v/>
      </c>
      <c r="O234" s="21" t="n">
        <f aca="false">IF(Variants!$O235="","",Variants!$O235)</f>
        <v>0</v>
      </c>
      <c r="P234" s="18" t="n">
        <f aca="false">IF(Variants!$J235="","",Variants!$J235)</f>
        <v>65</v>
      </c>
      <c r="Q234" s="21" t="str">
        <f aca="false">IF(Variants!$U235="","",Variants!$U235)</f>
        <v/>
      </c>
      <c r="R234" s="21" t="str">
        <f aca="false">IF(Variants!$Y235="","",Variants!$Y235)</f>
        <v/>
      </c>
      <c r="S234" s="21" t="n">
        <f aca="false">IFERROR(VLOOKUP(Variants!$B235,Designs!$A$3:$AP$165,37,FALSE()),"")</f>
        <v>0</v>
      </c>
      <c r="T234" s="21" t="str">
        <f aca="false">IFERROR(VLOOKUP(Variants!$B235,Designs!$A$3:$AP$165,38,FALSE()),"")</f>
        <v>No</v>
      </c>
      <c r="U234" s="21" t="str">
        <f aca="false">IF(Variants!$AD235="Active","active","draft")</f>
        <v>active</v>
      </c>
    </row>
    <row r="235" customFormat="false" ht="15.75" hidden="false" customHeight="true" outlineLevel="0" collapsed="false">
      <c r="A235" s="21" t="str">
        <f aca="false">IF(Variants!$B236="","",LOWER(Variants!$B236))</f>
        <v>dsgn-brch-alpha-za</v>
      </c>
      <c r="B235" s="21" t="str">
        <f aca="false">IF(Variants!$B236="","",Variants!$C236&amp;IF(Variants!$F236="",""," "&amp;Variants!$F236))</f>
        <v>Bird Letter Brooch Զ</v>
      </c>
      <c r="C235" s="21" t="str">
        <f aca="false">IFERROR(IF(Variants!$B236="","","&lt;p&gt;"&amp;VLOOKUP(Variants!$B236,Designs!$A$3:$AP$165,9,FALSE())&amp;"&lt;/p&gt;"),"")</f>
        <v>&lt;p&gt;Bird letters are an ornamental medieval Armenian script where each letter is formed from stylised birds, used in illuminated manuscripts.&lt;/p&gt;</v>
      </c>
      <c r="D235" s="21" t="str">
        <f aca="false">IF(Variants!$B236="","","Karni Jewellery")</f>
        <v>Karni Jewellery</v>
      </c>
      <c r="E235" s="21" t="str">
        <f aca="false">IF(Variants!$B236="","","Apparel &amp; Accessories &gt; Jewelry")</f>
        <v>Apparel &amp; Accessories &gt; Jewelry</v>
      </c>
      <c r="F235" s="21" t="str">
        <f aca="false">IF(Variants!$D236="","",Variants!$D236)</f>
        <v>Brooch</v>
      </c>
      <c r="G235" s="21" t="str">
        <f aca="false">IF(Variants!$E236="","",Variants!$E236&amp;", Armenian jewellery, handmade")</f>
        <v>Alphabet, Armenian jewellery, handmade</v>
      </c>
      <c r="H235" s="21" t="str">
        <f aca="false">IF(Variants!$AD236="Active","TRUE","FALSE")</f>
        <v>TRUE</v>
      </c>
      <c r="I235" s="21" t="str">
        <f aca="false">IF(Variants!$H236="","","Color")</f>
        <v>Color</v>
      </c>
      <c r="J235" s="21" t="str">
        <f aca="false">IF(Variants!$H236="","",Variants!$H236)</f>
        <v>turquoise</v>
      </c>
      <c r="K235" s="21" t="str">
        <f aca="false">IF(Variants!$G236="","","Size")</f>
        <v/>
      </c>
      <c r="L235" s="21" t="str">
        <f aca="false">IF(Variants!$G236="","",Variants!$G236)</f>
        <v/>
      </c>
      <c r="M235" s="21" t="str">
        <f aca="false">Variants!$A236</f>
        <v>KARNI-BRCH-ALPHA-ZA-TURQUOISE</v>
      </c>
      <c r="N235" s="21" t="str">
        <f aca="false">IF(Variants!$X236="","",Variants!$X236)</f>
        <v/>
      </c>
      <c r="O235" s="21" t="n">
        <f aca="false">IF(Variants!$O236="","",Variants!$O236)</f>
        <v>0</v>
      </c>
      <c r="P235" s="18" t="n">
        <f aca="false">IF(Variants!$J236="","",Variants!$J236)</f>
        <v>65</v>
      </c>
      <c r="Q235" s="21" t="str">
        <f aca="false">IF(Variants!$U236="","",Variants!$U236)</f>
        <v/>
      </c>
      <c r="R235" s="21" t="str">
        <f aca="false">IF(Variants!$Y236="","",Variants!$Y236)</f>
        <v/>
      </c>
      <c r="S235" s="21" t="n">
        <f aca="false">IFERROR(VLOOKUP(Variants!$B236,Designs!$A$3:$AP$165,37,FALSE()),"")</f>
        <v>0</v>
      </c>
      <c r="T235" s="21" t="str">
        <f aca="false">IFERROR(VLOOKUP(Variants!$B236,Designs!$A$3:$AP$165,38,FALSE()),"")</f>
        <v>No</v>
      </c>
      <c r="U235" s="21" t="str">
        <f aca="false">IF(Variants!$AD236="Active","active","draft")</f>
        <v>active</v>
      </c>
    </row>
    <row r="236" customFormat="false" ht="15.75" hidden="false" customHeight="true" outlineLevel="0" collapsed="false">
      <c r="A236" s="21" t="str">
        <f aca="false">IF(Variants!$B237="","",LOWER(Variants!$B237))</f>
        <v>dsgn-brch-alpha-e</v>
      </c>
      <c r="B236" s="21" t="str">
        <f aca="false">IF(Variants!$B237="","",Variants!$C237&amp;IF(Variants!$F237="",""," "&amp;Variants!$F237))</f>
        <v>Bird Letter Brooch Է</v>
      </c>
      <c r="C236" s="21" t="str">
        <f aca="false">IFERROR(IF(Variants!$B237="","","&lt;p&gt;"&amp;VLOOKUP(Variants!$B237,Designs!$A$3:$AP$165,9,FALSE())&amp;"&lt;/p&gt;"),"")</f>
        <v>&lt;p&gt;Bird letters are an ornamental medieval Armenian script where each letter is formed from stylised birds, used in illuminated manuscripts.&lt;/p&gt;</v>
      </c>
      <c r="D236" s="21" t="str">
        <f aca="false">IF(Variants!$B237="","","Karni Jewellery")</f>
        <v>Karni Jewellery</v>
      </c>
      <c r="E236" s="21" t="str">
        <f aca="false">IF(Variants!$B237="","","Apparel &amp; Accessories &gt; Jewelry")</f>
        <v>Apparel &amp; Accessories &gt; Jewelry</v>
      </c>
      <c r="F236" s="21" t="str">
        <f aca="false">IF(Variants!$D237="","",Variants!$D237)</f>
        <v>Brooch</v>
      </c>
      <c r="G236" s="21" t="str">
        <f aca="false">IF(Variants!$E237="","",Variants!$E237&amp;", Armenian jewellery, handmade")</f>
        <v>Alphabet, Armenian jewellery, handmade</v>
      </c>
      <c r="H236" s="21" t="str">
        <f aca="false">IF(Variants!$AD237="Active","TRUE","FALSE")</f>
        <v>TRUE</v>
      </c>
      <c r="I236" s="21" t="str">
        <f aca="false">IF(Variants!$H237="","","Color")</f>
        <v>Color</v>
      </c>
      <c r="J236" s="21" t="str">
        <f aca="false">IF(Variants!$H237="","",Variants!$H237)</f>
        <v>turquoise</v>
      </c>
      <c r="K236" s="21" t="str">
        <f aca="false">IF(Variants!$G237="","","Size")</f>
        <v/>
      </c>
      <c r="L236" s="21" t="str">
        <f aca="false">IF(Variants!$G237="","",Variants!$G237)</f>
        <v/>
      </c>
      <c r="M236" s="21" t="str">
        <f aca="false">Variants!$A237</f>
        <v>KARNI-BRCH-ALPHA-E-TURQUOISE</v>
      </c>
      <c r="N236" s="21" t="str">
        <f aca="false">IF(Variants!$X237="","",Variants!$X237)</f>
        <v/>
      </c>
      <c r="O236" s="21" t="n">
        <f aca="false">IF(Variants!$O237="","",Variants!$O237)</f>
        <v>0</v>
      </c>
      <c r="P236" s="18" t="n">
        <f aca="false">IF(Variants!$J237="","",Variants!$J237)</f>
        <v>65</v>
      </c>
      <c r="Q236" s="21" t="str">
        <f aca="false">IF(Variants!$U237="","",Variants!$U237)</f>
        <v/>
      </c>
      <c r="R236" s="21" t="str">
        <f aca="false">IF(Variants!$Y237="","",Variants!$Y237)</f>
        <v/>
      </c>
      <c r="S236" s="21" t="n">
        <f aca="false">IFERROR(VLOOKUP(Variants!$B237,Designs!$A$3:$AP$165,37,FALSE()),"")</f>
        <v>0</v>
      </c>
      <c r="T236" s="21" t="str">
        <f aca="false">IFERROR(VLOOKUP(Variants!$B237,Designs!$A$3:$AP$165,38,FALSE()),"")</f>
        <v>No</v>
      </c>
      <c r="U236" s="21" t="str">
        <f aca="false">IF(Variants!$AD237="Active","active","draft")</f>
        <v>active</v>
      </c>
    </row>
    <row r="237" customFormat="false" ht="15.75" hidden="false" customHeight="true" outlineLevel="0" collapsed="false">
      <c r="A237" s="21" t="str">
        <f aca="false">IF(Variants!$B238="","",LOWER(Variants!$B238))</f>
        <v>dsgn-brch-alpha-yt</v>
      </c>
      <c r="B237" s="21" t="str">
        <f aca="false">IF(Variants!$B238="","",Variants!$C238&amp;IF(Variants!$F238="",""," "&amp;Variants!$F238))</f>
        <v>Bird Letter Brooch Ը</v>
      </c>
      <c r="C237" s="21" t="str">
        <f aca="false">IFERROR(IF(Variants!$B238="","","&lt;p&gt;"&amp;VLOOKUP(Variants!$B238,Designs!$A$3:$AP$165,9,FALSE())&amp;"&lt;/p&gt;"),"")</f>
        <v>&lt;p&gt;Bird letters are an ornamental medieval Armenian script where each letter is formed from stylised birds, used in illuminated manuscripts.&lt;/p&gt;</v>
      </c>
      <c r="D237" s="21" t="str">
        <f aca="false">IF(Variants!$B238="","","Karni Jewellery")</f>
        <v>Karni Jewellery</v>
      </c>
      <c r="E237" s="21" t="str">
        <f aca="false">IF(Variants!$B238="","","Apparel &amp; Accessories &gt; Jewelry")</f>
        <v>Apparel &amp; Accessories &gt; Jewelry</v>
      </c>
      <c r="F237" s="21" t="str">
        <f aca="false">IF(Variants!$D238="","",Variants!$D238)</f>
        <v>Brooch</v>
      </c>
      <c r="G237" s="21" t="str">
        <f aca="false">IF(Variants!$E238="","",Variants!$E238&amp;", Armenian jewellery, handmade")</f>
        <v>Alphabet, Armenian jewellery, handmade</v>
      </c>
      <c r="H237" s="21" t="str">
        <f aca="false">IF(Variants!$AD238="Active","TRUE","FALSE")</f>
        <v>TRUE</v>
      </c>
      <c r="I237" s="21" t="str">
        <f aca="false">IF(Variants!$H238="","","Color")</f>
        <v>Color</v>
      </c>
      <c r="J237" s="21" t="str">
        <f aca="false">IF(Variants!$H238="","",Variants!$H238)</f>
        <v>turquoise</v>
      </c>
      <c r="K237" s="21" t="str">
        <f aca="false">IF(Variants!$G238="","","Size")</f>
        <v/>
      </c>
      <c r="L237" s="21" t="str">
        <f aca="false">IF(Variants!$G238="","",Variants!$G238)</f>
        <v/>
      </c>
      <c r="M237" s="21" t="str">
        <f aca="false">Variants!$A238</f>
        <v>KARNI-BRCH-ALPHA-YT-TURQUOISE</v>
      </c>
      <c r="N237" s="21" t="str">
        <f aca="false">IF(Variants!$X238="","",Variants!$X238)</f>
        <v/>
      </c>
      <c r="O237" s="21" t="n">
        <f aca="false">IF(Variants!$O238="","",Variants!$O238)</f>
        <v>0</v>
      </c>
      <c r="P237" s="18" t="n">
        <f aca="false">IF(Variants!$J238="","",Variants!$J238)</f>
        <v>65</v>
      </c>
      <c r="Q237" s="21" t="str">
        <f aca="false">IF(Variants!$U238="","",Variants!$U238)</f>
        <v/>
      </c>
      <c r="R237" s="21" t="str">
        <f aca="false">IF(Variants!$Y238="","",Variants!$Y238)</f>
        <v/>
      </c>
      <c r="S237" s="21" t="n">
        <f aca="false">IFERROR(VLOOKUP(Variants!$B238,Designs!$A$3:$AP$165,37,FALSE()),"")</f>
        <v>0</v>
      </c>
      <c r="T237" s="21" t="str">
        <f aca="false">IFERROR(VLOOKUP(Variants!$B238,Designs!$A$3:$AP$165,38,FALSE()),"")</f>
        <v>No</v>
      </c>
      <c r="U237" s="21" t="str">
        <f aca="false">IF(Variants!$AD238="Active","active","draft")</f>
        <v>active</v>
      </c>
    </row>
    <row r="238" customFormat="false" ht="15.75" hidden="false" customHeight="true" outlineLevel="0" collapsed="false">
      <c r="A238" s="21" t="str">
        <f aca="false">IF(Variants!$B239="","",LOWER(Variants!$B239))</f>
        <v>dsgn-brch-alpha-to</v>
      </c>
      <c r="B238" s="21" t="str">
        <f aca="false">IF(Variants!$B239="","",Variants!$C239&amp;IF(Variants!$F239="",""," "&amp;Variants!$F239))</f>
        <v>Bird Letter Brooch Թ</v>
      </c>
      <c r="C238" s="21" t="str">
        <f aca="false">IFERROR(IF(Variants!$B239="","","&lt;p&gt;"&amp;VLOOKUP(Variants!$B239,Designs!$A$3:$AP$165,9,FALSE())&amp;"&lt;/p&gt;"),"")</f>
        <v>&lt;p&gt;Bird letters are an ornamental medieval Armenian script where each letter is formed from stylised birds, used in illuminated manuscripts.&lt;/p&gt;</v>
      </c>
      <c r="D238" s="21" t="str">
        <f aca="false">IF(Variants!$B239="","","Karni Jewellery")</f>
        <v>Karni Jewellery</v>
      </c>
      <c r="E238" s="21" t="str">
        <f aca="false">IF(Variants!$B239="","","Apparel &amp; Accessories &gt; Jewelry")</f>
        <v>Apparel &amp; Accessories &gt; Jewelry</v>
      </c>
      <c r="F238" s="21" t="str">
        <f aca="false">IF(Variants!$D239="","",Variants!$D239)</f>
        <v>Brooch</v>
      </c>
      <c r="G238" s="21" t="str">
        <f aca="false">IF(Variants!$E239="","",Variants!$E239&amp;", Armenian jewellery, handmade")</f>
        <v>Alphabet, Armenian jewellery, handmade</v>
      </c>
      <c r="H238" s="21" t="str">
        <f aca="false">IF(Variants!$AD239="Active","TRUE","FALSE")</f>
        <v>TRUE</v>
      </c>
      <c r="I238" s="21" t="str">
        <f aca="false">IF(Variants!$H239="","","Color")</f>
        <v>Color</v>
      </c>
      <c r="J238" s="21" t="str">
        <f aca="false">IF(Variants!$H239="","",Variants!$H239)</f>
        <v>turquoise</v>
      </c>
      <c r="K238" s="21" t="str">
        <f aca="false">IF(Variants!$G239="","","Size")</f>
        <v/>
      </c>
      <c r="L238" s="21" t="str">
        <f aca="false">IF(Variants!$G239="","",Variants!$G239)</f>
        <v/>
      </c>
      <c r="M238" s="21" t="str">
        <f aca="false">Variants!$A239</f>
        <v>KARNI-BRCH-ALPHA-TO-TURQUOISE</v>
      </c>
      <c r="N238" s="21" t="str">
        <f aca="false">IF(Variants!$X239="","",Variants!$X239)</f>
        <v/>
      </c>
      <c r="O238" s="21" t="n">
        <f aca="false">IF(Variants!$O239="","",Variants!$O239)</f>
        <v>0</v>
      </c>
      <c r="P238" s="18" t="n">
        <f aca="false">IF(Variants!$J239="","",Variants!$J239)</f>
        <v>65</v>
      </c>
      <c r="Q238" s="21" t="str">
        <f aca="false">IF(Variants!$U239="","",Variants!$U239)</f>
        <v/>
      </c>
      <c r="R238" s="21" t="str">
        <f aca="false">IF(Variants!$Y239="","",Variants!$Y239)</f>
        <v/>
      </c>
      <c r="S238" s="21" t="n">
        <f aca="false">IFERROR(VLOOKUP(Variants!$B239,Designs!$A$3:$AP$165,37,FALSE()),"")</f>
        <v>0</v>
      </c>
      <c r="T238" s="21" t="str">
        <f aca="false">IFERROR(VLOOKUP(Variants!$B239,Designs!$A$3:$AP$165,38,FALSE()),"")</f>
        <v>No</v>
      </c>
      <c r="U238" s="21" t="str">
        <f aca="false">IF(Variants!$AD239="Active","active","draft")</f>
        <v>active</v>
      </c>
    </row>
    <row r="239" customFormat="false" ht="15.75" hidden="false" customHeight="true" outlineLevel="0" collapsed="false">
      <c r="A239" s="21" t="str">
        <f aca="false">IF(Variants!$B240="","",LOWER(Variants!$B240))</f>
        <v>dsgn-brch-alpha-zhe</v>
      </c>
      <c r="B239" s="21" t="str">
        <f aca="false">IF(Variants!$B240="","",Variants!$C240&amp;IF(Variants!$F240="",""," "&amp;Variants!$F240))</f>
        <v>Bird Letter Brooch Ժ</v>
      </c>
      <c r="C239" s="21" t="str">
        <f aca="false">IFERROR(IF(Variants!$B240="","","&lt;p&gt;"&amp;VLOOKUP(Variants!$B240,Designs!$A$3:$AP$165,9,FALSE())&amp;"&lt;/p&gt;"),"")</f>
        <v>&lt;p&gt;Bird letters are an ornamental medieval Armenian script where each letter is formed from stylised birds, used in illuminated manuscripts.&lt;/p&gt;</v>
      </c>
      <c r="D239" s="21" t="str">
        <f aca="false">IF(Variants!$B240="","","Karni Jewellery")</f>
        <v>Karni Jewellery</v>
      </c>
      <c r="E239" s="21" t="str">
        <f aca="false">IF(Variants!$B240="","","Apparel &amp; Accessories &gt; Jewelry")</f>
        <v>Apparel &amp; Accessories &gt; Jewelry</v>
      </c>
      <c r="F239" s="21" t="str">
        <f aca="false">IF(Variants!$D240="","",Variants!$D240)</f>
        <v>Brooch</v>
      </c>
      <c r="G239" s="21" t="str">
        <f aca="false">IF(Variants!$E240="","",Variants!$E240&amp;", Armenian jewellery, handmade")</f>
        <v>Alphabet, Armenian jewellery, handmade</v>
      </c>
      <c r="H239" s="21" t="str">
        <f aca="false">IF(Variants!$AD240="Active","TRUE","FALSE")</f>
        <v>TRUE</v>
      </c>
      <c r="I239" s="21" t="str">
        <f aca="false">IF(Variants!$H240="","","Color")</f>
        <v>Color</v>
      </c>
      <c r="J239" s="21" t="str">
        <f aca="false">IF(Variants!$H240="","",Variants!$H240)</f>
        <v>turquoise</v>
      </c>
      <c r="K239" s="21" t="str">
        <f aca="false">IF(Variants!$G240="","","Size")</f>
        <v/>
      </c>
      <c r="L239" s="21" t="str">
        <f aca="false">IF(Variants!$G240="","",Variants!$G240)</f>
        <v/>
      </c>
      <c r="M239" s="21" t="str">
        <f aca="false">Variants!$A240</f>
        <v>KARNI-BRCH-ALPHA-ZHE-TURQUOISE</v>
      </c>
      <c r="N239" s="21" t="str">
        <f aca="false">IF(Variants!$X240="","",Variants!$X240)</f>
        <v/>
      </c>
      <c r="O239" s="21" t="n">
        <f aca="false">IF(Variants!$O240="","",Variants!$O240)</f>
        <v>0</v>
      </c>
      <c r="P239" s="18" t="n">
        <f aca="false">IF(Variants!$J240="","",Variants!$J240)</f>
        <v>65</v>
      </c>
      <c r="Q239" s="21" t="str">
        <f aca="false">IF(Variants!$U240="","",Variants!$U240)</f>
        <v/>
      </c>
      <c r="R239" s="21" t="str">
        <f aca="false">IF(Variants!$Y240="","",Variants!$Y240)</f>
        <v/>
      </c>
      <c r="S239" s="21" t="n">
        <f aca="false">IFERROR(VLOOKUP(Variants!$B240,Designs!$A$3:$AP$165,37,FALSE()),"")</f>
        <v>0</v>
      </c>
      <c r="T239" s="21" t="str">
        <f aca="false">IFERROR(VLOOKUP(Variants!$B240,Designs!$A$3:$AP$165,38,FALSE()),"")</f>
        <v>No</v>
      </c>
      <c r="U239" s="21" t="str">
        <f aca="false">IF(Variants!$AD240="Active","active","draft")</f>
        <v>active</v>
      </c>
    </row>
    <row r="240" customFormat="false" ht="15.75" hidden="false" customHeight="true" outlineLevel="0" collapsed="false">
      <c r="A240" s="21" t="str">
        <f aca="false">IF(Variants!$B241="","",LOWER(Variants!$B241))</f>
        <v>dsgn-brch-alpha-ini</v>
      </c>
      <c r="B240" s="21" t="str">
        <f aca="false">IF(Variants!$B241="","",Variants!$C241&amp;IF(Variants!$F241="",""," "&amp;Variants!$F241))</f>
        <v>Bird Letter Brooch Ի</v>
      </c>
      <c r="C240" s="21" t="str">
        <f aca="false">IFERROR(IF(Variants!$B241="","","&lt;p&gt;"&amp;VLOOKUP(Variants!$B241,Designs!$A$3:$AP$165,9,FALSE())&amp;"&lt;/p&gt;"),"")</f>
        <v>&lt;p&gt;Bird letters are an ornamental medieval Armenian script where each letter is formed from stylised birds, used in illuminated manuscripts.&lt;/p&gt;</v>
      </c>
      <c r="D240" s="21" t="str">
        <f aca="false">IF(Variants!$B241="","","Karni Jewellery")</f>
        <v>Karni Jewellery</v>
      </c>
      <c r="E240" s="21" t="str">
        <f aca="false">IF(Variants!$B241="","","Apparel &amp; Accessories &gt; Jewelry")</f>
        <v>Apparel &amp; Accessories &gt; Jewelry</v>
      </c>
      <c r="F240" s="21" t="str">
        <f aca="false">IF(Variants!$D241="","",Variants!$D241)</f>
        <v>Brooch</v>
      </c>
      <c r="G240" s="21" t="str">
        <f aca="false">IF(Variants!$E241="","",Variants!$E241&amp;", Armenian jewellery, handmade")</f>
        <v>Alphabet, Armenian jewellery, handmade</v>
      </c>
      <c r="H240" s="21" t="str">
        <f aca="false">IF(Variants!$AD241="Active","TRUE","FALSE")</f>
        <v>TRUE</v>
      </c>
      <c r="I240" s="21" t="str">
        <f aca="false">IF(Variants!$H241="","","Color")</f>
        <v>Color</v>
      </c>
      <c r="J240" s="21" t="str">
        <f aca="false">IF(Variants!$H241="","",Variants!$H241)</f>
        <v>turquoise</v>
      </c>
      <c r="K240" s="21" t="str">
        <f aca="false">IF(Variants!$G241="","","Size")</f>
        <v/>
      </c>
      <c r="L240" s="21" t="str">
        <f aca="false">IF(Variants!$G241="","",Variants!$G241)</f>
        <v/>
      </c>
      <c r="M240" s="21" t="str">
        <f aca="false">Variants!$A241</f>
        <v>KARNI-BRCH-ALPHA-INI-TURQUOISE</v>
      </c>
      <c r="N240" s="21" t="str">
        <f aca="false">IF(Variants!$X241="","",Variants!$X241)</f>
        <v/>
      </c>
      <c r="O240" s="21" t="n">
        <f aca="false">IF(Variants!$O241="","",Variants!$O241)</f>
        <v>0</v>
      </c>
      <c r="P240" s="18" t="n">
        <f aca="false">IF(Variants!$J241="","",Variants!$J241)</f>
        <v>65</v>
      </c>
      <c r="Q240" s="21" t="str">
        <f aca="false">IF(Variants!$U241="","",Variants!$U241)</f>
        <v/>
      </c>
      <c r="R240" s="21" t="str">
        <f aca="false">IF(Variants!$Y241="","",Variants!$Y241)</f>
        <v/>
      </c>
      <c r="S240" s="21" t="n">
        <f aca="false">IFERROR(VLOOKUP(Variants!$B241,Designs!$A$3:$AP$165,37,FALSE()),"")</f>
        <v>0</v>
      </c>
      <c r="T240" s="21" t="str">
        <f aca="false">IFERROR(VLOOKUP(Variants!$B241,Designs!$A$3:$AP$165,38,FALSE()),"")</f>
        <v>No</v>
      </c>
      <c r="U240" s="21" t="str">
        <f aca="false">IF(Variants!$AD241="Active","active","draft")</f>
        <v>active</v>
      </c>
    </row>
    <row r="241" customFormat="false" ht="15.75" hidden="false" customHeight="true" outlineLevel="0" collapsed="false">
      <c r="A241" s="21" t="str">
        <f aca="false">IF(Variants!$B242="","",LOWER(Variants!$B242))</f>
        <v>dsgn-brch-alpha-lyun</v>
      </c>
      <c r="B241" s="21" t="str">
        <f aca="false">IF(Variants!$B242="","",Variants!$C242&amp;IF(Variants!$F242="",""," "&amp;Variants!$F242))</f>
        <v>Bird Letter Brooch Լ</v>
      </c>
      <c r="C241" s="21" t="str">
        <f aca="false">IFERROR(IF(Variants!$B242="","","&lt;p&gt;"&amp;VLOOKUP(Variants!$B242,Designs!$A$3:$AP$165,9,FALSE())&amp;"&lt;/p&gt;"),"")</f>
        <v>&lt;p&gt;Bird letters are an ornamental medieval Armenian script where each letter is formed from stylised birds, used in illuminated manuscripts.&lt;/p&gt;</v>
      </c>
      <c r="D241" s="21" t="str">
        <f aca="false">IF(Variants!$B242="","","Karni Jewellery")</f>
        <v>Karni Jewellery</v>
      </c>
      <c r="E241" s="21" t="str">
        <f aca="false">IF(Variants!$B242="","","Apparel &amp; Accessories &gt; Jewelry")</f>
        <v>Apparel &amp; Accessories &gt; Jewelry</v>
      </c>
      <c r="F241" s="21" t="str">
        <f aca="false">IF(Variants!$D242="","",Variants!$D242)</f>
        <v>Brooch</v>
      </c>
      <c r="G241" s="21" t="str">
        <f aca="false">IF(Variants!$E242="","",Variants!$E242&amp;", Armenian jewellery, handmade")</f>
        <v>Alphabet, Armenian jewellery, handmade</v>
      </c>
      <c r="H241" s="21" t="str">
        <f aca="false">IF(Variants!$AD242="Active","TRUE","FALSE")</f>
        <v>TRUE</v>
      </c>
      <c r="I241" s="21" t="str">
        <f aca="false">IF(Variants!$H242="","","Color")</f>
        <v>Color</v>
      </c>
      <c r="J241" s="21" t="str">
        <f aca="false">IF(Variants!$H242="","",Variants!$H242)</f>
        <v>turquoise</v>
      </c>
      <c r="K241" s="21" t="str">
        <f aca="false">IF(Variants!$G242="","","Size")</f>
        <v/>
      </c>
      <c r="L241" s="21" t="str">
        <f aca="false">IF(Variants!$G242="","",Variants!$G242)</f>
        <v/>
      </c>
      <c r="M241" s="21" t="str">
        <f aca="false">Variants!$A242</f>
        <v>KARNI-BRCH-ALPHA-LYUN-TURQUOISE</v>
      </c>
      <c r="N241" s="21" t="str">
        <f aca="false">IF(Variants!$X242="","",Variants!$X242)</f>
        <v/>
      </c>
      <c r="O241" s="21" t="n">
        <f aca="false">IF(Variants!$O242="","",Variants!$O242)</f>
        <v>0</v>
      </c>
      <c r="P241" s="18" t="n">
        <f aca="false">IF(Variants!$J242="","",Variants!$J242)</f>
        <v>65</v>
      </c>
      <c r="Q241" s="21" t="str">
        <f aca="false">IF(Variants!$U242="","",Variants!$U242)</f>
        <v/>
      </c>
      <c r="R241" s="21" t="str">
        <f aca="false">IF(Variants!$Y242="","",Variants!$Y242)</f>
        <v/>
      </c>
      <c r="S241" s="21" t="n">
        <f aca="false">IFERROR(VLOOKUP(Variants!$B242,Designs!$A$3:$AP$165,37,FALSE()),"")</f>
        <v>0</v>
      </c>
      <c r="T241" s="21" t="str">
        <f aca="false">IFERROR(VLOOKUP(Variants!$B242,Designs!$A$3:$AP$165,38,FALSE()),"")</f>
        <v>No</v>
      </c>
      <c r="U241" s="21" t="str">
        <f aca="false">IF(Variants!$AD242="Active","active","draft")</f>
        <v>active</v>
      </c>
    </row>
    <row r="242" customFormat="false" ht="15.75" hidden="false" customHeight="true" outlineLevel="0" collapsed="false">
      <c r="A242" s="21" t="str">
        <f aca="false">IF(Variants!$B243="","",LOWER(Variants!$B243))</f>
        <v>dsgn-brch-alpha-khe</v>
      </c>
      <c r="B242" s="21" t="str">
        <f aca="false">IF(Variants!$B243="","",Variants!$C243&amp;IF(Variants!$F243="",""," "&amp;Variants!$F243))</f>
        <v>Bird Letter Brooch Խ</v>
      </c>
      <c r="C242" s="21" t="str">
        <f aca="false">IFERROR(IF(Variants!$B243="","","&lt;p&gt;"&amp;VLOOKUP(Variants!$B243,Designs!$A$3:$AP$165,9,FALSE())&amp;"&lt;/p&gt;"),"")</f>
        <v>&lt;p&gt;Bird letters are an ornamental medieval Armenian script where each letter is formed from stylised birds, used in illuminated manuscripts.&lt;/p&gt;</v>
      </c>
      <c r="D242" s="21" t="str">
        <f aca="false">IF(Variants!$B243="","","Karni Jewellery")</f>
        <v>Karni Jewellery</v>
      </c>
      <c r="E242" s="21" t="str">
        <f aca="false">IF(Variants!$B243="","","Apparel &amp; Accessories &gt; Jewelry")</f>
        <v>Apparel &amp; Accessories &gt; Jewelry</v>
      </c>
      <c r="F242" s="21" t="str">
        <f aca="false">IF(Variants!$D243="","",Variants!$D243)</f>
        <v>Brooch</v>
      </c>
      <c r="G242" s="21" t="str">
        <f aca="false">IF(Variants!$E243="","",Variants!$E243&amp;", Armenian jewellery, handmade")</f>
        <v>Alphabet, Armenian jewellery, handmade</v>
      </c>
      <c r="H242" s="21" t="str">
        <f aca="false">IF(Variants!$AD243="Active","TRUE","FALSE")</f>
        <v>TRUE</v>
      </c>
      <c r="I242" s="21" t="str">
        <f aca="false">IF(Variants!$H243="","","Color")</f>
        <v>Color</v>
      </c>
      <c r="J242" s="21" t="str">
        <f aca="false">IF(Variants!$H243="","",Variants!$H243)</f>
        <v>turquoise</v>
      </c>
      <c r="K242" s="21" t="str">
        <f aca="false">IF(Variants!$G243="","","Size")</f>
        <v/>
      </c>
      <c r="L242" s="21" t="str">
        <f aca="false">IF(Variants!$G243="","",Variants!$G243)</f>
        <v/>
      </c>
      <c r="M242" s="21" t="str">
        <f aca="false">Variants!$A243</f>
        <v>KARNI-BRCH-ALPHA-KHE-TURQUOISE</v>
      </c>
      <c r="N242" s="21" t="str">
        <f aca="false">IF(Variants!$X243="","",Variants!$X243)</f>
        <v/>
      </c>
      <c r="O242" s="21" t="n">
        <f aca="false">IF(Variants!$O243="","",Variants!$O243)</f>
        <v>0</v>
      </c>
      <c r="P242" s="18" t="n">
        <f aca="false">IF(Variants!$J243="","",Variants!$J243)</f>
        <v>65</v>
      </c>
      <c r="Q242" s="21" t="str">
        <f aca="false">IF(Variants!$U243="","",Variants!$U243)</f>
        <v/>
      </c>
      <c r="R242" s="21" t="str">
        <f aca="false">IF(Variants!$Y243="","",Variants!$Y243)</f>
        <v/>
      </c>
      <c r="S242" s="21" t="n">
        <f aca="false">IFERROR(VLOOKUP(Variants!$B243,Designs!$A$3:$AP$165,37,FALSE()),"")</f>
        <v>0</v>
      </c>
      <c r="T242" s="21" t="str">
        <f aca="false">IFERROR(VLOOKUP(Variants!$B243,Designs!$A$3:$AP$165,38,FALSE()),"")</f>
        <v>No</v>
      </c>
      <c r="U242" s="21" t="str">
        <f aca="false">IF(Variants!$AD243="Active","active","draft")</f>
        <v>active</v>
      </c>
    </row>
    <row r="243" customFormat="false" ht="15.75" hidden="false" customHeight="true" outlineLevel="0" collapsed="false">
      <c r="A243" s="21" t="str">
        <f aca="false">IF(Variants!$B244="","",LOWER(Variants!$B244))</f>
        <v>dsgn-brch-alpha-tsa</v>
      </c>
      <c r="B243" s="21" t="str">
        <f aca="false">IF(Variants!$B244="","",Variants!$C244&amp;IF(Variants!$F244="",""," "&amp;Variants!$F244))</f>
        <v>Bird Letter Brooch Ծ</v>
      </c>
      <c r="C243" s="21" t="str">
        <f aca="false">IFERROR(IF(Variants!$B244="","","&lt;p&gt;"&amp;VLOOKUP(Variants!$B244,Designs!$A$3:$AP$165,9,FALSE())&amp;"&lt;/p&gt;"),"")</f>
        <v>&lt;p&gt;Bird letters are an ornamental medieval Armenian script where each letter is formed from stylised birds, used in illuminated manuscripts.&lt;/p&gt;</v>
      </c>
      <c r="D243" s="21" t="str">
        <f aca="false">IF(Variants!$B244="","","Karni Jewellery")</f>
        <v>Karni Jewellery</v>
      </c>
      <c r="E243" s="21" t="str">
        <f aca="false">IF(Variants!$B244="","","Apparel &amp; Accessories &gt; Jewelry")</f>
        <v>Apparel &amp; Accessories &gt; Jewelry</v>
      </c>
      <c r="F243" s="21" t="str">
        <f aca="false">IF(Variants!$D244="","",Variants!$D244)</f>
        <v>Brooch</v>
      </c>
      <c r="G243" s="21" t="str">
        <f aca="false">IF(Variants!$E244="","",Variants!$E244&amp;", Armenian jewellery, handmade")</f>
        <v>Alphabet, Armenian jewellery, handmade</v>
      </c>
      <c r="H243" s="21" t="str">
        <f aca="false">IF(Variants!$AD244="Active","TRUE","FALSE")</f>
        <v>TRUE</v>
      </c>
      <c r="I243" s="21" t="str">
        <f aca="false">IF(Variants!$H244="","","Color")</f>
        <v>Color</v>
      </c>
      <c r="J243" s="21" t="str">
        <f aca="false">IF(Variants!$H244="","",Variants!$H244)</f>
        <v>turquoise</v>
      </c>
      <c r="K243" s="21" t="str">
        <f aca="false">IF(Variants!$G244="","","Size")</f>
        <v/>
      </c>
      <c r="L243" s="21" t="str">
        <f aca="false">IF(Variants!$G244="","",Variants!$G244)</f>
        <v/>
      </c>
      <c r="M243" s="21" t="str">
        <f aca="false">Variants!$A244</f>
        <v>KARNI-BRCH-ALPHA-TSA-TURQUOISE</v>
      </c>
      <c r="N243" s="21" t="str">
        <f aca="false">IF(Variants!$X244="","",Variants!$X244)</f>
        <v/>
      </c>
      <c r="O243" s="21" t="n">
        <f aca="false">IF(Variants!$O244="","",Variants!$O244)</f>
        <v>0</v>
      </c>
      <c r="P243" s="18" t="n">
        <f aca="false">IF(Variants!$J244="","",Variants!$J244)</f>
        <v>65</v>
      </c>
      <c r="Q243" s="21" t="str">
        <f aca="false">IF(Variants!$U244="","",Variants!$U244)</f>
        <v/>
      </c>
      <c r="R243" s="21" t="str">
        <f aca="false">IF(Variants!$Y244="","",Variants!$Y244)</f>
        <v/>
      </c>
      <c r="S243" s="21" t="n">
        <f aca="false">IFERROR(VLOOKUP(Variants!$B244,Designs!$A$3:$AP$165,37,FALSE()),"")</f>
        <v>0</v>
      </c>
      <c r="T243" s="21" t="str">
        <f aca="false">IFERROR(VLOOKUP(Variants!$B244,Designs!$A$3:$AP$165,38,FALSE()),"")</f>
        <v>No</v>
      </c>
      <c r="U243" s="21" t="str">
        <f aca="false">IF(Variants!$AD244="Active","active","draft")</f>
        <v>active</v>
      </c>
    </row>
    <row r="244" customFormat="false" ht="15.75" hidden="false" customHeight="true" outlineLevel="0" collapsed="false">
      <c r="A244" s="21" t="str">
        <f aca="false">IF(Variants!$B245="","",LOWER(Variants!$B245))</f>
        <v>dsgn-brch-alpha-ken</v>
      </c>
      <c r="B244" s="21" t="str">
        <f aca="false">IF(Variants!$B245="","",Variants!$C245&amp;IF(Variants!$F245="",""," "&amp;Variants!$F245))</f>
        <v>Bird Letter Brooch Կ</v>
      </c>
      <c r="C244" s="21" t="str">
        <f aca="false">IFERROR(IF(Variants!$B245="","","&lt;p&gt;"&amp;VLOOKUP(Variants!$B245,Designs!$A$3:$AP$165,9,FALSE())&amp;"&lt;/p&gt;"),"")</f>
        <v>&lt;p&gt;Bird letters are an ornamental medieval Armenian script where each letter is formed from stylised birds, used in illuminated manuscripts.&lt;/p&gt;</v>
      </c>
      <c r="D244" s="21" t="str">
        <f aca="false">IF(Variants!$B245="","","Karni Jewellery")</f>
        <v>Karni Jewellery</v>
      </c>
      <c r="E244" s="21" t="str">
        <f aca="false">IF(Variants!$B245="","","Apparel &amp; Accessories &gt; Jewelry")</f>
        <v>Apparel &amp; Accessories &gt; Jewelry</v>
      </c>
      <c r="F244" s="21" t="str">
        <f aca="false">IF(Variants!$D245="","",Variants!$D245)</f>
        <v>Brooch</v>
      </c>
      <c r="G244" s="21" t="str">
        <f aca="false">IF(Variants!$E245="","",Variants!$E245&amp;", Armenian jewellery, handmade")</f>
        <v>Alphabet, Armenian jewellery, handmade</v>
      </c>
      <c r="H244" s="21" t="str">
        <f aca="false">IF(Variants!$AD245="Active","TRUE","FALSE")</f>
        <v>TRUE</v>
      </c>
      <c r="I244" s="21" t="str">
        <f aca="false">IF(Variants!$H245="","","Color")</f>
        <v>Color</v>
      </c>
      <c r="J244" s="21" t="str">
        <f aca="false">IF(Variants!$H245="","",Variants!$H245)</f>
        <v>turquoise</v>
      </c>
      <c r="K244" s="21" t="str">
        <f aca="false">IF(Variants!$G245="","","Size")</f>
        <v/>
      </c>
      <c r="L244" s="21" t="str">
        <f aca="false">IF(Variants!$G245="","",Variants!$G245)</f>
        <v/>
      </c>
      <c r="M244" s="21" t="str">
        <f aca="false">Variants!$A245</f>
        <v>KARNI-BRCH-ALPHA-KEN-TURQUOISE</v>
      </c>
      <c r="N244" s="21" t="str">
        <f aca="false">IF(Variants!$X245="","",Variants!$X245)</f>
        <v/>
      </c>
      <c r="O244" s="21" t="n">
        <f aca="false">IF(Variants!$O245="","",Variants!$O245)</f>
        <v>0</v>
      </c>
      <c r="P244" s="18" t="n">
        <f aca="false">IF(Variants!$J245="","",Variants!$J245)</f>
        <v>65</v>
      </c>
      <c r="Q244" s="21" t="str">
        <f aca="false">IF(Variants!$U245="","",Variants!$U245)</f>
        <v/>
      </c>
      <c r="R244" s="21" t="str">
        <f aca="false">IF(Variants!$Y245="","",Variants!$Y245)</f>
        <v/>
      </c>
      <c r="S244" s="21" t="n">
        <f aca="false">IFERROR(VLOOKUP(Variants!$B245,Designs!$A$3:$AP$165,37,FALSE()),"")</f>
        <v>0</v>
      </c>
      <c r="T244" s="21" t="str">
        <f aca="false">IFERROR(VLOOKUP(Variants!$B245,Designs!$A$3:$AP$165,38,FALSE()),"")</f>
        <v>No</v>
      </c>
      <c r="U244" s="21" t="str">
        <f aca="false">IF(Variants!$AD245="Active","active","draft")</f>
        <v>active</v>
      </c>
    </row>
    <row r="245" customFormat="false" ht="15.75" hidden="false" customHeight="true" outlineLevel="0" collapsed="false">
      <c r="A245" s="21" t="str">
        <f aca="false">IF(Variants!$B246="","",LOWER(Variants!$B246))</f>
        <v>dsgn-brch-alpha-ho</v>
      </c>
      <c r="B245" s="21" t="str">
        <f aca="false">IF(Variants!$B246="","",Variants!$C246&amp;IF(Variants!$F246="",""," "&amp;Variants!$F246))</f>
        <v>Bird Letter Brooch Հ</v>
      </c>
      <c r="C245" s="21" t="str">
        <f aca="false">IFERROR(IF(Variants!$B246="","","&lt;p&gt;"&amp;VLOOKUP(Variants!$B246,Designs!$A$3:$AP$165,9,FALSE())&amp;"&lt;/p&gt;"),"")</f>
        <v>&lt;p&gt;Bird letters are an ornamental medieval Armenian script where each letter is formed from stylised birds, used in illuminated manuscripts.&lt;/p&gt;</v>
      </c>
      <c r="D245" s="21" t="str">
        <f aca="false">IF(Variants!$B246="","","Karni Jewellery")</f>
        <v>Karni Jewellery</v>
      </c>
      <c r="E245" s="21" t="str">
        <f aca="false">IF(Variants!$B246="","","Apparel &amp; Accessories &gt; Jewelry")</f>
        <v>Apparel &amp; Accessories &gt; Jewelry</v>
      </c>
      <c r="F245" s="21" t="str">
        <f aca="false">IF(Variants!$D246="","",Variants!$D246)</f>
        <v>Brooch</v>
      </c>
      <c r="G245" s="21" t="str">
        <f aca="false">IF(Variants!$E246="","",Variants!$E246&amp;", Armenian jewellery, handmade")</f>
        <v>Alphabet, Armenian jewellery, handmade</v>
      </c>
      <c r="H245" s="21" t="str">
        <f aca="false">IF(Variants!$AD246="Active","TRUE","FALSE")</f>
        <v>TRUE</v>
      </c>
      <c r="I245" s="21" t="str">
        <f aca="false">IF(Variants!$H246="","","Color")</f>
        <v>Color</v>
      </c>
      <c r="J245" s="21" t="str">
        <f aca="false">IF(Variants!$H246="","",Variants!$H246)</f>
        <v>turquoise</v>
      </c>
      <c r="K245" s="21" t="str">
        <f aca="false">IF(Variants!$G246="","","Size")</f>
        <v/>
      </c>
      <c r="L245" s="21" t="str">
        <f aca="false">IF(Variants!$G246="","",Variants!$G246)</f>
        <v/>
      </c>
      <c r="M245" s="21" t="str">
        <f aca="false">Variants!$A246</f>
        <v>KARNI-BRCH-ALPHA-HO-TURQUOISE</v>
      </c>
      <c r="N245" s="21" t="str">
        <f aca="false">IF(Variants!$X246="","",Variants!$X246)</f>
        <v/>
      </c>
      <c r="O245" s="21" t="n">
        <f aca="false">IF(Variants!$O246="","",Variants!$O246)</f>
        <v>0</v>
      </c>
      <c r="P245" s="18" t="n">
        <f aca="false">IF(Variants!$J246="","",Variants!$J246)</f>
        <v>65</v>
      </c>
      <c r="Q245" s="21" t="str">
        <f aca="false">IF(Variants!$U246="","",Variants!$U246)</f>
        <v/>
      </c>
      <c r="R245" s="21" t="str">
        <f aca="false">IF(Variants!$Y246="","",Variants!$Y246)</f>
        <v/>
      </c>
      <c r="S245" s="21" t="n">
        <f aca="false">IFERROR(VLOOKUP(Variants!$B246,Designs!$A$3:$AP$165,37,FALSE()),"")</f>
        <v>0</v>
      </c>
      <c r="T245" s="21" t="str">
        <f aca="false">IFERROR(VLOOKUP(Variants!$B246,Designs!$A$3:$AP$165,38,FALSE()),"")</f>
        <v>No</v>
      </c>
      <c r="U245" s="21" t="str">
        <f aca="false">IF(Variants!$AD246="Active","active","draft")</f>
        <v>active</v>
      </c>
    </row>
    <row r="246" customFormat="false" ht="15.75" hidden="false" customHeight="true" outlineLevel="0" collapsed="false">
      <c r="A246" s="21" t="str">
        <f aca="false">IF(Variants!$B247="","",LOWER(Variants!$B247))</f>
        <v>dsgn-brch-alpha-dza</v>
      </c>
      <c r="B246" s="21" t="str">
        <f aca="false">IF(Variants!$B247="","",Variants!$C247&amp;IF(Variants!$F247="",""," "&amp;Variants!$F247))</f>
        <v>Bird Letter Brooch Ձ</v>
      </c>
      <c r="C246" s="21" t="str">
        <f aca="false">IFERROR(IF(Variants!$B247="","","&lt;p&gt;"&amp;VLOOKUP(Variants!$B247,Designs!$A$3:$AP$165,9,FALSE())&amp;"&lt;/p&gt;"),"")</f>
        <v>&lt;p&gt;Bird letters are an ornamental medieval Armenian script where each letter is formed from stylised birds, used in illuminated manuscripts.&lt;/p&gt;</v>
      </c>
      <c r="D246" s="21" t="str">
        <f aca="false">IF(Variants!$B247="","","Karni Jewellery")</f>
        <v>Karni Jewellery</v>
      </c>
      <c r="E246" s="21" t="str">
        <f aca="false">IF(Variants!$B247="","","Apparel &amp; Accessories &gt; Jewelry")</f>
        <v>Apparel &amp; Accessories &gt; Jewelry</v>
      </c>
      <c r="F246" s="21" t="str">
        <f aca="false">IF(Variants!$D247="","",Variants!$D247)</f>
        <v>Brooch</v>
      </c>
      <c r="G246" s="21" t="str">
        <f aca="false">IF(Variants!$E247="","",Variants!$E247&amp;", Armenian jewellery, handmade")</f>
        <v>Alphabet, Armenian jewellery, handmade</v>
      </c>
      <c r="H246" s="21" t="str">
        <f aca="false">IF(Variants!$AD247="Active","TRUE","FALSE")</f>
        <v>TRUE</v>
      </c>
      <c r="I246" s="21" t="str">
        <f aca="false">IF(Variants!$H247="","","Color")</f>
        <v>Color</v>
      </c>
      <c r="J246" s="21" t="str">
        <f aca="false">IF(Variants!$H247="","",Variants!$H247)</f>
        <v>turquoise</v>
      </c>
      <c r="K246" s="21" t="str">
        <f aca="false">IF(Variants!$G247="","","Size")</f>
        <v/>
      </c>
      <c r="L246" s="21" t="str">
        <f aca="false">IF(Variants!$G247="","",Variants!$G247)</f>
        <v/>
      </c>
      <c r="M246" s="21" t="str">
        <f aca="false">Variants!$A247</f>
        <v>KARNI-BRCH-ALPHA-DZA-TURQUOISE</v>
      </c>
      <c r="N246" s="21" t="str">
        <f aca="false">IF(Variants!$X247="","",Variants!$X247)</f>
        <v/>
      </c>
      <c r="O246" s="21" t="n">
        <f aca="false">IF(Variants!$O247="","",Variants!$O247)</f>
        <v>0</v>
      </c>
      <c r="P246" s="18" t="n">
        <f aca="false">IF(Variants!$J247="","",Variants!$J247)</f>
        <v>65</v>
      </c>
      <c r="Q246" s="21" t="str">
        <f aca="false">IF(Variants!$U247="","",Variants!$U247)</f>
        <v/>
      </c>
      <c r="R246" s="21" t="str">
        <f aca="false">IF(Variants!$Y247="","",Variants!$Y247)</f>
        <v/>
      </c>
      <c r="S246" s="21" t="n">
        <f aca="false">IFERROR(VLOOKUP(Variants!$B247,Designs!$A$3:$AP$165,37,FALSE()),"")</f>
        <v>0</v>
      </c>
      <c r="T246" s="21" t="str">
        <f aca="false">IFERROR(VLOOKUP(Variants!$B247,Designs!$A$3:$AP$165,38,FALSE()),"")</f>
        <v>No</v>
      </c>
      <c r="U246" s="21" t="str">
        <f aca="false">IF(Variants!$AD247="Active","active","draft")</f>
        <v>active</v>
      </c>
    </row>
    <row r="247" customFormat="false" ht="15.75" hidden="false" customHeight="true" outlineLevel="0" collapsed="false">
      <c r="A247" s="21" t="str">
        <f aca="false">IF(Variants!$B248="","",LOWER(Variants!$B248))</f>
        <v>dsgn-brch-alpha-ghat</v>
      </c>
      <c r="B247" s="21" t="str">
        <f aca="false">IF(Variants!$B248="","",Variants!$C248&amp;IF(Variants!$F248="",""," "&amp;Variants!$F248))</f>
        <v>Bird Letter Brooch Ղ</v>
      </c>
      <c r="C247" s="21" t="str">
        <f aca="false">IFERROR(IF(Variants!$B248="","","&lt;p&gt;"&amp;VLOOKUP(Variants!$B248,Designs!$A$3:$AP$165,9,FALSE())&amp;"&lt;/p&gt;"),"")</f>
        <v>&lt;p&gt;Bird letters are an ornamental medieval Armenian script where each letter is formed from stylised birds, used in illuminated manuscripts.&lt;/p&gt;</v>
      </c>
      <c r="D247" s="21" t="str">
        <f aca="false">IF(Variants!$B248="","","Karni Jewellery")</f>
        <v>Karni Jewellery</v>
      </c>
      <c r="E247" s="21" t="str">
        <f aca="false">IF(Variants!$B248="","","Apparel &amp; Accessories &gt; Jewelry")</f>
        <v>Apparel &amp; Accessories &gt; Jewelry</v>
      </c>
      <c r="F247" s="21" t="str">
        <f aca="false">IF(Variants!$D248="","",Variants!$D248)</f>
        <v>Brooch</v>
      </c>
      <c r="G247" s="21" t="str">
        <f aca="false">IF(Variants!$E248="","",Variants!$E248&amp;", Armenian jewellery, handmade")</f>
        <v>Alphabet, Armenian jewellery, handmade</v>
      </c>
      <c r="H247" s="21" t="str">
        <f aca="false">IF(Variants!$AD248="Active","TRUE","FALSE")</f>
        <v>TRUE</v>
      </c>
      <c r="I247" s="21" t="str">
        <f aca="false">IF(Variants!$H248="","","Color")</f>
        <v>Color</v>
      </c>
      <c r="J247" s="21" t="str">
        <f aca="false">IF(Variants!$H248="","",Variants!$H248)</f>
        <v>turquoise</v>
      </c>
      <c r="K247" s="21" t="str">
        <f aca="false">IF(Variants!$G248="","","Size")</f>
        <v/>
      </c>
      <c r="L247" s="21" t="str">
        <f aca="false">IF(Variants!$G248="","",Variants!$G248)</f>
        <v/>
      </c>
      <c r="M247" s="21" t="str">
        <f aca="false">Variants!$A248</f>
        <v>KARNI-BRCH-ALPHA-GHAT-TURQUOISE</v>
      </c>
      <c r="N247" s="21" t="str">
        <f aca="false">IF(Variants!$X248="","",Variants!$X248)</f>
        <v/>
      </c>
      <c r="O247" s="21" t="n">
        <f aca="false">IF(Variants!$O248="","",Variants!$O248)</f>
        <v>0</v>
      </c>
      <c r="P247" s="18" t="n">
        <f aca="false">IF(Variants!$J248="","",Variants!$J248)</f>
        <v>65</v>
      </c>
      <c r="Q247" s="21" t="str">
        <f aca="false">IF(Variants!$U248="","",Variants!$U248)</f>
        <v/>
      </c>
      <c r="R247" s="21" t="str">
        <f aca="false">IF(Variants!$Y248="","",Variants!$Y248)</f>
        <v/>
      </c>
      <c r="S247" s="21" t="n">
        <f aca="false">IFERROR(VLOOKUP(Variants!$B248,Designs!$A$3:$AP$165,37,FALSE()),"")</f>
        <v>0</v>
      </c>
      <c r="T247" s="21" t="str">
        <f aca="false">IFERROR(VLOOKUP(Variants!$B248,Designs!$A$3:$AP$165,38,FALSE()),"")</f>
        <v>No</v>
      </c>
      <c r="U247" s="21" t="str">
        <f aca="false">IF(Variants!$AD248="Active","active","draft")</f>
        <v>active</v>
      </c>
    </row>
    <row r="248" customFormat="false" ht="15.75" hidden="false" customHeight="true" outlineLevel="0" collapsed="false">
      <c r="A248" s="21" t="str">
        <f aca="false">IF(Variants!$B249="","",LOWER(Variants!$B249))</f>
        <v>dsgn-brch-alpha-cheh</v>
      </c>
      <c r="B248" s="21" t="str">
        <f aca="false">IF(Variants!$B249="","",Variants!$C249&amp;IF(Variants!$F249="",""," "&amp;Variants!$F249))</f>
        <v>Bird Letter Brooch Ճ</v>
      </c>
      <c r="C248" s="21" t="str">
        <f aca="false">IFERROR(IF(Variants!$B249="","","&lt;p&gt;"&amp;VLOOKUP(Variants!$B249,Designs!$A$3:$AP$165,9,FALSE())&amp;"&lt;/p&gt;"),"")</f>
        <v>&lt;p&gt;Bird letters are an ornamental medieval Armenian script where each letter is formed from stylised birds, used in illuminated manuscripts.&lt;/p&gt;</v>
      </c>
      <c r="D248" s="21" t="str">
        <f aca="false">IF(Variants!$B249="","","Karni Jewellery")</f>
        <v>Karni Jewellery</v>
      </c>
      <c r="E248" s="21" t="str">
        <f aca="false">IF(Variants!$B249="","","Apparel &amp; Accessories &gt; Jewelry")</f>
        <v>Apparel &amp; Accessories &gt; Jewelry</v>
      </c>
      <c r="F248" s="21" t="str">
        <f aca="false">IF(Variants!$D249="","",Variants!$D249)</f>
        <v>Brooch</v>
      </c>
      <c r="G248" s="21" t="str">
        <f aca="false">IF(Variants!$E249="","",Variants!$E249&amp;", Armenian jewellery, handmade")</f>
        <v>Alphabet, Armenian jewellery, handmade</v>
      </c>
      <c r="H248" s="21" t="str">
        <f aca="false">IF(Variants!$AD249="Active","TRUE","FALSE")</f>
        <v>TRUE</v>
      </c>
      <c r="I248" s="21" t="str">
        <f aca="false">IF(Variants!$H249="","","Color")</f>
        <v>Color</v>
      </c>
      <c r="J248" s="21" t="str">
        <f aca="false">IF(Variants!$H249="","",Variants!$H249)</f>
        <v>turquoise</v>
      </c>
      <c r="K248" s="21" t="str">
        <f aca="false">IF(Variants!$G249="","","Size")</f>
        <v/>
      </c>
      <c r="L248" s="21" t="str">
        <f aca="false">IF(Variants!$G249="","",Variants!$G249)</f>
        <v/>
      </c>
      <c r="M248" s="21" t="str">
        <f aca="false">Variants!$A249</f>
        <v>KARNI-BRCH-ALPHA-CHEH-TURQUOISE</v>
      </c>
      <c r="N248" s="21" t="str">
        <f aca="false">IF(Variants!$X249="","",Variants!$X249)</f>
        <v/>
      </c>
      <c r="O248" s="21" t="n">
        <f aca="false">IF(Variants!$O249="","",Variants!$O249)</f>
        <v>0</v>
      </c>
      <c r="P248" s="18" t="n">
        <f aca="false">IF(Variants!$J249="","",Variants!$J249)</f>
        <v>65</v>
      </c>
      <c r="Q248" s="21" t="str">
        <f aca="false">IF(Variants!$U249="","",Variants!$U249)</f>
        <v/>
      </c>
      <c r="R248" s="21" t="str">
        <f aca="false">IF(Variants!$Y249="","",Variants!$Y249)</f>
        <v/>
      </c>
      <c r="S248" s="21" t="n">
        <f aca="false">IFERROR(VLOOKUP(Variants!$B249,Designs!$A$3:$AP$165,37,FALSE()),"")</f>
        <v>0</v>
      </c>
      <c r="T248" s="21" t="str">
        <f aca="false">IFERROR(VLOOKUP(Variants!$B249,Designs!$A$3:$AP$165,38,FALSE()),"")</f>
        <v>No</v>
      </c>
      <c r="U248" s="21" t="str">
        <f aca="false">IF(Variants!$AD249="Active","active","draft")</f>
        <v>active</v>
      </c>
    </row>
    <row r="249" customFormat="false" ht="15.75" hidden="false" customHeight="true" outlineLevel="0" collapsed="false">
      <c r="A249" s="21" t="str">
        <f aca="false">IF(Variants!$B250="","",LOWER(Variants!$B250))</f>
        <v>dsgn-brch-alpha-men</v>
      </c>
      <c r="B249" s="21" t="str">
        <f aca="false">IF(Variants!$B250="","",Variants!$C250&amp;IF(Variants!$F250="",""," "&amp;Variants!$F250))</f>
        <v>Bird Letter Brooch Մ</v>
      </c>
      <c r="C249" s="21" t="str">
        <f aca="false">IFERROR(IF(Variants!$B250="","","&lt;p&gt;"&amp;VLOOKUP(Variants!$B250,Designs!$A$3:$AP$165,9,FALSE())&amp;"&lt;/p&gt;"),"")</f>
        <v>&lt;p&gt;Bird letters are an ornamental medieval Armenian script where each letter is formed from stylised birds, used in illuminated manuscripts.&lt;/p&gt;</v>
      </c>
      <c r="D249" s="21" t="str">
        <f aca="false">IF(Variants!$B250="","","Karni Jewellery")</f>
        <v>Karni Jewellery</v>
      </c>
      <c r="E249" s="21" t="str">
        <f aca="false">IF(Variants!$B250="","","Apparel &amp; Accessories &gt; Jewelry")</f>
        <v>Apparel &amp; Accessories &gt; Jewelry</v>
      </c>
      <c r="F249" s="21" t="str">
        <f aca="false">IF(Variants!$D250="","",Variants!$D250)</f>
        <v>Brooch</v>
      </c>
      <c r="G249" s="21" t="str">
        <f aca="false">IF(Variants!$E250="","",Variants!$E250&amp;", Armenian jewellery, handmade")</f>
        <v>Alphabet, Armenian jewellery, handmade</v>
      </c>
      <c r="H249" s="21" t="str">
        <f aca="false">IF(Variants!$AD250="Active","TRUE","FALSE")</f>
        <v>TRUE</v>
      </c>
      <c r="I249" s="21" t="str">
        <f aca="false">IF(Variants!$H250="","","Color")</f>
        <v>Color</v>
      </c>
      <c r="J249" s="21" t="str">
        <f aca="false">IF(Variants!$H250="","",Variants!$H250)</f>
        <v>turquoise</v>
      </c>
      <c r="K249" s="21" t="str">
        <f aca="false">IF(Variants!$G250="","","Size")</f>
        <v/>
      </c>
      <c r="L249" s="21" t="str">
        <f aca="false">IF(Variants!$G250="","",Variants!$G250)</f>
        <v/>
      </c>
      <c r="M249" s="21" t="str">
        <f aca="false">Variants!$A250</f>
        <v>KARNI-BRCH-ALPHA-MEN-TURQUOISE</v>
      </c>
      <c r="N249" s="21" t="str">
        <f aca="false">IF(Variants!$X250="","",Variants!$X250)</f>
        <v/>
      </c>
      <c r="O249" s="21" t="n">
        <f aca="false">IF(Variants!$O250="","",Variants!$O250)</f>
        <v>0</v>
      </c>
      <c r="P249" s="18" t="n">
        <f aca="false">IF(Variants!$J250="","",Variants!$J250)</f>
        <v>65</v>
      </c>
      <c r="Q249" s="21" t="str">
        <f aca="false">IF(Variants!$U250="","",Variants!$U250)</f>
        <v/>
      </c>
      <c r="R249" s="21" t="str">
        <f aca="false">IF(Variants!$Y250="","",Variants!$Y250)</f>
        <v/>
      </c>
      <c r="S249" s="21" t="n">
        <f aca="false">IFERROR(VLOOKUP(Variants!$B250,Designs!$A$3:$AP$165,37,FALSE()),"")</f>
        <v>0</v>
      </c>
      <c r="T249" s="21" t="str">
        <f aca="false">IFERROR(VLOOKUP(Variants!$B250,Designs!$A$3:$AP$165,38,FALSE()),"")</f>
        <v>No</v>
      </c>
      <c r="U249" s="21" t="str">
        <f aca="false">IF(Variants!$AD250="Active","active","draft")</f>
        <v>active</v>
      </c>
    </row>
    <row r="250" customFormat="false" ht="15.75" hidden="false" customHeight="true" outlineLevel="0" collapsed="false">
      <c r="A250" s="21" t="str">
        <f aca="false">IF(Variants!$B251="","",LOWER(Variants!$B251))</f>
        <v>dsgn-brch-alpha-hi</v>
      </c>
      <c r="B250" s="21" t="str">
        <f aca="false">IF(Variants!$B251="","",Variants!$C251&amp;IF(Variants!$F251="",""," "&amp;Variants!$F251))</f>
        <v>Bird Letter Brooch Յ</v>
      </c>
      <c r="C250" s="21" t="str">
        <f aca="false">IFERROR(IF(Variants!$B251="","","&lt;p&gt;"&amp;VLOOKUP(Variants!$B251,Designs!$A$3:$AP$165,9,FALSE())&amp;"&lt;/p&gt;"),"")</f>
        <v>&lt;p&gt;Bird letters are an ornamental medieval Armenian script where each letter is formed from stylised birds, used in illuminated manuscripts.&lt;/p&gt;</v>
      </c>
      <c r="D250" s="21" t="str">
        <f aca="false">IF(Variants!$B251="","","Karni Jewellery")</f>
        <v>Karni Jewellery</v>
      </c>
      <c r="E250" s="21" t="str">
        <f aca="false">IF(Variants!$B251="","","Apparel &amp; Accessories &gt; Jewelry")</f>
        <v>Apparel &amp; Accessories &gt; Jewelry</v>
      </c>
      <c r="F250" s="21" t="str">
        <f aca="false">IF(Variants!$D251="","",Variants!$D251)</f>
        <v>Brooch</v>
      </c>
      <c r="G250" s="21" t="str">
        <f aca="false">IF(Variants!$E251="","",Variants!$E251&amp;", Armenian jewellery, handmade")</f>
        <v>Alphabet, Armenian jewellery, handmade</v>
      </c>
      <c r="H250" s="21" t="str">
        <f aca="false">IF(Variants!$AD251="Active","TRUE","FALSE")</f>
        <v>TRUE</v>
      </c>
      <c r="I250" s="21" t="str">
        <f aca="false">IF(Variants!$H251="","","Color")</f>
        <v>Color</v>
      </c>
      <c r="J250" s="21" t="str">
        <f aca="false">IF(Variants!$H251="","",Variants!$H251)</f>
        <v>turquoise</v>
      </c>
      <c r="K250" s="21" t="str">
        <f aca="false">IF(Variants!$G251="","","Size")</f>
        <v/>
      </c>
      <c r="L250" s="21" t="str">
        <f aca="false">IF(Variants!$G251="","",Variants!$G251)</f>
        <v/>
      </c>
      <c r="M250" s="21" t="str">
        <f aca="false">Variants!$A251</f>
        <v>KARNI-BRCH-ALPHA-HI-TURQUOISE</v>
      </c>
      <c r="N250" s="21" t="str">
        <f aca="false">IF(Variants!$X251="","",Variants!$X251)</f>
        <v/>
      </c>
      <c r="O250" s="21" t="n">
        <f aca="false">IF(Variants!$O251="","",Variants!$O251)</f>
        <v>0</v>
      </c>
      <c r="P250" s="18" t="n">
        <f aca="false">IF(Variants!$J251="","",Variants!$J251)</f>
        <v>65</v>
      </c>
      <c r="Q250" s="21" t="str">
        <f aca="false">IF(Variants!$U251="","",Variants!$U251)</f>
        <v/>
      </c>
      <c r="R250" s="21" t="str">
        <f aca="false">IF(Variants!$Y251="","",Variants!$Y251)</f>
        <v/>
      </c>
      <c r="S250" s="21" t="n">
        <f aca="false">IFERROR(VLOOKUP(Variants!$B251,Designs!$A$3:$AP$165,37,FALSE()),"")</f>
        <v>0</v>
      </c>
      <c r="T250" s="21" t="str">
        <f aca="false">IFERROR(VLOOKUP(Variants!$B251,Designs!$A$3:$AP$165,38,FALSE()),"")</f>
        <v>No</v>
      </c>
      <c r="U250" s="21" t="str">
        <f aca="false">IF(Variants!$AD251="Active","active","draft")</f>
        <v>active</v>
      </c>
    </row>
    <row r="251" customFormat="false" ht="15.75" hidden="false" customHeight="true" outlineLevel="0" collapsed="false">
      <c r="A251" s="21" t="str">
        <f aca="false">IF(Variants!$B252="","",LOWER(Variants!$B252))</f>
        <v>dsgn-brch-alpha-nu</v>
      </c>
      <c r="B251" s="21" t="str">
        <f aca="false">IF(Variants!$B252="","",Variants!$C252&amp;IF(Variants!$F252="",""," "&amp;Variants!$F252))</f>
        <v>Bird Letter Brooch Ն</v>
      </c>
      <c r="C251" s="21" t="str">
        <f aca="false">IFERROR(IF(Variants!$B252="","","&lt;p&gt;"&amp;VLOOKUP(Variants!$B252,Designs!$A$3:$AP$165,9,FALSE())&amp;"&lt;/p&gt;"),"")</f>
        <v>&lt;p&gt;Bird letters are an ornamental medieval Armenian script where each letter is formed from stylised birds, used in illuminated manuscripts.&lt;/p&gt;</v>
      </c>
      <c r="D251" s="21" t="str">
        <f aca="false">IF(Variants!$B252="","","Karni Jewellery")</f>
        <v>Karni Jewellery</v>
      </c>
      <c r="E251" s="21" t="str">
        <f aca="false">IF(Variants!$B252="","","Apparel &amp; Accessories &gt; Jewelry")</f>
        <v>Apparel &amp; Accessories &gt; Jewelry</v>
      </c>
      <c r="F251" s="21" t="str">
        <f aca="false">IF(Variants!$D252="","",Variants!$D252)</f>
        <v>Brooch</v>
      </c>
      <c r="G251" s="21" t="str">
        <f aca="false">IF(Variants!$E252="","",Variants!$E252&amp;", Armenian jewellery, handmade")</f>
        <v>Alphabet, Armenian jewellery, handmade</v>
      </c>
      <c r="H251" s="21" t="str">
        <f aca="false">IF(Variants!$AD252="Active","TRUE","FALSE")</f>
        <v>TRUE</v>
      </c>
      <c r="I251" s="21" t="str">
        <f aca="false">IF(Variants!$H252="","","Color")</f>
        <v>Color</v>
      </c>
      <c r="J251" s="21" t="str">
        <f aca="false">IF(Variants!$H252="","",Variants!$H252)</f>
        <v>turquoise</v>
      </c>
      <c r="K251" s="21" t="str">
        <f aca="false">IF(Variants!$G252="","","Size")</f>
        <v/>
      </c>
      <c r="L251" s="21" t="str">
        <f aca="false">IF(Variants!$G252="","",Variants!$G252)</f>
        <v/>
      </c>
      <c r="M251" s="21" t="str">
        <f aca="false">Variants!$A252</f>
        <v>KARNI-BRCH-ALPHA-NU-TURQUOISE</v>
      </c>
      <c r="N251" s="21" t="str">
        <f aca="false">IF(Variants!$X252="","",Variants!$X252)</f>
        <v/>
      </c>
      <c r="O251" s="21" t="n">
        <f aca="false">IF(Variants!$O252="","",Variants!$O252)</f>
        <v>0</v>
      </c>
      <c r="P251" s="18" t="n">
        <f aca="false">IF(Variants!$J252="","",Variants!$J252)</f>
        <v>65</v>
      </c>
      <c r="Q251" s="21" t="str">
        <f aca="false">IF(Variants!$U252="","",Variants!$U252)</f>
        <v/>
      </c>
      <c r="R251" s="21" t="str">
        <f aca="false">IF(Variants!$Y252="","",Variants!$Y252)</f>
        <v/>
      </c>
      <c r="S251" s="21" t="n">
        <f aca="false">IFERROR(VLOOKUP(Variants!$B252,Designs!$A$3:$AP$165,37,FALSE()),"")</f>
        <v>0</v>
      </c>
      <c r="T251" s="21" t="str">
        <f aca="false">IFERROR(VLOOKUP(Variants!$B252,Designs!$A$3:$AP$165,38,FALSE()),"")</f>
        <v>No</v>
      </c>
      <c r="U251" s="21" t="str">
        <f aca="false">IF(Variants!$AD252="Active","active","draft")</f>
        <v>active</v>
      </c>
    </row>
    <row r="252" customFormat="false" ht="15.75" hidden="false" customHeight="true" outlineLevel="0" collapsed="false">
      <c r="A252" s="21" t="str">
        <f aca="false">IF(Variants!$B253="","",LOWER(Variants!$B253))</f>
        <v>dsgn-brch-alpha-sha</v>
      </c>
      <c r="B252" s="21" t="str">
        <f aca="false">IF(Variants!$B253="","",Variants!$C253&amp;IF(Variants!$F253="",""," "&amp;Variants!$F253))</f>
        <v>Bird Letter Brooch Շ</v>
      </c>
      <c r="C252" s="21" t="str">
        <f aca="false">IFERROR(IF(Variants!$B253="","","&lt;p&gt;"&amp;VLOOKUP(Variants!$B253,Designs!$A$3:$AP$165,9,FALSE())&amp;"&lt;/p&gt;"),"")</f>
        <v>&lt;p&gt;Bird letters are an ornamental medieval Armenian script where each letter is formed from stylised birds, used in illuminated manuscripts.&lt;/p&gt;</v>
      </c>
      <c r="D252" s="21" t="str">
        <f aca="false">IF(Variants!$B253="","","Karni Jewellery")</f>
        <v>Karni Jewellery</v>
      </c>
      <c r="E252" s="21" t="str">
        <f aca="false">IF(Variants!$B253="","","Apparel &amp; Accessories &gt; Jewelry")</f>
        <v>Apparel &amp; Accessories &gt; Jewelry</v>
      </c>
      <c r="F252" s="21" t="str">
        <f aca="false">IF(Variants!$D253="","",Variants!$D253)</f>
        <v>Brooch</v>
      </c>
      <c r="G252" s="21" t="str">
        <f aca="false">IF(Variants!$E253="","",Variants!$E253&amp;", Armenian jewellery, handmade")</f>
        <v>Alphabet, Armenian jewellery, handmade</v>
      </c>
      <c r="H252" s="21" t="str">
        <f aca="false">IF(Variants!$AD253="Active","TRUE","FALSE")</f>
        <v>TRUE</v>
      </c>
      <c r="I252" s="21" t="str">
        <f aca="false">IF(Variants!$H253="","","Color")</f>
        <v>Color</v>
      </c>
      <c r="J252" s="21" t="str">
        <f aca="false">IF(Variants!$H253="","",Variants!$H253)</f>
        <v>turquoise</v>
      </c>
      <c r="K252" s="21" t="str">
        <f aca="false">IF(Variants!$G253="","","Size")</f>
        <v/>
      </c>
      <c r="L252" s="21" t="str">
        <f aca="false">IF(Variants!$G253="","",Variants!$G253)</f>
        <v/>
      </c>
      <c r="M252" s="21" t="str">
        <f aca="false">Variants!$A253</f>
        <v>KARNI-BRCH-ALPHA-SHA-TURQUOISE</v>
      </c>
      <c r="N252" s="21" t="str">
        <f aca="false">IF(Variants!$X253="","",Variants!$X253)</f>
        <v/>
      </c>
      <c r="O252" s="21" t="n">
        <f aca="false">IF(Variants!$O253="","",Variants!$O253)</f>
        <v>0</v>
      </c>
      <c r="P252" s="18" t="n">
        <f aca="false">IF(Variants!$J253="","",Variants!$J253)</f>
        <v>65</v>
      </c>
      <c r="Q252" s="21" t="str">
        <f aca="false">IF(Variants!$U253="","",Variants!$U253)</f>
        <v/>
      </c>
      <c r="R252" s="21" t="str">
        <f aca="false">IF(Variants!$Y253="","",Variants!$Y253)</f>
        <v/>
      </c>
      <c r="S252" s="21" t="n">
        <f aca="false">IFERROR(VLOOKUP(Variants!$B253,Designs!$A$3:$AP$165,37,FALSE()),"")</f>
        <v>0</v>
      </c>
      <c r="T252" s="21" t="str">
        <f aca="false">IFERROR(VLOOKUP(Variants!$B253,Designs!$A$3:$AP$165,38,FALSE()),"")</f>
        <v>No</v>
      </c>
      <c r="U252" s="21" t="str">
        <f aca="false">IF(Variants!$AD253="Active","active","draft")</f>
        <v>active</v>
      </c>
    </row>
    <row r="253" customFormat="false" ht="15.75" hidden="false" customHeight="true" outlineLevel="0" collapsed="false">
      <c r="A253" s="21" t="str">
        <f aca="false">IF(Variants!$B254="","",LOWER(Variants!$B254))</f>
        <v>dsgn-brch-alpha-vo</v>
      </c>
      <c r="B253" s="21" t="str">
        <f aca="false">IF(Variants!$B254="","",Variants!$C254&amp;IF(Variants!$F254="",""," "&amp;Variants!$F254))</f>
        <v>Bird Letter Brooch Ո</v>
      </c>
      <c r="C253" s="21" t="str">
        <f aca="false">IFERROR(IF(Variants!$B254="","","&lt;p&gt;"&amp;VLOOKUP(Variants!$B254,Designs!$A$3:$AP$165,9,FALSE())&amp;"&lt;/p&gt;"),"")</f>
        <v>&lt;p&gt;Bird letters are an ornamental medieval Armenian script where each letter is formed from stylised birds, used in illuminated manuscripts.&lt;/p&gt;</v>
      </c>
      <c r="D253" s="21" t="str">
        <f aca="false">IF(Variants!$B254="","","Karni Jewellery")</f>
        <v>Karni Jewellery</v>
      </c>
      <c r="E253" s="21" t="str">
        <f aca="false">IF(Variants!$B254="","","Apparel &amp; Accessories &gt; Jewelry")</f>
        <v>Apparel &amp; Accessories &gt; Jewelry</v>
      </c>
      <c r="F253" s="21" t="str">
        <f aca="false">IF(Variants!$D254="","",Variants!$D254)</f>
        <v>Brooch</v>
      </c>
      <c r="G253" s="21" t="str">
        <f aca="false">IF(Variants!$E254="","",Variants!$E254&amp;", Armenian jewellery, handmade")</f>
        <v>Alphabet, Armenian jewellery, handmade</v>
      </c>
      <c r="H253" s="21" t="str">
        <f aca="false">IF(Variants!$AD254="Active","TRUE","FALSE")</f>
        <v>TRUE</v>
      </c>
      <c r="I253" s="21" t="str">
        <f aca="false">IF(Variants!$H254="","","Color")</f>
        <v>Color</v>
      </c>
      <c r="J253" s="21" t="str">
        <f aca="false">IF(Variants!$H254="","",Variants!$H254)</f>
        <v>turquoise</v>
      </c>
      <c r="K253" s="21" t="str">
        <f aca="false">IF(Variants!$G254="","","Size")</f>
        <v/>
      </c>
      <c r="L253" s="21" t="str">
        <f aca="false">IF(Variants!$G254="","",Variants!$G254)</f>
        <v/>
      </c>
      <c r="M253" s="21" t="str">
        <f aca="false">Variants!$A254</f>
        <v>KARNI-BRCH-ALPHA-VO-TURQUOISE</v>
      </c>
      <c r="N253" s="21" t="str">
        <f aca="false">IF(Variants!$X254="","",Variants!$X254)</f>
        <v/>
      </c>
      <c r="O253" s="21" t="n">
        <f aca="false">IF(Variants!$O254="","",Variants!$O254)</f>
        <v>0</v>
      </c>
      <c r="P253" s="18" t="n">
        <f aca="false">IF(Variants!$J254="","",Variants!$J254)</f>
        <v>65</v>
      </c>
      <c r="Q253" s="21" t="str">
        <f aca="false">IF(Variants!$U254="","",Variants!$U254)</f>
        <v/>
      </c>
      <c r="R253" s="21" t="str">
        <f aca="false">IF(Variants!$Y254="","",Variants!$Y254)</f>
        <v/>
      </c>
      <c r="S253" s="21" t="n">
        <f aca="false">IFERROR(VLOOKUP(Variants!$B254,Designs!$A$3:$AP$165,37,FALSE()),"")</f>
        <v>0</v>
      </c>
      <c r="T253" s="21" t="str">
        <f aca="false">IFERROR(VLOOKUP(Variants!$B254,Designs!$A$3:$AP$165,38,FALSE()),"")</f>
        <v>No</v>
      </c>
      <c r="U253" s="21" t="str">
        <f aca="false">IF(Variants!$AD254="Active","active","draft")</f>
        <v>active</v>
      </c>
    </row>
    <row r="254" customFormat="false" ht="15.75" hidden="false" customHeight="true" outlineLevel="0" collapsed="false">
      <c r="A254" s="21" t="str">
        <f aca="false">IF(Variants!$B255="","",LOWER(Variants!$B255))</f>
        <v>dsgn-brch-alpha-cha</v>
      </c>
      <c r="B254" s="21" t="str">
        <f aca="false">IF(Variants!$B255="","",Variants!$C255&amp;IF(Variants!$F255="",""," "&amp;Variants!$F255))</f>
        <v>Bird Letter Brooch Չ</v>
      </c>
      <c r="C254" s="21" t="str">
        <f aca="false">IFERROR(IF(Variants!$B255="","","&lt;p&gt;"&amp;VLOOKUP(Variants!$B255,Designs!$A$3:$AP$165,9,FALSE())&amp;"&lt;/p&gt;"),"")</f>
        <v>&lt;p&gt;Bird letters are an ornamental medieval Armenian script where each letter is formed from stylised birds, used in illuminated manuscripts.&lt;/p&gt;</v>
      </c>
      <c r="D254" s="21" t="str">
        <f aca="false">IF(Variants!$B255="","","Karni Jewellery")</f>
        <v>Karni Jewellery</v>
      </c>
      <c r="E254" s="21" t="str">
        <f aca="false">IF(Variants!$B255="","","Apparel &amp; Accessories &gt; Jewelry")</f>
        <v>Apparel &amp; Accessories &gt; Jewelry</v>
      </c>
      <c r="F254" s="21" t="str">
        <f aca="false">IF(Variants!$D255="","",Variants!$D255)</f>
        <v>Brooch</v>
      </c>
      <c r="G254" s="21" t="str">
        <f aca="false">IF(Variants!$E255="","",Variants!$E255&amp;", Armenian jewellery, handmade")</f>
        <v>Alphabet, Armenian jewellery, handmade</v>
      </c>
      <c r="H254" s="21" t="str">
        <f aca="false">IF(Variants!$AD255="Active","TRUE","FALSE")</f>
        <v>TRUE</v>
      </c>
      <c r="I254" s="21" t="str">
        <f aca="false">IF(Variants!$H255="","","Color")</f>
        <v>Color</v>
      </c>
      <c r="J254" s="21" t="str">
        <f aca="false">IF(Variants!$H255="","",Variants!$H255)</f>
        <v>turquoise</v>
      </c>
      <c r="K254" s="21" t="str">
        <f aca="false">IF(Variants!$G255="","","Size")</f>
        <v/>
      </c>
      <c r="L254" s="21" t="str">
        <f aca="false">IF(Variants!$G255="","",Variants!$G255)</f>
        <v/>
      </c>
      <c r="M254" s="21" t="str">
        <f aca="false">Variants!$A255</f>
        <v>KARNI-BRCH-ALPHA-CHA-TURQUOISE</v>
      </c>
      <c r="N254" s="21" t="str">
        <f aca="false">IF(Variants!$X255="","",Variants!$X255)</f>
        <v/>
      </c>
      <c r="O254" s="21" t="n">
        <f aca="false">IF(Variants!$O255="","",Variants!$O255)</f>
        <v>0</v>
      </c>
      <c r="P254" s="18" t="n">
        <f aca="false">IF(Variants!$J255="","",Variants!$J255)</f>
        <v>65</v>
      </c>
      <c r="Q254" s="21" t="str">
        <f aca="false">IF(Variants!$U255="","",Variants!$U255)</f>
        <v/>
      </c>
      <c r="R254" s="21" t="str">
        <f aca="false">IF(Variants!$Y255="","",Variants!$Y255)</f>
        <v/>
      </c>
      <c r="S254" s="21" t="n">
        <f aca="false">IFERROR(VLOOKUP(Variants!$B255,Designs!$A$3:$AP$165,37,FALSE()),"")</f>
        <v>0</v>
      </c>
      <c r="T254" s="21" t="str">
        <f aca="false">IFERROR(VLOOKUP(Variants!$B255,Designs!$A$3:$AP$165,38,FALSE()),"")</f>
        <v>No</v>
      </c>
      <c r="U254" s="21" t="str">
        <f aca="false">IF(Variants!$AD255="Active","active","draft")</f>
        <v>active</v>
      </c>
    </row>
    <row r="255" customFormat="false" ht="15.75" hidden="false" customHeight="true" outlineLevel="0" collapsed="false">
      <c r="A255" s="21" t="str">
        <f aca="false">IF(Variants!$B256="","",LOWER(Variants!$B256))</f>
        <v>dsgn-brch-alpha-peh</v>
      </c>
      <c r="B255" s="21" t="str">
        <f aca="false">IF(Variants!$B256="","",Variants!$C256&amp;IF(Variants!$F256="",""," "&amp;Variants!$F256))</f>
        <v>Bird Letter Brooch Պ</v>
      </c>
      <c r="C255" s="21" t="str">
        <f aca="false">IFERROR(IF(Variants!$B256="","","&lt;p&gt;"&amp;VLOOKUP(Variants!$B256,Designs!$A$3:$AP$165,9,FALSE())&amp;"&lt;/p&gt;"),"")</f>
        <v>&lt;p&gt;Bird letters are an ornamental medieval Armenian script where each letter is formed from stylised birds, used in illuminated manuscripts.&lt;/p&gt;</v>
      </c>
      <c r="D255" s="21" t="str">
        <f aca="false">IF(Variants!$B256="","","Karni Jewellery")</f>
        <v>Karni Jewellery</v>
      </c>
      <c r="E255" s="21" t="str">
        <f aca="false">IF(Variants!$B256="","","Apparel &amp; Accessories &gt; Jewelry")</f>
        <v>Apparel &amp; Accessories &gt; Jewelry</v>
      </c>
      <c r="F255" s="21" t="str">
        <f aca="false">IF(Variants!$D256="","",Variants!$D256)</f>
        <v>Brooch</v>
      </c>
      <c r="G255" s="21" t="str">
        <f aca="false">IF(Variants!$E256="","",Variants!$E256&amp;", Armenian jewellery, handmade")</f>
        <v>Alphabet, Armenian jewellery, handmade</v>
      </c>
      <c r="H255" s="21" t="str">
        <f aca="false">IF(Variants!$AD256="Active","TRUE","FALSE")</f>
        <v>TRUE</v>
      </c>
      <c r="I255" s="21" t="str">
        <f aca="false">IF(Variants!$H256="","","Color")</f>
        <v>Color</v>
      </c>
      <c r="J255" s="21" t="str">
        <f aca="false">IF(Variants!$H256="","",Variants!$H256)</f>
        <v>turquoise</v>
      </c>
      <c r="K255" s="21" t="str">
        <f aca="false">IF(Variants!$G256="","","Size")</f>
        <v/>
      </c>
      <c r="L255" s="21" t="str">
        <f aca="false">IF(Variants!$G256="","",Variants!$G256)</f>
        <v/>
      </c>
      <c r="M255" s="21" t="str">
        <f aca="false">Variants!$A256</f>
        <v>KARNI-BRCH-ALPHA-PEH-TURQUOISE</v>
      </c>
      <c r="N255" s="21" t="str">
        <f aca="false">IF(Variants!$X256="","",Variants!$X256)</f>
        <v/>
      </c>
      <c r="O255" s="21" t="n">
        <f aca="false">IF(Variants!$O256="","",Variants!$O256)</f>
        <v>0</v>
      </c>
      <c r="P255" s="18" t="n">
        <f aca="false">IF(Variants!$J256="","",Variants!$J256)</f>
        <v>65</v>
      </c>
      <c r="Q255" s="21" t="str">
        <f aca="false">IF(Variants!$U256="","",Variants!$U256)</f>
        <v/>
      </c>
      <c r="R255" s="21" t="str">
        <f aca="false">IF(Variants!$Y256="","",Variants!$Y256)</f>
        <v/>
      </c>
      <c r="S255" s="21" t="n">
        <f aca="false">IFERROR(VLOOKUP(Variants!$B256,Designs!$A$3:$AP$165,37,FALSE()),"")</f>
        <v>0</v>
      </c>
      <c r="T255" s="21" t="str">
        <f aca="false">IFERROR(VLOOKUP(Variants!$B256,Designs!$A$3:$AP$165,38,FALSE()),"")</f>
        <v>No</v>
      </c>
      <c r="U255" s="21" t="str">
        <f aca="false">IF(Variants!$AD256="Active","active","draft")</f>
        <v>active</v>
      </c>
    </row>
    <row r="256" customFormat="false" ht="15.75" hidden="false" customHeight="true" outlineLevel="0" collapsed="false">
      <c r="A256" s="21" t="str">
        <f aca="false">IF(Variants!$B257="","",LOWER(Variants!$B257))</f>
        <v>dsgn-brch-alpha-jheh</v>
      </c>
      <c r="B256" s="21" t="str">
        <f aca="false">IF(Variants!$B257="","",Variants!$C257&amp;IF(Variants!$F257="",""," "&amp;Variants!$F257))</f>
        <v>Bird Letter Brooch Ջ</v>
      </c>
      <c r="C256" s="21" t="str">
        <f aca="false">IFERROR(IF(Variants!$B257="","","&lt;p&gt;"&amp;VLOOKUP(Variants!$B257,Designs!$A$3:$AP$165,9,FALSE())&amp;"&lt;/p&gt;"),"")</f>
        <v>&lt;p&gt;Bird letters are an ornamental medieval Armenian script where each letter is formed from stylised birds, used in illuminated manuscripts.&lt;/p&gt;</v>
      </c>
      <c r="D256" s="21" t="str">
        <f aca="false">IF(Variants!$B257="","","Karni Jewellery")</f>
        <v>Karni Jewellery</v>
      </c>
      <c r="E256" s="21" t="str">
        <f aca="false">IF(Variants!$B257="","","Apparel &amp; Accessories &gt; Jewelry")</f>
        <v>Apparel &amp; Accessories &gt; Jewelry</v>
      </c>
      <c r="F256" s="21" t="str">
        <f aca="false">IF(Variants!$D257="","",Variants!$D257)</f>
        <v>Brooch</v>
      </c>
      <c r="G256" s="21" t="str">
        <f aca="false">IF(Variants!$E257="","",Variants!$E257&amp;", Armenian jewellery, handmade")</f>
        <v>Alphabet, Armenian jewellery, handmade</v>
      </c>
      <c r="H256" s="21" t="str">
        <f aca="false">IF(Variants!$AD257="Active","TRUE","FALSE")</f>
        <v>TRUE</v>
      </c>
      <c r="I256" s="21" t="str">
        <f aca="false">IF(Variants!$H257="","","Color")</f>
        <v>Color</v>
      </c>
      <c r="J256" s="21" t="str">
        <f aca="false">IF(Variants!$H257="","",Variants!$H257)</f>
        <v>turquoise</v>
      </c>
      <c r="K256" s="21" t="str">
        <f aca="false">IF(Variants!$G257="","","Size")</f>
        <v/>
      </c>
      <c r="L256" s="21" t="str">
        <f aca="false">IF(Variants!$G257="","",Variants!$G257)</f>
        <v/>
      </c>
      <c r="M256" s="21" t="str">
        <f aca="false">Variants!$A257</f>
        <v>KARNI-BRCH-ALPHA-JHEH-TURQUOISE</v>
      </c>
      <c r="N256" s="21" t="str">
        <f aca="false">IF(Variants!$X257="","",Variants!$X257)</f>
        <v/>
      </c>
      <c r="O256" s="21" t="n">
        <f aca="false">IF(Variants!$O257="","",Variants!$O257)</f>
        <v>0</v>
      </c>
      <c r="P256" s="18" t="n">
        <f aca="false">IF(Variants!$J257="","",Variants!$J257)</f>
        <v>65</v>
      </c>
      <c r="Q256" s="21" t="str">
        <f aca="false">IF(Variants!$U257="","",Variants!$U257)</f>
        <v/>
      </c>
      <c r="R256" s="21" t="str">
        <f aca="false">IF(Variants!$Y257="","",Variants!$Y257)</f>
        <v/>
      </c>
      <c r="S256" s="21" t="n">
        <f aca="false">IFERROR(VLOOKUP(Variants!$B257,Designs!$A$3:$AP$165,37,FALSE()),"")</f>
        <v>0</v>
      </c>
      <c r="T256" s="21" t="str">
        <f aca="false">IFERROR(VLOOKUP(Variants!$B257,Designs!$A$3:$AP$165,38,FALSE()),"")</f>
        <v>No</v>
      </c>
      <c r="U256" s="21" t="str">
        <f aca="false">IF(Variants!$AD257="Active","active","draft")</f>
        <v>active</v>
      </c>
    </row>
    <row r="257" customFormat="false" ht="15.75" hidden="false" customHeight="true" outlineLevel="0" collapsed="false">
      <c r="A257" s="21" t="str">
        <f aca="false">IF(Variants!$B258="","",LOWER(Variants!$B258))</f>
        <v>dsgn-brch-alpha-ra</v>
      </c>
      <c r="B257" s="21" t="str">
        <f aca="false">IF(Variants!$B258="","",Variants!$C258&amp;IF(Variants!$F258="",""," "&amp;Variants!$F258))</f>
        <v>Bird Letter Brooch Ռ</v>
      </c>
      <c r="C257" s="21" t="str">
        <f aca="false">IFERROR(IF(Variants!$B258="","","&lt;p&gt;"&amp;VLOOKUP(Variants!$B258,Designs!$A$3:$AP$165,9,FALSE())&amp;"&lt;/p&gt;"),"")</f>
        <v>&lt;p&gt;Bird letters are an ornamental medieval Armenian script where each letter is formed from stylised birds, used in illuminated manuscripts.&lt;/p&gt;</v>
      </c>
      <c r="D257" s="21" t="str">
        <f aca="false">IF(Variants!$B258="","","Karni Jewellery")</f>
        <v>Karni Jewellery</v>
      </c>
      <c r="E257" s="21" t="str">
        <f aca="false">IF(Variants!$B258="","","Apparel &amp; Accessories &gt; Jewelry")</f>
        <v>Apparel &amp; Accessories &gt; Jewelry</v>
      </c>
      <c r="F257" s="21" t="str">
        <f aca="false">IF(Variants!$D258="","",Variants!$D258)</f>
        <v>Brooch</v>
      </c>
      <c r="G257" s="21" t="str">
        <f aca="false">IF(Variants!$E258="","",Variants!$E258&amp;", Armenian jewellery, handmade")</f>
        <v>Alphabet, Armenian jewellery, handmade</v>
      </c>
      <c r="H257" s="21" t="str">
        <f aca="false">IF(Variants!$AD258="Active","TRUE","FALSE")</f>
        <v>TRUE</v>
      </c>
      <c r="I257" s="21" t="str">
        <f aca="false">IF(Variants!$H258="","","Color")</f>
        <v>Color</v>
      </c>
      <c r="J257" s="21" t="str">
        <f aca="false">IF(Variants!$H258="","",Variants!$H258)</f>
        <v>turquoise</v>
      </c>
      <c r="K257" s="21" t="str">
        <f aca="false">IF(Variants!$G258="","","Size")</f>
        <v/>
      </c>
      <c r="L257" s="21" t="str">
        <f aca="false">IF(Variants!$G258="","",Variants!$G258)</f>
        <v/>
      </c>
      <c r="M257" s="21" t="str">
        <f aca="false">Variants!$A258</f>
        <v>KARNI-BRCH-ALPHA-RA-TURQUOISE</v>
      </c>
      <c r="N257" s="21" t="str">
        <f aca="false">IF(Variants!$X258="","",Variants!$X258)</f>
        <v/>
      </c>
      <c r="O257" s="21" t="n">
        <f aca="false">IF(Variants!$O258="","",Variants!$O258)</f>
        <v>0</v>
      </c>
      <c r="P257" s="18" t="n">
        <f aca="false">IF(Variants!$J258="","",Variants!$J258)</f>
        <v>65</v>
      </c>
      <c r="Q257" s="21" t="str">
        <f aca="false">IF(Variants!$U258="","",Variants!$U258)</f>
        <v/>
      </c>
      <c r="R257" s="21" t="str">
        <f aca="false">IF(Variants!$Y258="","",Variants!$Y258)</f>
        <v/>
      </c>
      <c r="S257" s="21" t="n">
        <f aca="false">IFERROR(VLOOKUP(Variants!$B258,Designs!$A$3:$AP$165,37,FALSE()),"")</f>
        <v>0</v>
      </c>
      <c r="T257" s="21" t="str">
        <f aca="false">IFERROR(VLOOKUP(Variants!$B258,Designs!$A$3:$AP$165,38,FALSE()),"")</f>
        <v>No</v>
      </c>
      <c r="U257" s="21" t="str">
        <f aca="false">IF(Variants!$AD258="Active","active","draft")</f>
        <v>active</v>
      </c>
    </row>
    <row r="258" customFormat="false" ht="15.75" hidden="false" customHeight="true" outlineLevel="0" collapsed="false">
      <c r="A258" s="21" t="str">
        <f aca="false">IF(Variants!$B259="","",LOWER(Variants!$B259))</f>
        <v>dsgn-brch-alpha-seh</v>
      </c>
      <c r="B258" s="21" t="str">
        <f aca="false">IF(Variants!$B259="","",Variants!$C259&amp;IF(Variants!$F259="",""," "&amp;Variants!$F259))</f>
        <v>Bird Letter Brooch Ս</v>
      </c>
      <c r="C258" s="21" t="str">
        <f aca="false">IFERROR(IF(Variants!$B259="","","&lt;p&gt;"&amp;VLOOKUP(Variants!$B259,Designs!$A$3:$AP$165,9,FALSE())&amp;"&lt;/p&gt;"),"")</f>
        <v>&lt;p&gt;Bird letters are an ornamental medieval Armenian script where each letter is formed from stylised birds, used in illuminated manuscripts.&lt;/p&gt;</v>
      </c>
      <c r="D258" s="21" t="str">
        <f aca="false">IF(Variants!$B259="","","Karni Jewellery")</f>
        <v>Karni Jewellery</v>
      </c>
      <c r="E258" s="21" t="str">
        <f aca="false">IF(Variants!$B259="","","Apparel &amp; Accessories &gt; Jewelry")</f>
        <v>Apparel &amp; Accessories &gt; Jewelry</v>
      </c>
      <c r="F258" s="21" t="str">
        <f aca="false">IF(Variants!$D259="","",Variants!$D259)</f>
        <v>Brooch</v>
      </c>
      <c r="G258" s="21" t="str">
        <f aca="false">IF(Variants!$E259="","",Variants!$E259&amp;", Armenian jewellery, handmade")</f>
        <v>Alphabet, Armenian jewellery, handmade</v>
      </c>
      <c r="H258" s="21" t="str">
        <f aca="false">IF(Variants!$AD259="Active","TRUE","FALSE")</f>
        <v>TRUE</v>
      </c>
      <c r="I258" s="21" t="str">
        <f aca="false">IF(Variants!$H259="","","Color")</f>
        <v>Color</v>
      </c>
      <c r="J258" s="21" t="str">
        <f aca="false">IF(Variants!$H259="","",Variants!$H259)</f>
        <v>turquoise</v>
      </c>
      <c r="K258" s="21" t="str">
        <f aca="false">IF(Variants!$G259="","","Size")</f>
        <v/>
      </c>
      <c r="L258" s="21" t="str">
        <f aca="false">IF(Variants!$G259="","",Variants!$G259)</f>
        <v/>
      </c>
      <c r="M258" s="21" t="str">
        <f aca="false">Variants!$A259</f>
        <v>KARNI-BRCH-ALPHA-SEH-TURQUOISE</v>
      </c>
      <c r="N258" s="21" t="str">
        <f aca="false">IF(Variants!$X259="","",Variants!$X259)</f>
        <v/>
      </c>
      <c r="O258" s="21" t="n">
        <f aca="false">IF(Variants!$O259="","",Variants!$O259)</f>
        <v>0</v>
      </c>
      <c r="P258" s="18" t="n">
        <f aca="false">IF(Variants!$J259="","",Variants!$J259)</f>
        <v>65</v>
      </c>
      <c r="Q258" s="21" t="str">
        <f aca="false">IF(Variants!$U259="","",Variants!$U259)</f>
        <v/>
      </c>
      <c r="R258" s="21" t="str">
        <f aca="false">IF(Variants!$Y259="","",Variants!$Y259)</f>
        <v/>
      </c>
      <c r="S258" s="21" t="n">
        <f aca="false">IFERROR(VLOOKUP(Variants!$B259,Designs!$A$3:$AP$165,37,FALSE()),"")</f>
        <v>0</v>
      </c>
      <c r="T258" s="21" t="str">
        <f aca="false">IFERROR(VLOOKUP(Variants!$B259,Designs!$A$3:$AP$165,38,FALSE()),"")</f>
        <v>No</v>
      </c>
      <c r="U258" s="21" t="str">
        <f aca="false">IF(Variants!$AD259="Active","active","draft")</f>
        <v>active</v>
      </c>
    </row>
    <row r="259" customFormat="false" ht="15.75" hidden="false" customHeight="true" outlineLevel="0" collapsed="false">
      <c r="A259" s="21" t="str">
        <f aca="false">IF(Variants!$B260="","",LOWER(Variants!$B260))</f>
        <v>dsgn-brch-alpha-vev</v>
      </c>
      <c r="B259" s="21" t="str">
        <f aca="false">IF(Variants!$B260="","",Variants!$C260&amp;IF(Variants!$F260="",""," "&amp;Variants!$F260))</f>
        <v>Bird Letter Brooch Վ</v>
      </c>
      <c r="C259" s="21" t="str">
        <f aca="false">IFERROR(IF(Variants!$B260="","","&lt;p&gt;"&amp;VLOOKUP(Variants!$B260,Designs!$A$3:$AP$165,9,FALSE())&amp;"&lt;/p&gt;"),"")</f>
        <v>&lt;p&gt;Bird letters are an ornamental medieval Armenian script where each letter is formed from stylised birds, used in illuminated manuscripts.&lt;/p&gt;</v>
      </c>
      <c r="D259" s="21" t="str">
        <f aca="false">IF(Variants!$B260="","","Karni Jewellery")</f>
        <v>Karni Jewellery</v>
      </c>
      <c r="E259" s="21" t="str">
        <f aca="false">IF(Variants!$B260="","","Apparel &amp; Accessories &gt; Jewelry")</f>
        <v>Apparel &amp; Accessories &gt; Jewelry</v>
      </c>
      <c r="F259" s="21" t="str">
        <f aca="false">IF(Variants!$D260="","",Variants!$D260)</f>
        <v>Brooch</v>
      </c>
      <c r="G259" s="21" t="str">
        <f aca="false">IF(Variants!$E260="","",Variants!$E260&amp;", Armenian jewellery, handmade")</f>
        <v>Alphabet, Armenian jewellery, handmade</v>
      </c>
      <c r="H259" s="21" t="str">
        <f aca="false">IF(Variants!$AD260="Active","TRUE","FALSE")</f>
        <v>TRUE</v>
      </c>
      <c r="I259" s="21" t="str">
        <f aca="false">IF(Variants!$H260="","","Color")</f>
        <v>Color</v>
      </c>
      <c r="J259" s="21" t="str">
        <f aca="false">IF(Variants!$H260="","",Variants!$H260)</f>
        <v>turquoise</v>
      </c>
      <c r="K259" s="21" t="str">
        <f aca="false">IF(Variants!$G260="","","Size")</f>
        <v/>
      </c>
      <c r="L259" s="21" t="str">
        <f aca="false">IF(Variants!$G260="","",Variants!$G260)</f>
        <v/>
      </c>
      <c r="M259" s="21" t="str">
        <f aca="false">Variants!$A260</f>
        <v>KARNI-BRCH-ALPHA-VEV-TURQUOISE</v>
      </c>
      <c r="N259" s="21" t="str">
        <f aca="false">IF(Variants!$X260="","",Variants!$X260)</f>
        <v/>
      </c>
      <c r="O259" s="21" t="n">
        <f aca="false">IF(Variants!$O260="","",Variants!$O260)</f>
        <v>0</v>
      </c>
      <c r="P259" s="18" t="n">
        <f aca="false">IF(Variants!$J260="","",Variants!$J260)</f>
        <v>65</v>
      </c>
      <c r="Q259" s="21" t="str">
        <f aca="false">IF(Variants!$U260="","",Variants!$U260)</f>
        <v/>
      </c>
      <c r="R259" s="21" t="str">
        <f aca="false">IF(Variants!$Y260="","",Variants!$Y260)</f>
        <v/>
      </c>
      <c r="S259" s="21" t="n">
        <f aca="false">IFERROR(VLOOKUP(Variants!$B260,Designs!$A$3:$AP$165,37,FALSE()),"")</f>
        <v>0</v>
      </c>
      <c r="T259" s="21" t="str">
        <f aca="false">IFERROR(VLOOKUP(Variants!$B260,Designs!$A$3:$AP$165,38,FALSE()),"")</f>
        <v>No</v>
      </c>
      <c r="U259" s="21" t="str">
        <f aca="false">IF(Variants!$AD260="Active","active","draft")</f>
        <v>active</v>
      </c>
    </row>
    <row r="260" customFormat="false" ht="15.75" hidden="false" customHeight="true" outlineLevel="0" collapsed="false">
      <c r="A260" s="21" t="str">
        <f aca="false">IF(Variants!$B261="","",LOWER(Variants!$B261))</f>
        <v>dsgn-brch-alpha-tyun</v>
      </c>
      <c r="B260" s="21" t="str">
        <f aca="false">IF(Variants!$B261="","",Variants!$C261&amp;IF(Variants!$F261="",""," "&amp;Variants!$F261))</f>
        <v>Bird Letter Brooch Տ</v>
      </c>
      <c r="C260" s="21" t="str">
        <f aca="false">IFERROR(IF(Variants!$B261="","","&lt;p&gt;"&amp;VLOOKUP(Variants!$B261,Designs!$A$3:$AP$165,9,FALSE())&amp;"&lt;/p&gt;"),"")</f>
        <v>&lt;p&gt;Bird letters are an ornamental medieval Armenian script where each letter is formed from stylised birds, used in illuminated manuscripts.&lt;/p&gt;</v>
      </c>
      <c r="D260" s="21" t="str">
        <f aca="false">IF(Variants!$B261="","","Karni Jewellery")</f>
        <v>Karni Jewellery</v>
      </c>
      <c r="E260" s="21" t="str">
        <f aca="false">IF(Variants!$B261="","","Apparel &amp; Accessories &gt; Jewelry")</f>
        <v>Apparel &amp; Accessories &gt; Jewelry</v>
      </c>
      <c r="F260" s="21" t="str">
        <f aca="false">IF(Variants!$D261="","",Variants!$D261)</f>
        <v>Brooch</v>
      </c>
      <c r="G260" s="21" t="str">
        <f aca="false">IF(Variants!$E261="","",Variants!$E261&amp;", Armenian jewellery, handmade")</f>
        <v>Alphabet, Armenian jewellery, handmade</v>
      </c>
      <c r="H260" s="21" t="str">
        <f aca="false">IF(Variants!$AD261="Active","TRUE","FALSE")</f>
        <v>TRUE</v>
      </c>
      <c r="I260" s="21" t="str">
        <f aca="false">IF(Variants!$H261="","","Color")</f>
        <v>Color</v>
      </c>
      <c r="J260" s="21" t="str">
        <f aca="false">IF(Variants!$H261="","",Variants!$H261)</f>
        <v>turquoise</v>
      </c>
      <c r="K260" s="21" t="str">
        <f aca="false">IF(Variants!$G261="","","Size")</f>
        <v/>
      </c>
      <c r="L260" s="21" t="str">
        <f aca="false">IF(Variants!$G261="","",Variants!$G261)</f>
        <v/>
      </c>
      <c r="M260" s="21" t="str">
        <f aca="false">Variants!$A261</f>
        <v>KARNI-BRCH-ALPHA-TYUN-TURQUOISE</v>
      </c>
      <c r="N260" s="21" t="str">
        <f aca="false">IF(Variants!$X261="","",Variants!$X261)</f>
        <v/>
      </c>
      <c r="O260" s="21" t="n">
        <f aca="false">IF(Variants!$O261="","",Variants!$O261)</f>
        <v>0</v>
      </c>
      <c r="P260" s="18" t="n">
        <f aca="false">IF(Variants!$J261="","",Variants!$J261)</f>
        <v>65</v>
      </c>
      <c r="Q260" s="21" t="str">
        <f aca="false">IF(Variants!$U261="","",Variants!$U261)</f>
        <v/>
      </c>
      <c r="R260" s="21" t="str">
        <f aca="false">IF(Variants!$Y261="","",Variants!$Y261)</f>
        <v/>
      </c>
      <c r="S260" s="21" t="n">
        <f aca="false">IFERROR(VLOOKUP(Variants!$B261,Designs!$A$3:$AP$165,37,FALSE()),"")</f>
        <v>0</v>
      </c>
      <c r="T260" s="21" t="str">
        <f aca="false">IFERROR(VLOOKUP(Variants!$B261,Designs!$A$3:$AP$165,38,FALSE()),"")</f>
        <v>No</v>
      </c>
      <c r="U260" s="21" t="str">
        <f aca="false">IF(Variants!$AD261="Active","active","draft")</f>
        <v>active</v>
      </c>
    </row>
    <row r="261" customFormat="false" ht="15.75" hidden="false" customHeight="true" outlineLevel="0" collapsed="false">
      <c r="A261" s="21" t="str">
        <f aca="false">IF(Variants!$B262="","",LOWER(Variants!$B262))</f>
        <v>dsgn-brch-alpha-reh</v>
      </c>
      <c r="B261" s="21" t="str">
        <f aca="false">IF(Variants!$B262="","",Variants!$C262&amp;IF(Variants!$F262="",""," "&amp;Variants!$F262))</f>
        <v>Bird Letter Brooch Ր</v>
      </c>
      <c r="C261" s="21" t="str">
        <f aca="false">IFERROR(IF(Variants!$B262="","","&lt;p&gt;"&amp;VLOOKUP(Variants!$B262,Designs!$A$3:$AP$165,9,FALSE())&amp;"&lt;/p&gt;"),"")</f>
        <v>&lt;p&gt;Bird letters are an ornamental medieval Armenian script where each letter is formed from stylised birds, used in illuminated manuscripts.&lt;/p&gt;</v>
      </c>
      <c r="D261" s="21" t="str">
        <f aca="false">IF(Variants!$B262="","","Karni Jewellery")</f>
        <v>Karni Jewellery</v>
      </c>
      <c r="E261" s="21" t="str">
        <f aca="false">IF(Variants!$B262="","","Apparel &amp; Accessories &gt; Jewelry")</f>
        <v>Apparel &amp; Accessories &gt; Jewelry</v>
      </c>
      <c r="F261" s="21" t="str">
        <f aca="false">IF(Variants!$D262="","",Variants!$D262)</f>
        <v>Brooch</v>
      </c>
      <c r="G261" s="21" t="str">
        <f aca="false">IF(Variants!$E262="","",Variants!$E262&amp;", Armenian jewellery, handmade")</f>
        <v>Alphabet, Armenian jewellery, handmade</v>
      </c>
      <c r="H261" s="21" t="str">
        <f aca="false">IF(Variants!$AD262="Active","TRUE","FALSE")</f>
        <v>TRUE</v>
      </c>
      <c r="I261" s="21" t="str">
        <f aca="false">IF(Variants!$H262="","","Color")</f>
        <v>Color</v>
      </c>
      <c r="J261" s="21" t="str">
        <f aca="false">IF(Variants!$H262="","",Variants!$H262)</f>
        <v>turquoise</v>
      </c>
      <c r="K261" s="21" t="str">
        <f aca="false">IF(Variants!$G262="","","Size")</f>
        <v/>
      </c>
      <c r="L261" s="21" t="str">
        <f aca="false">IF(Variants!$G262="","",Variants!$G262)</f>
        <v/>
      </c>
      <c r="M261" s="21" t="str">
        <f aca="false">Variants!$A262</f>
        <v>KARNI-BRCH-ALPHA-REH-TURQUOISE</v>
      </c>
      <c r="N261" s="21" t="str">
        <f aca="false">IF(Variants!$X262="","",Variants!$X262)</f>
        <v/>
      </c>
      <c r="O261" s="21" t="n">
        <f aca="false">IF(Variants!$O262="","",Variants!$O262)</f>
        <v>0</v>
      </c>
      <c r="P261" s="18" t="n">
        <f aca="false">IF(Variants!$J262="","",Variants!$J262)</f>
        <v>65</v>
      </c>
      <c r="Q261" s="21" t="str">
        <f aca="false">IF(Variants!$U262="","",Variants!$U262)</f>
        <v/>
      </c>
      <c r="R261" s="21" t="str">
        <f aca="false">IF(Variants!$Y262="","",Variants!$Y262)</f>
        <v/>
      </c>
      <c r="S261" s="21" t="n">
        <f aca="false">IFERROR(VLOOKUP(Variants!$B262,Designs!$A$3:$AP$165,37,FALSE()),"")</f>
        <v>0</v>
      </c>
      <c r="T261" s="21" t="str">
        <f aca="false">IFERROR(VLOOKUP(Variants!$B262,Designs!$A$3:$AP$165,38,FALSE()),"")</f>
        <v>No</v>
      </c>
      <c r="U261" s="21" t="str">
        <f aca="false">IF(Variants!$AD262="Active","active","draft")</f>
        <v>active</v>
      </c>
    </row>
    <row r="262" customFormat="false" ht="15.75" hidden="false" customHeight="true" outlineLevel="0" collapsed="false">
      <c r="A262" s="21" t="str">
        <f aca="false">IF(Variants!$B263="","",LOWER(Variants!$B263))</f>
        <v>dsgn-brch-alpha-tso</v>
      </c>
      <c r="B262" s="21" t="str">
        <f aca="false">IF(Variants!$B263="","",Variants!$C263&amp;IF(Variants!$F263="",""," "&amp;Variants!$F263))</f>
        <v>Bird Letter Brooch Ց</v>
      </c>
      <c r="C262" s="21" t="str">
        <f aca="false">IFERROR(IF(Variants!$B263="","","&lt;p&gt;"&amp;VLOOKUP(Variants!$B263,Designs!$A$3:$AP$165,9,FALSE())&amp;"&lt;/p&gt;"),"")</f>
        <v>&lt;p&gt;Bird letters are an ornamental medieval Armenian script where each letter is formed from stylised birds, used in illuminated manuscripts.&lt;/p&gt;</v>
      </c>
      <c r="D262" s="21" t="str">
        <f aca="false">IF(Variants!$B263="","","Karni Jewellery")</f>
        <v>Karni Jewellery</v>
      </c>
      <c r="E262" s="21" t="str">
        <f aca="false">IF(Variants!$B263="","","Apparel &amp; Accessories &gt; Jewelry")</f>
        <v>Apparel &amp; Accessories &gt; Jewelry</v>
      </c>
      <c r="F262" s="21" t="str">
        <f aca="false">IF(Variants!$D263="","",Variants!$D263)</f>
        <v>Brooch</v>
      </c>
      <c r="G262" s="21" t="str">
        <f aca="false">IF(Variants!$E263="","",Variants!$E263&amp;", Armenian jewellery, handmade")</f>
        <v>Alphabet, Armenian jewellery, handmade</v>
      </c>
      <c r="H262" s="21" t="str">
        <f aca="false">IF(Variants!$AD263="Active","TRUE","FALSE")</f>
        <v>TRUE</v>
      </c>
      <c r="I262" s="21" t="str">
        <f aca="false">IF(Variants!$H263="","","Color")</f>
        <v>Color</v>
      </c>
      <c r="J262" s="21" t="str">
        <f aca="false">IF(Variants!$H263="","",Variants!$H263)</f>
        <v>turquoise</v>
      </c>
      <c r="K262" s="21" t="str">
        <f aca="false">IF(Variants!$G263="","","Size")</f>
        <v/>
      </c>
      <c r="L262" s="21" t="str">
        <f aca="false">IF(Variants!$G263="","",Variants!$G263)</f>
        <v/>
      </c>
      <c r="M262" s="21" t="str">
        <f aca="false">Variants!$A263</f>
        <v>KARNI-BRCH-ALPHA-TSO-TURQUOISE</v>
      </c>
      <c r="N262" s="21" t="str">
        <f aca="false">IF(Variants!$X263="","",Variants!$X263)</f>
        <v/>
      </c>
      <c r="O262" s="21" t="n">
        <f aca="false">IF(Variants!$O263="","",Variants!$O263)</f>
        <v>0</v>
      </c>
      <c r="P262" s="18" t="n">
        <f aca="false">IF(Variants!$J263="","",Variants!$J263)</f>
        <v>65</v>
      </c>
      <c r="Q262" s="21" t="str">
        <f aca="false">IF(Variants!$U263="","",Variants!$U263)</f>
        <v/>
      </c>
      <c r="R262" s="21" t="str">
        <f aca="false">IF(Variants!$Y263="","",Variants!$Y263)</f>
        <v/>
      </c>
      <c r="S262" s="21" t="n">
        <f aca="false">IFERROR(VLOOKUP(Variants!$B263,Designs!$A$3:$AP$165,37,FALSE()),"")</f>
        <v>0</v>
      </c>
      <c r="T262" s="21" t="str">
        <f aca="false">IFERROR(VLOOKUP(Variants!$B263,Designs!$A$3:$AP$165,38,FALSE()),"")</f>
        <v>No</v>
      </c>
      <c r="U262" s="21" t="str">
        <f aca="false">IF(Variants!$AD263="Active","active","draft")</f>
        <v>active</v>
      </c>
    </row>
    <row r="263" customFormat="false" ht="15.75" hidden="false" customHeight="true" outlineLevel="0" collapsed="false">
      <c r="A263" s="21" t="str">
        <f aca="false">IF(Variants!$B264="","",LOWER(Variants!$B264))</f>
        <v>dsgn-brch-alpha-vyun</v>
      </c>
      <c r="B263" s="21" t="str">
        <f aca="false">IF(Variants!$B264="","",Variants!$C264&amp;IF(Variants!$F264="",""," "&amp;Variants!$F264))</f>
        <v>Bird Letter Brooch Ւ</v>
      </c>
      <c r="C263" s="21" t="str">
        <f aca="false">IFERROR(IF(Variants!$B264="","","&lt;p&gt;"&amp;VLOOKUP(Variants!$B264,Designs!$A$3:$AP$165,9,FALSE())&amp;"&lt;/p&gt;"),"")</f>
        <v>&lt;p&gt;Bird letters are an ornamental medieval Armenian script where each letter is formed from stylised birds, used in illuminated manuscripts.&lt;/p&gt;</v>
      </c>
      <c r="D263" s="21" t="str">
        <f aca="false">IF(Variants!$B264="","","Karni Jewellery")</f>
        <v>Karni Jewellery</v>
      </c>
      <c r="E263" s="21" t="str">
        <f aca="false">IF(Variants!$B264="","","Apparel &amp; Accessories &gt; Jewelry")</f>
        <v>Apparel &amp; Accessories &gt; Jewelry</v>
      </c>
      <c r="F263" s="21" t="str">
        <f aca="false">IF(Variants!$D264="","",Variants!$D264)</f>
        <v>Brooch</v>
      </c>
      <c r="G263" s="21" t="str">
        <f aca="false">IF(Variants!$E264="","",Variants!$E264&amp;", Armenian jewellery, handmade")</f>
        <v>Alphabet, Armenian jewellery, handmade</v>
      </c>
      <c r="H263" s="21" t="str">
        <f aca="false">IF(Variants!$AD264="Active","TRUE","FALSE")</f>
        <v>TRUE</v>
      </c>
      <c r="I263" s="21" t="str">
        <f aca="false">IF(Variants!$H264="","","Color")</f>
        <v>Color</v>
      </c>
      <c r="J263" s="21" t="str">
        <f aca="false">IF(Variants!$H264="","",Variants!$H264)</f>
        <v>turquoise</v>
      </c>
      <c r="K263" s="21" t="str">
        <f aca="false">IF(Variants!$G264="","","Size")</f>
        <v/>
      </c>
      <c r="L263" s="21" t="str">
        <f aca="false">IF(Variants!$G264="","",Variants!$G264)</f>
        <v/>
      </c>
      <c r="M263" s="21" t="str">
        <f aca="false">Variants!$A264</f>
        <v>KARNI-BRCH-ALPHA-VYUN-TURQUOISE</v>
      </c>
      <c r="N263" s="21" t="str">
        <f aca="false">IF(Variants!$X264="","",Variants!$X264)</f>
        <v/>
      </c>
      <c r="O263" s="21" t="n">
        <f aca="false">IF(Variants!$O264="","",Variants!$O264)</f>
        <v>0</v>
      </c>
      <c r="P263" s="18" t="n">
        <f aca="false">IF(Variants!$J264="","",Variants!$J264)</f>
        <v>65</v>
      </c>
      <c r="Q263" s="21" t="str">
        <f aca="false">IF(Variants!$U264="","",Variants!$U264)</f>
        <v/>
      </c>
      <c r="R263" s="21" t="str">
        <f aca="false">IF(Variants!$Y264="","",Variants!$Y264)</f>
        <v/>
      </c>
      <c r="S263" s="21" t="n">
        <f aca="false">IFERROR(VLOOKUP(Variants!$B264,Designs!$A$3:$AP$165,37,FALSE()),"")</f>
        <v>0</v>
      </c>
      <c r="T263" s="21" t="str">
        <f aca="false">IFERROR(VLOOKUP(Variants!$B264,Designs!$A$3:$AP$165,38,FALSE()),"")</f>
        <v>No</v>
      </c>
      <c r="U263" s="21" t="str">
        <f aca="false">IF(Variants!$AD264="Active","active","draft")</f>
        <v>active</v>
      </c>
    </row>
    <row r="264" customFormat="false" ht="15.75" hidden="false" customHeight="true" outlineLevel="0" collapsed="false">
      <c r="A264" s="21" t="str">
        <f aca="false">IF(Variants!$B265="","",LOWER(Variants!$B265))</f>
        <v>dsgn-brch-alpha-pyur</v>
      </c>
      <c r="B264" s="21" t="str">
        <f aca="false">IF(Variants!$B265="","",Variants!$C265&amp;IF(Variants!$F265="",""," "&amp;Variants!$F265))</f>
        <v>Bird Letter Brooch Փ</v>
      </c>
      <c r="C264" s="21" t="str">
        <f aca="false">IFERROR(IF(Variants!$B265="","","&lt;p&gt;"&amp;VLOOKUP(Variants!$B265,Designs!$A$3:$AP$165,9,FALSE())&amp;"&lt;/p&gt;"),"")</f>
        <v>&lt;p&gt;Bird letters are an ornamental medieval Armenian script where each letter is formed from stylised birds, used in illuminated manuscripts.&lt;/p&gt;</v>
      </c>
      <c r="D264" s="21" t="str">
        <f aca="false">IF(Variants!$B265="","","Karni Jewellery")</f>
        <v>Karni Jewellery</v>
      </c>
      <c r="E264" s="21" t="str">
        <f aca="false">IF(Variants!$B265="","","Apparel &amp; Accessories &gt; Jewelry")</f>
        <v>Apparel &amp; Accessories &gt; Jewelry</v>
      </c>
      <c r="F264" s="21" t="str">
        <f aca="false">IF(Variants!$D265="","",Variants!$D265)</f>
        <v>Brooch</v>
      </c>
      <c r="G264" s="21" t="str">
        <f aca="false">IF(Variants!$E265="","",Variants!$E265&amp;", Armenian jewellery, handmade")</f>
        <v>Alphabet, Armenian jewellery, handmade</v>
      </c>
      <c r="H264" s="21" t="str">
        <f aca="false">IF(Variants!$AD265="Active","TRUE","FALSE")</f>
        <v>TRUE</v>
      </c>
      <c r="I264" s="21" t="str">
        <f aca="false">IF(Variants!$H265="","","Color")</f>
        <v>Color</v>
      </c>
      <c r="J264" s="21" t="str">
        <f aca="false">IF(Variants!$H265="","",Variants!$H265)</f>
        <v>turquoise</v>
      </c>
      <c r="K264" s="21" t="str">
        <f aca="false">IF(Variants!$G265="","","Size")</f>
        <v/>
      </c>
      <c r="L264" s="21" t="str">
        <f aca="false">IF(Variants!$G265="","",Variants!$G265)</f>
        <v/>
      </c>
      <c r="M264" s="21" t="str">
        <f aca="false">Variants!$A265</f>
        <v>KARNI-BRCH-ALPHA-PYUR-TURQUOISE</v>
      </c>
      <c r="N264" s="21" t="str">
        <f aca="false">IF(Variants!$X265="","",Variants!$X265)</f>
        <v/>
      </c>
      <c r="O264" s="21" t="n">
        <f aca="false">IF(Variants!$O265="","",Variants!$O265)</f>
        <v>0</v>
      </c>
      <c r="P264" s="18" t="n">
        <f aca="false">IF(Variants!$J265="","",Variants!$J265)</f>
        <v>65</v>
      </c>
      <c r="Q264" s="21" t="str">
        <f aca="false">IF(Variants!$U265="","",Variants!$U265)</f>
        <v/>
      </c>
      <c r="R264" s="21" t="str">
        <f aca="false">IF(Variants!$Y265="","",Variants!$Y265)</f>
        <v/>
      </c>
      <c r="S264" s="21" t="n">
        <f aca="false">IFERROR(VLOOKUP(Variants!$B265,Designs!$A$3:$AP$165,37,FALSE()),"")</f>
        <v>0</v>
      </c>
      <c r="T264" s="21" t="str">
        <f aca="false">IFERROR(VLOOKUP(Variants!$B265,Designs!$A$3:$AP$165,38,FALSE()),"")</f>
        <v>No</v>
      </c>
      <c r="U264" s="21" t="str">
        <f aca="false">IF(Variants!$AD265="Active","active","draft")</f>
        <v>active</v>
      </c>
    </row>
    <row r="265" customFormat="false" ht="15.75" hidden="false" customHeight="true" outlineLevel="0" collapsed="false">
      <c r="A265" s="21" t="str">
        <f aca="false">IF(Variants!$B266="","",LOWER(Variants!$B266))</f>
        <v>dsgn-brch-alpha-qeh</v>
      </c>
      <c r="B265" s="21" t="str">
        <f aca="false">IF(Variants!$B266="","",Variants!$C266&amp;IF(Variants!$F266="",""," "&amp;Variants!$F266))</f>
        <v>Bird Letter Brooch Ք</v>
      </c>
      <c r="C265" s="21" t="str">
        <f aca="false">IFERROR(IF(Variants!$B266="","","&lt;p&gt;"&amp;VLOOKUP(Variants!$B266,Designs!$A$3:$AP$165,9,FALSE())&amp;"&lt;/p&gt;"),"")</f>
        <v>&lt;p&gt;Bird letters are an ornamental medieval Armenian script where each letter is formed from stylised birds, used in illuminated manuscripts.&lt;/p&gt;</v>
      </c>
      <c r="D265" s="21" t="str">
        <f aca="false">IF(Variants!$B266="","","Karni Jewellery")</f>
        <v>Karni Jewellery</v>
      </c>
      <c r="E265" s="21" t="str">
        <f aca="false">IF(Variants!$B266="","","Apparel &amp; Accessories &gt; Jewelry")</f>
        <v>Apparel &amp; Accessories &gt; Jewelry</v>
      </c>
      <c r="F265" s="21" t="str">
        <f aca="false">IF(Variants!$D266="","",Variants!$D266)</f>
        <v>Brooch</v>
      </c>
      <c r="G265" s="21" t="str">
        <f aca="false">IF(Variants!$E266="","",Variants!$E266&amp;", Armenian jewellery, handmade")</f>
        <v>Alphabet, Armenian jewellery, handmade</v>
      </c>
      <c r="H265" s="21" t="str">
        <f aca="false">IF(Variants!$AD266="Active","TRUE","FALSE")</f>
        <v>TRUE</v>
      </c>
      <c r="I265" s="21" t="str">
        <f aca="false">IF(Variants!$H266="","","Color")</f>
        <v>Color</v>
      </c>
      <c r="J265" s="21" t="str">
        <f aca="false">IF(Variants!$H266="","",Variants!$H266)</f>
        <v>turquoise</v>
      </c>
      <c r="K265" s="21" t="str">
        <f aca="false">IF(Variants!$G266="","","Size")</f>
        <v/>
      </c>
      <c r="L265" s="21" t="str">
        <f aca="false">IF(Variants!$G266="","",Variants!$G266)</f>
        <v/>
      </c>
      <c r="M265" s="21" t="str">
        <f aca="false">Variants!$A266</f>
        <v>KARNI-BRCH-ALPHA-QEH-TURQUOISE</v>
      </c>
      <c r="N265" s="21" t="str">
        <f aca="false">IF(Variants!$X266="","",Variants!$X266)</f>
        <v/>
      </c>
      <c r="O265" s="21" t="n">
        <f aca="false">IF(Variants!$O266="","",Variants!$O266)</f>
        <v>0</v>
      </c>
      <c r="P265" s="18" t="n">
        <f aca="false">IF(Variants!$J266="","",Variants!$J266)</f>
        <v>65</v>
      </c>
      <c r="Q265" s="21" t="str">
        <f aca="false">IF(Variants!$U266="","",Variants!$U266)</f>
        <v/>
      </c>
      <c r="R265" s="21" t="str">
        <f aca="false">IF(Variants!$Y266="","",Variants!$Y266)</f>
        <v/>
      </c>
      <c r="S265" s="21" t="n">
        <f aca="false">IFERROR(VLOOKUP(Variants!$B266,Designs!$A$3:$AP$165,37,FALSE()),"")</f>
        <v>0</v>
      </c>
      <c r="T265" s="21" t="str">
        <f aca="false">IFERROR(VLOOKUP(Variants!$B266,Designs!$A$3:$AP$165,38,FALSE()),"")</f>
        <v>No</v>
      </c>
      <c r="U265" s="21" t="str">
        <f aca="false">IF(Variants!$AD266="Active","active","draft")</f>
        <v>active</v>
      </c>
    </row>
    <row r="266" customFormat="false" ht="15.75" hidden="false" customHeight="true" outlineLevel="0" collapsed="false">
      <c r="A266" s="21" t="str">
        <f aca="false">IF(Variants!$B267="","",LOWER(Variants!$B267))</f>
        <v>dsgn-brch-alpha-oh</v>
      </c>
      <c r="B266" s="21" t="str">
        <f aca="false">IF(Variants!$B267="","",Variants!$C267&amp;IF(Variants!$F267="",""," "&amp;Variants!$F267))</f>
        <v>Bird Letter Brooch Օ</v>
      </c>
      <c r="C266" s="21" t="str">
        <f aca="false">IFERROR(IF(Variants!$B267="","","&lt;p&gt;"&amp;VLOOKUP(Variants!$B267,Designs!$A$3:$AP$165,9,FALSE())&amp;"&lt;/p&gt;"),"")</f>
        <v>&lt;p&gt;Bird letters are an ornamental medieval Armenian script where each letter is formed from stylised birds, used in illuminated manuscripts.&lt;/p&gt;</v>
      </c>
      <c r="D266" s="21" t="str">
        <f aca="false">IF(Variants!$B267="","","Karni Jewellery")</f>
        <v>Karni Jewellery</v>
      </c>
      <c r="E266" s="21" t="str">
        <f aca="false">IF(Variants!$B267="","","Apparel &amp; Accessories &gt; Jewelry")</f>
        <v>Apparel &amp; Accessories &gt; Jewelry</v>
      </c>
      <c r="F266" s="21" t="str">
        <f aca="false">IF(Variants!$D267="","",Variants!$D267)</f>
        <v>Brooch</v>
      </c>
      <c r="G266" s="21" t="str">
        <f aca="false">IF(Variants!$E267="","",Variants!$E267&amp;", Armenian jewellery, handmade")</f>
        <v>Alphabet, Armenian jewellery, handmade</v>
      </c>
      <c r="H266" s="21" t="str">
        <f aca="false">IF(Variants!$AD267="Active","TRUE","FALSE")</f>
        <v>TRUE</v>
      </c>
      <c r="I266" s="21" t="str">
        <f aca="false">IF(Variants!$H267="","","Color")</f>
        <v>Color</v>
      </c>
      <c r="J266" s="21" t="str">
        <f aca="false">IF(Variants!$H267="","",Variants!$H267)</f>
        <v>turquoise</v>
      </c>
      <c r="K266" s="21" t="str">
        <f aca="false">IF(Variants!$G267="","","Size")</f>
        <v/>
      </c>
      <c r="L266" s="21" t="str">
        <f aca="false">IF(Variants!$G267="","",Variants!$G267)</f>
        <v/>
      </c>
      <c r="M266" s="21" t="str">
        <f aca="false">Variants!$A267</f>
        <v>KARNI-BRCH-ALPHA-OH-TURQUOISE</v>
      </c>
      <c r="N266" s="21" t="str">
        <f aca="false">IF(Variants!$X267="","",Variants!$X267)</f>
        <v/>
      </c>
      <c r="O266" s="21" t="n">
        <f aca="false">IF(Variants!$O267="","",Variants!$O267)</f>
        <v>0</v>
      </c>
      <c r="P266" s="18" t="n">
        <f aca="false">IF(Variants!$J267="","",Variants!$J267)</f>
        <v>65</v>
      </c>
      <c r="Q266" s="21" t="str">
        <f aca="false">IF(Variants!$U267="","",Variants!$U267)</f>
        <v/>
      </c>
      <c r="R266" s="21" t="str">
        <f aca="false">IF(Variants!$Y267="","",Variants!$Y267)</f>
        <v/>
      </c>
      <c r="S266" s="21" t="n">
        <f aca="false">IFERROR(VLOOKUP(Variants!$B267,Designs!$A$3:$AP$165,37,FALSE()),"")</f>
        <v>0</v>
      </c>
      <c r="T266" s="21" t="str">
        <f aca="false">IFERROR(VLOOKUP(Variants!$B267,Designs!$A$3:$AP$165,38,FALSE()),"")</f>
        <v>No</v>
      </c>
      <c r="U266" s="21" t="str">
        <f aca="false">IF(Variants!$AD267="Active","active","draft")</f>
        <v>active</v>
      </c>
    </row>
    <row r="267" customFormat="false" ht="15.75" hidden="false" customHeight="true" outlineLevel="0" collapsed="false">
      <c r="A267" s="21" t="str">
        <f aca="false">IF(Variants!$B268="","",LOWER(Variants!$B268))</f>
        <v>dsgn-brch-alpha-feh</v>
      </c>
      <c r="B267" s="21" t="str">
        <f aca="false">IF(Variants!$B268="","",Variants!$C268&amp;IF(Variants!$F268="",""," "&amp;Variants!$F268))</f>
        <v>Bird Letter Brooch Ֆ</v>
      </c>
      <c r="C267" s="21" t="str">
        <f aca="false">IFERROR(IF(Variants!$B268="","","&lt;p&gt;"&amp;VLOOKUP(Variants!$B268,Designs!$A$3:$AP$165,9,FALSE())&amp;"&lt;/p&gt;"),"")</f>
        <v>&lt;p&gt;Bird letters are an ornamental medieval Armenian script where each letter is formed from stylised birds, used in illuminated manuscripts.&lt;/p&gt;</v>
      </c>
      <c r="D267" s="21" t="str">
        <f aca="false">IF(Variants!$B268="","","Karni Jewellery")</f>
        <v>Karni Jewellery</v>
      </c>
      <c r="E267" s="21" t="str">
        <f aca="false">IF(Variants!$B268="","","Apparel &amp; Accessories &gt; Jewelry")</f>
        <v>Apparel &amp; Accessories &gt; Jewelry</v>
      </c>
      <c r="F267" s="21" t="str">
        <f aca="false">IF(Variants!$D268="","",Variants!$D268)</f>
        <v>Brooch</v>
      </c>
      <c r="G267" s="21" t="str">
        <f aca="false">IF(Variants!$E268="","",Variants!$E268&amp;", Armenian jewellery, handmade")</f>
        <v>Alphabet, Armenian jewellery, handmade</v>
      </c>
      <c r="H267" s="21" t="str">
        <f aca="false">IF(Variants!$AD268="Active","TRUE","FALSE")</f>
        <v>TRUE</v>
      </c>
      <c r="I267" s="21" t="str">
        <f aca="false">IF(Variants!$H268="","","Color")</f>
        <v>Color</v>
      </c>
      <c r="J267" s="21" t="str">
        <f aca="false">IF(Variants!$H268="","",Variants!$H268)</f>
        <v>turquoise</v>
      </c>
      <c r="K267" s="21" t="str">
        <f aca="false">IF(Variants!$G268="","","Size")</f>
        <v/>
      </c>
      <c r="L267" s="21" t="str">
        <f aca="false">IF(Variants!$G268="","",Variants!$G268)</f>
        <v/>
      </c>
      <c r="M267" s="21" t="str">
        <f aca="false">Variants!$A268</f>
        <v>KARNI-BRCH-ALPHA-FEH-TURQUOISE</v>
      </c>
      <c r="N267" s="21" t="str">
        <f aca="false">IF(Variants!$X268="","",Variants!$X268)</f>
        <v/>
      </c>
      <c r="O267" s="21" t="n">
        <f aca="false">IF(Variants!$O268="","",Variants!$O268)</f>
        <v>0</v>
      </c>
      <c r="P267" s="18" t="n">
        <f aca="false">IF(Variants!$J268="","",Variants!$J268)</f>
        <v>65</v>
      </c>
      <c r="Q267" s="21" t="str">
        <f aca="false">IF(Variants!$U268="","",Variants!$U268)</f>
        <v/>
      </c>
      <c r="R267" s="21" t="str">
        <f aca="false">IF(Variants!$Y268="","",Variants!$Y268)</f>
        <v/>
      </c>
      <c r="S267" s="21" t="n">
        <f aca="false">IFERROR(VLOOKUP(Variants!$B268,Designs!$A$3:$AP$165,37,FALSE()),"")</f>
        <v>0</v>
      </c>
      <c r="T267" s="21" t="str">
        <f aca="false">IFERROR(VLOOKUP(Variants!$B268,Designs!$A$3:$AP$165,38,FALSE()),"")</f>
        <v>No</v>
      </c>
      <c r="U267" s="21" t="str">
        <f aca="false">IF(Variants!$AD268="Active","active","draft")</f>
        <v>active</v>
      </c>
    </row>
    <row r="268" customFormat="false" ht="15.75" hidden="false" customHeight="true" outlineLevel="0" collapsed="false">
      <c r="A268" s="21" t="str">
        <f aca="false">IF(Variants!$B269="","",LOWER(Variants!$B269))</f>
        <v>dsgn-earrng-marash-s</v>
      </c>
      <c r="B268" s="21" t="str">
        <f aca="false">IF(Variants!$B269="","",Variants!$C269&amp;IF(Variants!$F269="",""," "&amp;Variants!$F269))</f>
        <v>Marash Earrings</v>
      </c>
      <c r="C268" s="21" t="str">
        <f aca="false">IFERROR(IF(Variants!$B269="","","&lt;p&gt;"&amp;VLOOKUP(Variants!$B269,Designs!$A$3:$AP$165,9,FALSE())&amp;"&lt;/p&gt;"),"")</f>
        <v>&lt;p&gt;Marash-work is a distinctive Armenian embroidery style from Cilician Marash, known for its interlaced geometric patterns.&lt;/p&gt;</v>
      </c>
      <c r="D268" s="21" t="str">
        <f aca="false">IF(Variants!$B269="","","Karni Jewellery")</f>
        <v>Karni Jewellery</v>
      </c>
      <c r="E268" s="21" t="str">
        <f aca="false">IF(Variants!$B269="","","Apparel &amp; Accessories &gt; Jewelry")</f>
        <v>Apparel &amp; Accessories &gt; Jewelry</v>
      </c>
      <c r="F268" s="21" t="str">
        <f aca="false">IF(Variants!$D269="","",Variants!$D269)</f>
        <v>Earring</v>
      </c>
      <c r="G268" s="21" t="str">
        <f aca="false">IF(Variants!$E269="","",Variants!$E269&amp;", Armenian jewellery, handmade")</f>
        <v>Marash, Armenian jewellery, handmade</v>
      </c>
      <c r="H268" s="21" t="str">
        <f aca="false">IF(Variants!$AD269="Active","TRUE","FALSE")</f>
        <v>TRUE</v>
      </c>
      <c r="I268" s="21" t="str">
        <f aca="false">IF(Variants!$H269="","","Color")</f>
        <v>Color</v>
      </c>
      <c r="J268" s="21" t="str">
        <f aca="false">IF(Variants!$H269="","",Variants!$H269)</f>
        <v>blue</v>
      </c>
      <c r="K268" s="21" t="str">
        <f aca="false">IF(Variants!$G269="","","Size")</f>
        <v>Size</v>
      </c>
      <c r="L268" s="21" t="str">
        <f aca="false">IF(Variants!$G269="","",Variants!$G269)</f>
        <v>small</v>
      </c>
      <c r="M268" s="21" t="str">
        <f aca="false">Variants!$A269</f>
        <v>KARNI-EARRNG-MARASH-S-BLUE</v>
      </c>
      <c r="N268" s="21" t="str">
        <f aca="false">IF(Variants!$X269="","",Variants!$X269)</f>
        <v/>
      </c>
      <c r="O268" s="21" t="n">
        <f aca="false">IF(Variants!$O269="","",Variants!$O269)</f>
        <v>0</v>
      </c>
      <c r="P268" s="18" t="n">
        <f aca="false">IF(Variants!$J269="","",Variants!$J269)</f>
        <v>33.8</v>
      </c>
      <c r="Q268" s="21" t="str">
        <f aca="false">IF(Variants!$U269="","",Variants!$U269)</f>
        <v/>
      </c>
      <c r="R268" s="21" t="str">
        <f aca="false">IF(Variants!$Y269="","",Variants!$Y269)</f>
        <v/>
      </c>
      <c r="S268" s="21" t="n">
        <f aca="false">IFERROR(VLOOKUP(Variants!$B269,Designs!$A$3:$AP$165,37,FALSE()),"")</f>
        <v>0</v>
      </c>
      <c r="T268" s="21" t="str">
        <f aca="false">IFERROR(VLOOKUP(Variants!$B269,Designs!$A$3:$AP$165,38,FALSE()),"")</f>
        <v>No</v>
      </c>
      <c r="U268" s="21" t="str">
        <f aca="false">IF(Variants!$AD269="Active","active","draft")</f>
        <v>active</v>
      </c>
    </row>
    <row r="269" customFormat="false" ht="15.75" hidden="false" customHeight="true" outlineLevel="0" collapsed="false">
      <c r="A269" s="21" t="str">
        <f aca="false">IF(Variants!$B270="","",LOWER(Variants!$B270))</f>
        <v>dsgn-earrng-marash-s</v>
      </c>
      <c r="B269" s="21" t="str">
        <f aca="false">IF(Variants!$B270="","",Variants!$C270&amp;IF(Variants!$F270="",""," "&amp;Variants!$F270))</f>
        <v>Marash Earrings</v>
      </c>
      <c r="C269" s="21" t="str">
        <f aca="false">IFERROR(IF(Variants!$B270="","","&lt;p&gt;"&amp;VLOOKUP(Variants!$B270,Designs!$A$3:$AP$165,9,FALSE())&amp;"&lt;/p&gt;"),"")</f>
        <v>&lt;p&gt;Marash-work is a distinctive Armenian embroidery style from Cilician Marash, known for its interlaced geometric patterns.&lt;/p&gt;</v>
      </c>
      <c r="D269" s="21" t="str">
        <f aca="false">IF(Variants!$B270="","","Karni Jewellery")</f>
        <v>Karni Jewellery</v>
      </c>
      <c r="E269" s="21" t="str">
        <f aca="false">IF(Variants!$B270="","","Apparel &amp; Accessories &gt; Jewelry")</f>
        <v>Apparel &amp; Accessories &gt; Jewelry</v>
      </c>
      <c r="F269" s="21" t="str">
        <f aca="false">IF(Variants!$D270="","",Variants!$D270)</f>
        <v>Earring</v>
      </c>
      <c r="G269" s="21" t="str">
        <f aca="false">IF(Variants!$E270="","",Variants!$E270&amp;", Armenian jewellery, handmade")</f>
        <v>Marash, Armenian jewellery, handmade</v>
      </c>
      <c r="H269" s="21" t="str">
        <f aca="false">IF(Variants!$AD270="Active","TRUE","FALSE")</f>
        <v>TRUE</v>
      </c>
      <c r="I269" s="21" t="str">
        <f aca="false">IF(Variants!$H270="","","Color")</f>
        <v>Color</v>
      </c>
      <c r="J269" s="21" t="str">
        <f aca="false">IF(Variants!$H270="","",Variants!$H270)</f>
        <v>white</v>
      </c>
      <c r="K269" s="21" t="str">
        <f aca="false">IF(Variants!$G270="","","Size")</f>
        <v>Size</v>
      </c>
      <c r="L269" s="21" t="str">
        <f aca="false">IF(Variants!$G270="","",Variants!$G270)</f>
        <v>small</v>
      </c>
      <c r="M269" s="21" t="str">
        <f aca="false">Variants!$A270</f>
        <v>KARNI-EARRNG-MARASH-S-WHITE</v>
      </c>
      <c r="N269" s="21" t="str">
        <f aca="false">IF(Variants!$X270="","",Variants!$X270)</f>
        <v/>
      </c>
      <c r="O269" s="21" t="n">
        <f aca="false">IF(Variants!$O270="","",Variants!$O270)</f>
        <v>0</v>
      </c>
      <c r="P269" s="18" t="n">
        <f aca="false">IF(Variants!$J270="","",Variants!$J270)</f>
        <v>33.8</v>
      </c>
      <c r="Q269" s="21" t="str">
        <f aca="false">IF(Variants!$U270="","",Variants!$U270)</f>
        <v/>
      </c>
      <c r="R269" s="21" t="str">
        <f aca="false">IF(Variants!$Y270="","",Variants!$Y270)</f>
        <v/>
      </c>
      <c r="S269" s="21" t="n">
        <f aca="false">IFERROR(VLOOKUP(Variants!$B270,Designs!$A$3:$AP$165,37,FALSE()),"")</f>
        <v>0</v>
      </c>
      <c r="T269" s="21" t="str">
        <f aca="false">IFERROR(VLOOKUP(Variants!$B270,Designs!$A$3:$AP$165,38,FALSE()),"")</f>
        <v>No</v>
      </c>
      <c r="U269" s="21" t="str">
        <f aca="false">IF(Variants!$AD270="Active","active","draft")</f>
        <v>active</v>
      </c>
    </row>
    <row r="270" customFormat="false" ht="15.75" hidden="false" customHeight="true" outlineLevel="0" collapsed="false">
      <c r="A270" s="21" t="str">
        <f aca="false">IF(Variants!$B271="","",LOWER(Variants!$B271))</f>
        <v>dsgn-earrng-marash-s</v>
      </c>
      <c r="B270" s="21" t="str">
        <f aca="false">IF(Variants!$B271="","",Variants!$C271&amp;IF(Variants!$F271="",""," "&amp;Variants!$F271))</f>
        <v>Marash Earrings</v>
      </c>
      <c r="C270" s="21" t="str">
        <f aca="false">IFERROR(IF(Variants!$B271="","","&lt;p&gt;"&amp;VLOOKUP(Variants!$B271,Designs!$A$3:$AP$165,9,FALSE())&amp;"&lt;/p&gt;"),"")</f>
        <v>&lt;p&gt;Marash-work is a distinctive Armenian embroidery style from Cilician Marash, known for its interlaced geometric patterns.&lt;/p&gt;</v>
      </c>
      <c r="D270" s="21" t="str">
        <f aca="false">IF(Variants!$B271="","","Karni Jewellery")</f>
        <v>Karni Jewellery</v>
      </c>
      <c r="E270" s="21" t="str">
        <f aca="false">IF(Variants!$B271="","","Apparel &amp; Accessories &gt; Jewelry")</f>
        <v>Apparel &amp; Accessories &gt; Jewelry</v>
      </c>
      <c r="F270" s="21" t="str">
        <f aca="false">IF(Variants!$D271="","",Variants!$D271)</f>
        <v>Earring</v>
      </c>
      <c r="G270" s="21" t="str">
        <f aca="false">IF(Variants!$E271="","",Variants!$E271&amp;", Armenian jewellery, handmade")</f>
        <v>Marash, Armenian jewellery, handmade</v>
      </c>
      <c r="H270" s="21" t="str">
        <f aca="false">IF(Variants!$AD271="Active","TRUE","FALSE")</f>
        <v>TRUE</v>
      </c>
      <c r="I270" s="21" t="str">
        <f aca="false">IF(Variants!$H271="","","Color")</f>
        <v>Color</v>
      </c>
      <c r="J270" s="21" t="str">
        <f aca="false">IF(Variants!$H271="","",Variants!$H271)</f>
        <v>bordeaux</v>
      </c>
      <c r="K270" s="21" t="str">
        <f aca="false">IF(Variants!$G271="","","Size")</f>
        <v>Size</v>
      </c>
      <c r="L270" s="21" t="str">
        <f aca="false">IF(Variants!$G271="","",Variants!$G271)</f>
        <v>small</v>
      </c>
      <c r="M270" s="21" t="str">
        <f aca="false">Variants!$A271</f>
        <v>KARNI-EARRNG-MARASH-S-BORDEAUX</v>
      </c>
      <c r="N270" s="21" t="str">
        <f aca="false">IF(Variants!$X271="","",Variants!$X271)</f>
        <v/>
      </c>
      <c r="O270" s="21" t="n">
        <f aca="false">IF(Variants!$O271="","",Variants!$O271)</f>
        <v>0</v>
      </c>
      <c r="P270" s="18" t="n">
        <f aca="false">IF(Variants!$J271="","",Variants!$J271)</f>
        <v>33.8</v>
      </c>
      <c r="Q270" s="21" t="str">
        <f aca="false">IF(Variants!$U271="","",Variants!$U271)</f>
        <v/>
      </c>
      <c r="R270" s="21" t="str">
        <f aca="false">IF(Variants!$Y271="","",Variants!$Y271)</f>
        <v/>
      </c>
      <c r="S270" s="21" t="n">
        <f aca="false">IFERROR(VLOOKUP(Variants!$B271,Designs!$A$3:$AP$165,37,FALSE()),"")</f>
        <v>0</v>
      </c>
      <c r="T270" s="21" t="str">
        <f aca="false">IFERROR(VLOOKUP(Variants!$B271,Designs!$A$3:$AP$165,38,FALSE()),"")</f>
        <v>No</v>
      </c>
      <c r="U270" s="21" t="str">
        <f aca="false">IF(Variants!$AD271="Active","active","draft")</f>
        <v>active</v>
      </c>
    </row>
    <row r="271" customFormat="false" ht="15.75" hidden="false" customHeight="true" outlineLevel="0" collapsed="false">
      <c r="A271" s="21" t="str">
        <f aca="false">IF(Variants!$B272="","",LOWER(Variants!$B272))</f>
        <v>dsgn-earrng-marash-s</v>
      </c>
      <c r="B271" s="21" t="str">
        <f aca="false">IF(Variants!$B272="","",Variants!$C272&amp;IF(Variants!$F272="",""," "&amp;Variants!$F272))</f>
        <v>Marash Earrings</v>
      </c>
      <c r="C271" s="21" t="str">
        <f aca="false">IFERROR(IF(Variants!$B272="","","&lt;p&gt;"&amp;VLOOKUP(Variants!$B272,Designs!$A$3:$AP$165,9,FALSE())&amp;"&lt;/p&gt;"),"")</f>
        <v>&lt;p&gt;Marash-work is a distinctive Armenian embroidery style from Cilician Marash, known for its interlaced geometric patterns.&lt;/p&gt;</v>
      </c>
      <c r="D271" s="21" t="str">
        <f aca="false">IF(Variants!$B272="","","Karni Jewellery")</f>
        <v>Karni Jewellery</v>
      </c>
      <c r="E271" s="21" t="str">
        <f aca="false">IF(Variants!$B272="","","Apparel &amp; Accessories &gt; Jewelry")</f>
        <v>Apparel &amp; Accessories &gt; Jewelry</v>
      </c>
      <c r="F271" s="21" t="str">
        <f aca="false">IF(Variants!$D272="","",Variants!$D272)</f>
        <v>Earring</v>
      </c>
      <c r="G271" s="21" t="str">
        <f aca="false">IF(Variants!$E272="","",Variants!$E272&amp;", Armenian jewellery, handmade")</f>
        <v>Marash, Armenian jewellery, handmade</v>
      </c>
      <c r="H271" s="21" t="str">
        <f aca="false">IF(Variants!$AD272="Active","TRUE","FALSE")</f>
        <v>TRUE</v>
      </c>
      <c r="I271" s="21" t="str">
        <f aca="false">IF(Variants!$H272="","","Color")</f>
        <v>Color</v>
      </c>
      <c r="J271" s="21" t="str">
        <f aca="false">IF(Variants!$H272="","",Variants!$H272)</f>
        <v>turquoise</v>
      </c>
      <c r="K271" s="21" t="str">
        <f aca="false">IF(Variants!$G272="","","Size")</f>
        <v>Size</v>
      </c>
      <c r="L271" s="21" t="str">
        <f aca="false">IF(Variants!$G272="","",Variants!$G272)</f>
        <v>small</v>
      </c>
      <c r="M271" s="21" t="str">
        <f aca="false">Variants!$A272</f>
        <v>KARNI-EARRNG-MARASH-S-TURQUOISE</v>
      </c>
      <c r="N271" s="21" t="str">
        <f aca="false">IF(Variants!$X272="","",Variants!$X272)</f>
        <v/>
      </c>
      <c r="O271" s="21" t="n">
        <f aca="false">IF(Variants!$O272="","",Variants!$O272)</f>
        <v>0</v>
      </c>
      <c r="P271" s="18" t="n">
        <f aca="false">IF(Variants!$J272="","",Variants!$J272)</f>
        <v>33.8</v>
      </c>
      <c r="Q271" s="21" t="str">
        <f aca="false">IF(Variants!$U272="","",Variants!$U272)</f>
        <v/>
      </c>
      <c r="R271" s="21" t="str">
        <f aca="false">IF(Variants!$Y272="","",Variants!$Y272)</f>
        <v/>
      </c>
      <c r="S271" s="21" t="n">
        <f aca="false">IFERROR(VLOOKUP(Variants!$B272,Designs!$A$3:$AP$165,37,FALSE()),"")</f>
        <v>0</v>
      </c>
      <c r="T271" s="21" t="str">
        <f aca="false">IFERROR(VLOOKUP(Variants!$B272,Designs!$A$3:$AP$165,38,FALSE()),"")</f>
        <v>No</v>
      </c>
      <c r="U271" s="21" t="str">
        <f aca="false">IF(Variants!$AD272="Active","active","draft")</f>
        <v>active</v>
      </c>
    </row>
    <row r="272" customFormat="false" ht="15.75" hidden="false" customHeight="true" outlineLevel="0" collapsed="false">
      <c r="A272" s="21" t="str">
        <f aca="false">IF(Variants!$B273="","",LOWER(Variants!$B273))</f>
        <v>dsgn-earrng-marash-s</v>
      </c>
      <c r="B272" s="21" t="str">
        <f aca="false">IF(Variants!$B273="","",Variants!$C273&amp;IF(Variants!$F273="",""," "&amp;Variants!$F273))</f>
        <v>Marash Earrings</v>
      </c>
      <c r="C272" s="21" t="str">
        <f aca="false">IFERROR(IF(Variants!$B273="","","&lt;p&gt;"&amp;VLOOKUP(Variants!$B273,Designs!$A$3:$AP$165,9,FALSE())&amp;"&lt;/p&gt;"),"")</f>
        <v>&lt;p&gt;Marash-work is a distinctive Armenian embroidery style from Cilician Marash, known for its interlaced geometric patterns.&lt;/p&gt;</v>
      </c>
      <c r="D272" s="21" t="str">
        <f aca="false">IF(Variants!$B273="","","Karni Jewellery")</f>
        <v>Karni Jewellery</v>
      </c>
      <c r="E272" s="21" t="str">
        <f aca="false">IF(Variants!$B273="","","Apparel &amp; Accessories &gt; Jewelry")</f>
        <v>Apparel &amp; Accessories &gt; Jewelry</v>
      </c>
      <c r="F272" s="21" t="str">
        <f aca="false">IF(Variants!$D273="","",Variants!$D273)</f>
        <v>Earring</v>
      </c>
      <c r="G272" s="21" t="str">
        <f aca="false">IF(Variants!$E273="","",Variants!$E273&amp;", Armenian jewellery, handmade")</f>
        <v>Marash, Armenian jewellery, handmade</v>
      </c>
      <c r="H272" s="21" t="str">
        <f aca="false">IF(Variants!$AD273="Active","TRUE","FALSE")</f>
        <v>TRUE</v>
      </c>
      <c r="I272" s="21" t="str">
        <f aca="false">IF(Variants!$H273="","","Color")</f>
        <v>Color</v>
      </c>
      <c r="J272" s="21" t="str">
        <f aca="false">IF(Variants!$H273="","",Variants!$H273)</f>
        <v>green</v>
      </c>
      <c r="K272" s="21" t="str">
        <f aca="false">IF(Variants!$G273="","","Size")</f>
        <v>Size</v>
      </c>
      <c r="L272" s="21" t="str">
        <f aca="false">IF(Variants!$G273="","",Variants!$G273)</f>
        <v>small</v>
      </c>
      <c r="M272" s="21" t="str">
        <f aca="false">Variants!$A273</f>
        <v>KARNI-EARRNG-MARASH-S-GREEN</v>
      </c>
      <c r="N272" s="21" t="str">
        <f aca="false">IF(Variants!$X273="","",Variants!$X273)</f>
        <v/>
      </c>
      <c r="O272" s="21" t="n">
        <f aca="false">IF(Variants!$O273="","",Variants!$O273)</f>
        <v>0</v>
      </c>
      <c r="P272" s="18" t="n">
        <f aca="false">IF(Variants!$J273="","",Variants!$J273)</f>
        <v>33.8</v>
      </c>
      <c r="Q272" s="21" t="str">
        <f aca="false">IF(Variants!$U273="","",Variants!$U273)</f>
        <v/>
      </c>
      <c r="R272" s="21" t="str">
        <f aca="false">IF(Variants!$Y273="","",Variants!$Y273)</f>
        <v/>
      </c>
      <c r="S272" s="21" t="n">
        <f aca="false">IFERROR(VLOOKUP(Variants!$B273,Designs!$A$3:$AP$165,37,FALSE()),"")</f>
        <v>0</v>
      </c>
      <c r="T272" s="21" t="str">
        <f aca="false">IFERROR(VLOOKUP(Variants!$B273,Designs!$A$3:$AP$165,38,FALSE()),"")</f>
        <v>No</v>
      </c>
      <c r="U272" s="21" t="str">
        <f aca="false">IF(Variants!$AD273="Active","active","draft")</f>
        <v>active</v>
      </c>
    </row>
    <row r="273" customFormat="false" ht="15.75" hidden="false" customHeight="true" outlineLevel="0" collapsed="false">
      <c r="A273" s="21" t="str">
        <f aca="false">IF(Variants!$B274="","",LOWER(Variants!$B274))</f>
        <v>dsgn-earrng-marash-m</v>
      </c>
      <c r="B273" s="21" t="str">
        <f aca="false">IF(Variants!$B274="","",Variants!$C274&amp;IF(Variants!$F274="",""," "&amp;Variants!$F274))</f>
        <v>Marash Earrings</v>
      </c>
      <c r="C273" s="21" t="str">
        <f aca="false">IFERROR(IF(Variants!$B274="","","&lt;p&gt;"&amp;VLOOKUP(Variants!$B274,Designs!$A$3:$AP$165,9,FALSE())&amp;"&lt;/p&gt;"),"")</f>
        <v>&lt;p&gt;Marash-work is a distinctive Armenian embroidery style from Cilician Marash, known for its interlaced geometric patterns.&lt;/p&gt;</v>
      </c>
      <c r="D273" s="21" t="str">
        <f aca="false">IF(Variants!$B274="","","Karni Jewellery")</f>
        <v>Karni Jewellery</v>
      </c>
      <c r="E273" s="21" t="str">
        <f aca="false">IF(Variants!$B274="","","Apparel &amp; Accessories &gt; Jewelry")</f>
        <v>Apparel &amp; Accessories &gt; Jewelry</v>
      </c>
      <c r="F273" s="21" t="str">
        <f aca="false">IF(Variants!$D274="","",Variants!$D274)</f>
        <v>Earring</v>
      </c>
      <c r="G273" s="21" t="str">
        <f aca="false">IF(Variants!$E274="","",Variants!$E274&amp;", Armenian jewellery, handmade")</f>
        <v>Marash, Armenian jewellery, handmade</v>
      </c>
      <c r="H273" s="21" t="str">
        <f aca="false">IF(Variants!$AD274="Active","TRUE","FALSE")</f>
        <v>TRUE</v>
      </c>
      <c r="I273" s="21" t="str">
        <f aca="false">IF(Variants!$H274="","","Color")</f>
        <v>Color</v>
      </c>
      <c r="J273" s="21" t="str">
        <f aca="false">IF(Variants!$H274="","",Variants!$H274)</f>
        <v>blue-white</v>
      </c>
      <c r="K273" s="21" t="str">
        <f aca="false">IF(Variants!$G274="","","Size")</f>
        <v>Size</v>
      </c>
      <c r="L273" s="21" t="str">
        <f aca="false">IF(Variants!$G274="","",Variants!$G274)</f>
        <v>medium</v>
      </c>
      <c r="M273" s="21" t="str">
        <f aca="false">Variants!$A274</f>
        <v>KARNI-EARRNG-MARASH-M-BLUE-WHITE</v>
      </c>
      <c r="N273" s="21" t="str">
        <f aca="false">IF(Variants!$X274="","",Variants!$X274)</f>
        <v/>
      </c>
      <c r="O273" s="21" t="n">
        <f aca="false">IF(Variants!$O274="","",Variants!$O274)</f>
        <v>0</v>
      </c>
      <c r="P273" s="18" t="n">
        <f aca="false">IF(Variants!$J274="","",Variants!$J274)</f>
        <v>70.2</v>
      </c>
      <c r="Q273" s="21" t="str">
        <f aca="false">IF(Variants!$U274="","",Variants!$U274)</f>
        <v/>
      </c>
      <c r="R273" s="21" t="str">
        <f aca="false">IF(Variants!$Y274="","",Variants!$Y274)</f>
        <v/>
      </c>
      <c r="S273" s="21" t="n">
        <f aca="false">IFERROR(VLOOKUP(Variants!$B274,Designs!$A$3:$AP$165,37,FALSE()),"")</f>
        <v>0</v>
      </c>
      <c r="T273" s="21" t="str">
        <f aca="false">IFERROR(VLOOKUP(Variants!$B274,Designs!$A$3:$AP$165,38,FALSE()),"")</f>
        <v>No</v>
      </c>
      <c r="U273" s="21" t="str">
        <f aca="false">IF(Variants!$AD274="Active","active","draft")</f>
        <v>active</v>
      </c>
    </row>
    <row r="274" customFormat="false" ht="15.75" hidden="false" customHeight="true" outlineLevel="0" collapsed="false">
      <c r="A274" s="21" t="str">
        <f aca="false">IF(Variants!$B275="","",LOWER(Variants!$B275))</f>
        <v>dsgn-earrng-marash-m</v>
      </c>
      <c r="B274" s="21" t="str">
        <f aca="false">IF(Variants!$B275="","",Variants!$C275&amp;IF(Variants!$F275="",""," "&amp;Variants!$F275))</f>
        <v>Marash Earrings</v>
      </c>
      <c r="C274" s="21" t="str">
        <f aca="false">IFERROR(IF(Variants!$B275="","","&lt;p&gt;"&amp;VLOOKUP(Variants!$B275,Designs!$A$3:$AP$165,9,FALSE())&amp;"&lt;/p&gt;"),"")</f>
        <v>&lt;p&gt;Marash-work is a distinctive Armenian embroidery style from Cilician Marash, known for its interlaced geometric patterns.&lt;/p&gt;</v>
      </c>
      <c r="D274" s="21" t="str">
        <f aca="false">IF(Variants!$B275="","","Karni Jewellery")</f>
        <v>Karni Jewellery</v>
      </c>
      <c r="E274" s="21" t="str">
        <f aca="false">IF(Variants!$B275="","","Apparel &amp; Accessories &gt; Jewelry")</f>
        <v>Apparel &amp; Accessories &gt; Jewelry</v>
      </c>
      <c r="F274" s="21" t="str">
        <f aca="false">IF(Variants!$D275="","",Variants!$D275)</f>
        <v>Earring</v>
      </c>
      <c r="G274" s="21" t="str">
        <f aca="false">IF(Variants!$E275="","",Variants!$E275&amp;", Armenian jewellery, handmade")</f>
        <v>Marash, Armenian jewellery, handmade</v>
      </c>
      <c r="H274" s="21" t="str">
        <f aca="false">IF(Variants!$AD275="Active","TRUE","FALSE")</f>
        <v>TRUE</v>
      </c>
      <c r="I274" s="21" t="str">
        <f aca="false">IF(Variants!$H275="","","Color")</f>
        <v>Color</v>
      </c>
      <c r="J274" s="21" t="str">
        <f aca="false">IF(Variants!$H275="","",Variants!$H275)</f>
        <v>white-blue</v>
      </c>
      <c r="K274" s="21" t="str">
        <f aca="false">IF(Variants!$G275="","","Size")</f>
        <v>Size</v>
      </c>
      <c r="L274" s="21" t="str">
        <f aca="false">IF(Variants!$G275="","",Variants!$G275)</f>
        <v>medium</v>
      </c>
      <c r="M274" s="21" t="str">
        <f aca="false">Variants!$A275</f>
        <v>KARNI-EARRNG-MARASH-M-WHITE-BLUE</v>
      </c>
      <c r="N274" s="21" t="str">
        <f aca="false">IF(Variants!$X275="","",Variants!$X275)</f>
        <v/>
      </c>
      <c r="O274" s="21" t="n">
        <f aca="false">IF(Variants!$O275="","",Variants!$O275)</f>
        <v>0</v>
      </c>
      <c r="P274" s="18" t="n">
        <f aca="false">IF(Variants!$J275="","",Variants!$J275)</f>
        <v>70.2</v>
      </c>
      <c r="Q274" s="21" t="str">
        <f aca="false">IF(Variants!$U275="","",Variants!$U275)</f>
        <v/>
      </c>
      <c r="R274" s="21" t="str">
        <f aca="false">IF(Variants!$Y275="","",Variants!$Y275)</f>
        <v/>
      </c>
      <c r="S274" s="21" t="n">
        <f aca="false">IFERROR(VLOOKUP(Variants!$B275,Designs!$A$3:$AP$165,37,FALSE()),"")</f>
        <v>0</v>
      </c>
      <c r="T274" s="21" t="str">
        <f aca="false">IFERROR(VLOOKUP(Variants!$B275,Designs!$A$3:$AP$165,38,FALSE()),"")</f>
        <v>No</v>
      </c>
      <c r="U274" s="21" t="str">
        <f aca="false">IF(Variants!$AD275="Active","active","draft")</f>
        <v>active</v>
      </c>
    </row>
    <row r="275" customFormat="false" ht="15.75" hidden="false" customHeight="true" outlineLevel="0" collapsed="false">
      <c r="A275" s="21" t="str">
        <f aca="false">IF(Variants!$B276="","",LOWER(Variants!$B276))</f>
        <v>dsgn-earrng-marash-m</v>
      </c>
      <c r="B275" s="21" t="str">
        <f aca="false">IF(Variants!$B276="","",Variants!$C276&amp;IF(Variants!$F276="",""," "&amp;Variants!$F276))</f>
        <v>Marash Earrings</v>
      </c>
      <c r="C275" s="21" t="str">
        <f aca="false">IFERROR(IF(Variants!$B276="","","&lt;p&gt;"&amp;VLOOKUP(Variants!$B276,Designs!$A$3:$AP$165,9,FALSE())&amp;"&lt;/p&gt;"),"")</f>
        <v>&lt;p&gt;Marash-work is a distinctive Armenian embroidery style from Cilician Marash, known for its interlaced geometric patterns.&lt;/p&gt;</v>
      </c>
      <c r="D275" s="21" t="str">
        <f aca="false">IF(Variants!$B276="","","Karni Jewellery")</f>
        <v>Karni Jewellery</v>
      </c>
      <c r="E275" s="21" t="str">
        <f aca="false">IF(Variants!$B276="","","Apparel &amp; Accessories &gt; Jewelry")</f>
        <v>Apparel &amp; Accessories &gt; Jewelry</v>
      </c>
      <c r="F275" s="21" t="str">
        <f aca="false">IF(Variants!$D276="","",Variants!$D276)</f>
        <v>Earring</v>
      </c>
      <c r="G275" s="21" t="str">
        <f aca="false">IF(Variants!$E276="","",Variants!$E276&amp;", Armenian jewellery, handmade")</f>
        <v>Marash, Armenian jewellery, handmade</v>
      </c>
      <c r="H275" s="21" t="str">
        <f aca="false">IF(Variants!$AD276="Active","TRUE","FALSE")</f>
        <v>TRUE</v>
      </c>
      <c r="I275" s="21" t="str">
        <f aca="false">IF(Variants!$H276="","","Color")</f>
        <v>Color</v>
      </c>
      <c r="J275" s="21" t="str">
        <f aca="false">IF(Variants!$H276="","",Variants!$H276)</f>
        <v>white-bordeaux</v>
      </c>
      <c r="K275" s="21" t="str">
        <f aca="false">IF(Variants!$G276="","","Size")</f>
        <v>Size</v>
      </c>
      <c r="L275" s="21" t="str">
        <f aca="false">IF(Variants!$G276="","",Variants!$G276)</f>
        <v>medium</v>
      </c>
      <c r="M275" s="21" t="str">
        <f aca="false">Variants!$A276</f>
        <v>KARNI-EARRNG-MARASH-M-WHITE-BORDEAUX</v>
      </c>
      <c r="N275" s="21" t="str">
        <f aca="false">IF(Variants!$X276="","",Variants!$X276)</f>
        <v/>
      </c>
      <c r="O275" s="21" t="n">
        <f aca="false">IF(Variants!$O276="","",Variants!$O276)</f>
        <v>0</v>
      </c>
      <c r="P275" s="18" t="n">
        <f aca="false">IF(Variants!$J276="","",Variants!$J276)</f>
        <v>70.2</v>
      </c>
      <c r="Q275" s="21" t="str">
        <f aca="false">IF(Variants!$U276="","",Variants!$U276)</f>
        <v/>
      </c>
      <c r="R275" s="21" t="str">
        <f aca="false">IF(Variants!$Y276="","",Variants!$Y276)</f>
        <v/>
      </c>
      <c r="S275" s="21" t="n">
        <f aca="false">IFERROR(VLOOKUP(Variants!$B276,Designs!$A$3:$AP$165,37,FALSE()),"")</f>
        <v>0</v>
      </c>
      <c r="T275" s="21" t="str">
        <f aca="false">IFERROR(VLOOKUP(Variants!$B276,Designs!$A$3:$AP$165,38,FALSE()),"")</f>
        <v>No</v>
      </c>
      <c r="U275" s="21" t="str">
        <f aca="false">IF(Variants!$AD276="Active","active","draft")</f>
        <v>active</v>
      </c>
    </row>
    <row r="276" customFormat="false" ht="15.75" hidden="false" customHeight="true" outlineLevel="0" collapsed="false">
      <c r="A276" s="21" t="str">
        <f aca="false">IF(Variants!$B277="","",LOWER(Variants!$B277))</f>
        <v>dsgn-earrng-marash-m</v>
      </c>
      <c r="B276" s="21" t="str">
        <f aca="false">IF(Variants!$B277="","",Variants!$C277&amp;IF(Variants!$F277="",""," "&amp;Variants!$F277))</f>
        <v>Marash Earrings</v>
      </c>
      <c r="C276" s="21" t="str">
        <f aca="false">IFERROR(IF(Variants!$B277="","","&lt;p&gt;"&amp;VLOOKUP(Variants!$B277,Designs!$A$3:$AP$165,9,FALSE())&amp;"&lt;/p&gt;"),"")</f>
        <v>&lt;p&gt;Marash-work is a distinctive Armenian embroidery style from Cilician Marash, known for its interlaced geometric patterns.&lt;/p&gt;</v>
      </c>
      <c r="D276" s="21" t="str">
        <f aca="false">IF(Variants!$B277="","","Karni Jewellery")</f>
        <v>Karni Jewellery</v>
      </c>
      <c r="E276" s="21" t="str">
        <f aca="false">IF(Variants!$B277="","","Apparel &amp; Accessories &gt; Jewelry")</f>
        <v>Apparel &amp; Accessories &gt; Jewelry</v>
      </c>
      <c r="F276" s="21" t="str">
        <f aca="false">IF(Variants!$D277="","",Variants!$D277)</f>
        <v>Earring</v>
      </c>
      <c r="G276" s="21" t="str">
        <f aca="false">IF(Variants!$E277="","",Variants!$E277&amp;", Armenian jewellery, handmade")</f>
        <v>Marash, Armenian jewellery, handmade</v>
      </c>
      <c r="H276" s="21" t="str">
        <f aca="false">IF(Variants!$AD277="Active","TRUE","FALSE")</f>
        <v>TRUE</v>
      </c>
      <c r="I276" s="21" t="str">
        <f aca="false">IF(Variants!$H277="","","Color")</f>
        <v>Color</v>
      </c>
      <c r="J276" s="21" t="str">
        <f aca="false">IF(Variants!$H277="","",Variants!$H277)</f>
        <v>turquoise-blue</v>
      </c>
      <c r="K276" s="21" t="str">
        <f aca="false">IF(Variants!$G277="","","Size")</f>
        <v>Size</v>
      </c>
      <c r="L276" s="21" t="str">
        <f aca="false">IF(Variants!$G277="","",Variants!$G277)</f>
        <v>medium</v>
      </c>
      <c r="M276" s="21" t="str">
        <f aca="false">Variants!$A277</f>
        <v>KARNI-EARRNG-MARASH-M-TURQUOISE-BLUE</v>
      </c>
      <c r="N276" s="21" t="str">
        <f aca="false">IF(Variants!$X277="","",Variants!$X277)</f>
        <v/>
      </c>
      <c r="O276" s="21" t="n">
        <f aca="false">IF(Variants!$O277="","",Variants!$O277)</f>
        <v>0</v>
      </c>
      <c r="P276" s="18" t="n">
        <f aca="false">IF(Variants!$J277="","",Variants!$J277)</f>
        <v>70.2</v>
      </c>
      <c r="Q276" s="21" t="str">
        <f aca="false">IF(Variants!$U277="","",Variants!$U277)</f>
        <v/>
      </c>
      <c r="R276" s="21" t="str">
        <f aca="false">IF(Variants!$Y277="","",Variants!$Y277)</f>
        <v/>
      </c>
      <c r="S276" s="21" t="n">
        <f aca="false">IFERROR(VLOOKUP(Variants!$B277,Designs!$A$3:$AP$165,37,FALSE()),"")</f>
        <v>0</v>
      </c>
      <c r="T276" s="21" t="str">
        <f aca="false">IFERROR(VLOOKUP(Variants!$B277,Designs!$A$3:$AP$165,38,FALSE()),"")</f>
        <v>No</v>
      </c>
      <c r="U276" s="21" t="str">
        <f aca="false">IF(Variants!$AD277="Active","active","draft")</f>
        <v>active</v>
      </c>
    </row>
    <row r="277" customFormat="false" ht="15.75" hidden="false" customHeight="true" outlineLevel="0" collapsed="false">
      <c r="A277" s="21" t="str">
        <f aca="false">IF(Variants!$B278="","",LOWER(Variants!$B278))</f>
        <v>dsgn-earrng-van-s</v>
      </c>
      <c r="B277" s="21" t="str">
        <f aca="false">IF(Variants!$B278="","",Variants!$C278&amp;IF(Variants!$F278="",""," "&amp;Variants!$F278))</f>
        <v>Van Earrings</v>
      </c>
      <c r="C277" s="21" t="str">
        <f aca="false">IFERROR(IF(Variants!$B278="","","&lt;p&gt;"&amp;VLOOKUP(Variants!$B278,Designs!$A$3:$AP$165,9,FALSE())&amp;"&lt;/p&gt;"),"")</f>
        <v>&lt;p&gt;Motifs from the Van/Vaspurakan region, echoing the ornament of the Lake Van heartland of historic Armenia.&lt;/p&gt;</v>
      </c>
      <c r="D277" s="21" t="str">
        <f aca="false">IF(Variants!$B278="","","Karni Jewellery")</f>
        <v>Karni Jewellery</v>
      </c>
      <c r="E277" s="21" t="str">
        <f aca="false">IF(Variants!$B278="","","Apparel &amp; Accessories &gt; Jewelry")</f>
        <v>Apparel &amp; Accessories &gt; Jewelry</v>
      </c>
      <c r="F277" s="21" t="str">
        <f aca="false">IF(Variants!$D278="","",Variants!$D278)</f>
        <v>Earring</v>
      </c>
      <c r="G277" s="21" t="str">
        <f aca="false">IF(Variants!$E278="","",Variants!$E278&amp;", Armenian jewellery, handmade")</f>
        <v>Van, Armenian jewellery, handmade</v>
      </c>
      <c r="H277" s="21" t="str">
        <f aca="false">IF(Variants!$AD278="Active","TRUE","FALSE")</f>
        <v>TRUE</v>
      </c>
      <c r="I277" s="21" t="str">
        <f aca="false">IF(Variants!$H278="","","Color")</f>
        <v>Color</v>
      </c>
      <c r="J277" s="21" t="str">
        <f aca="false">IF(Variants!$H278="","",Variants!$H278)</f>
        <v>blue</v>
      </c>
      <c r="K277" s="21" t="str">
        <f aca="false">IF(Variants!$G278="","","Size")</f>
        <v>Size</v>
      </c>
      <c r="L277" s="21" t="str">
        <f aca="false">IF(Variants!$G278="","",Variants!$G278)</f>
        <v>small</v>
      </c>
      <c r="M277" s="21" t="str">
        <f aca="false">Variants!$A278</f>
        <v>KARNI-EARRNG-VAN-S-BLUE</v>
      </c>
      <c r="N277" s="21" t="str">
        <f aca="false">IF(Variants!$X278="","",Variants!$X278)</f>
        <v/>
      </c>
      <c r="O277" s="21" t="n">
        <f aca="false">IF(Variants!$O278="","",Variants!$O278)</f>
        <v>0</v>
      </c>
      <c r="P277" s="18" t="n">
        <f aca="false">IF(Variants!$J278="","",Variants!$J278)</f>
        <v>33.8</v>
      </c>
      <c r="Q277" s="21" t="str">
        <f aca="false">IF(Variants!$U278="","",Variants!$U278)</f>
        <v/>
      </c>
      <c r="R277" s="21" t="str">
        <f aca="false">IF(Variants!$Y278="","",Variants!$Y278)</f>
        <v/>
      </c>
      <c r="S277" s="21" t="n">
        <f aca="false">IFERROR(VLOOKUP(Variants!$B278,Designs!$A$3:$AP$165,37,FALSE()),"")</f>
        <v>0</v>
      </c>
      <c r="T277" s="21" t="str">
        <f aca="false">IFERROR(VLOOKUP(Variants!$B278,Designs!$A$3:$AP$165,38,FALSE()),"")</f>
        <v>No</v>
      </c>
      <c r="U277" s="21" t="str">
        <f aca="false">IF(Variants!$AD278="Active","active","draft")</f>
        <v>active</v>
      </c>
    </row>
    <row r="278" customFormat="false" ht="15.75" hidden="false" customHeight="true" outlineLevel="0" collapsed="false">
      <c r="A278" s="21" t="str">
        <f aca="false">IF(Variants!$B279="","",LOWER(Variants!$B279))</f>
        <v>dsgn-earrng-van-s</v>
      </c>
      <c r="B278" s="21" t="str">
        <f aca="false">IF(Variants!$B279="","",Variants!$C279&amp;IF(Variants!$F279="",""," "&amp;Variants!$F279))</f>
        <v>Van Earrings</v>
      </c>
      <c r="C278" s="21" t="str">
        <f aca="false">IFERROR(IF(Variants!$B279="","","&lt;p&gt;"&amp;VLOOKUP(Variants!$B279,Designs!$A$3:$AP$165,9,FALSE())&amp;"&lt;/p&gt;"),"")</f>
        <v>&lt;p&gt;Motifs from the Van/Vaspurakan region, echoing the ornament of the Lake Van heartland of historic Armenia.&lt;/p&gt;</v>
      </c>
      <c r="D278" s="21" t="str">
        <f aca="false">IF(Variants!$B279="","","Karni Jewellery")</f>
        <v>Karni Jewellery</v>
      </c>
      <c r="E278" s="21" t="str">
        <f aca="false">IF(Variants!$B279="","","Apparel &amp; Accessories &gt; Jewelry")</f>
        <v>Apparel &amp; Accessories &gt; Jewelry</v>
      </c>
      <c r="F278" s="21" t="str">
        <f aca="false">IF(Variants!$D279="","",Variants!$D279)</f>
        <v>Earring</v>
      </c>
      <c r="G278" s="21" t="str">
        <f aca="false">IF(Variants!$E279="","",Variants!$E279&amp;", Armenian jewellery, handmade")</f>
        <v>Van, Armenian jewellery, handmade</v>
      </c>
      <c r="H278" s="21" t="str">
        <f aca="false">IF(Variants!$AD279="Active","TRUE","FALSE")</f>
        <v>TRUE</v>
      </c>
      <c r="I278" s="21" t="str">
        <f aca="false">IF(Variants!$H279="","","Color")</f>
        <v>Color</v>
      </c>
      <c r="J278" s="21" t="str">
        <f aca="false">IF(Variants!$H279="","",Variants!$H279)</f>
        <v>white</v>
      </c>
      <c r="K278" s="21" t="str">
        <f aca="false">IF(Variants!$G279="","","Size")</f>
        <v>Size</v>
      </c>
      <c r="L278" s="21" t="str">
        <f aca="false">IF(Variants!$G279="","",Variants!$G279)</f>
        <v>small</v>
      </c>
      <c r="M278" s="21" t="str">
        <f aca="false">Variants!$A279</f>
        <v>KARNI-EARRNG-VAN-S-WHITE</v>
      </c>
      <c r="N278" s="21" t="str">
        <f aca="false">IF(Variants!$X279="","",Variants!$X279)</f>
        <v/>
      </c>
      <c r="O278" s="21" t="n">
        <f aca="false">IF(Variants!$O279="","",Variants!$O279)</f>
        <v>0</v>
      </c>
      <c r="P278" s="18" t="n">
        <f aca="false">IF(Variants!$J279="","",Variants!$J279)</f>
        <v>33.8</v>
      </c>
      <c r="Q278" s="21" t="str">
        <f aca="false">IF(Variants!$U279="","",Variants!$U279)</f>
        <v/>
      </c>
      <c r="R278" s="21" t="str">
        <f aca="false">IF(Variants!$Y279="","",Variants!$Y279)</f>
        <v/>
      </c>
      <c r="S278" s="21" t="n">
        <f aca="false">IFERROR(VLOOKUP(Variants!$B279,Designs!$A$3:$AP$165,37,FALSE()),"")</f>
        <v>0</v>
      </c>
      <c r="T278" s="21" t="str">
        <f aca="false">IFERROR(VLOOKUP(Variants!$B279,Designs!$A$3:$AP$165,38,FALSE()),"")</f>
        <v>No</v>
      </c>
      <c r="U278" s="21" t="str">
        <f aca="false">IF(Variants!$AD279="Active","active","draft")</f>
        <v>active</v>
      </c>
    </row>
    <row r="279" customFormat="false" ht="15.75" hidden="false" customHeight="true" outlineLevel="0" collapsed="false">
      <c r="A279" s="21" t="str">
        <f aca="false">IF(Variants!$B280="","",LOWER(Variants!$B280))</f>
        <v>dsgn-earrng-van-s</v>
      </c>
      <c r="B279" s="21" t="str">
        <f aca="false">IF(Variants!$B280="","",Variants!$C280&amp;IF(Variants!$F280="",""," "&amp;Variants!$F280))</f>
        <v>Van Earrings</v>
      </c>
      <c r="C279" s="21" t="str">
        <f aca="false">IFERROR(IF(Variants!$B280="","","&lt;p&gt;"&amp;VLOOKUP(Variants!$B280,Designs!$A$3:$AP$165,9,FALSE())&amp;"&lt;/p&gt;"),"")</f>
        <v>&lt;p&gt;Motifs from the Van/Vaspurakan region, echoing the ornament of the Lake Van heartland of historic Armenia.&lt;/p&gt;</v>
      </c>
      <c r="D279" s="21" t="str">
        <f aca="false">IF(Variants!$B280="","","Karni Jewellery")</f>
        <v>Karni Jewellery</v>
      </c>
      <c r="E279" s="21" t="str">
        <f aca="false">IF(Variants!$B280="","","Apparel &amp; Accessories &gt; Jewelry")</f>
        <v>Apparel &amp; Accessories &gt; Jewelry</v>
      </c>
      <c r="F279" s="21" t="str">
        <f aca="false">IF(Variants!$D280="","",Variants!$D280)</f>
        <v>Earring</v>
      </c>
      <c r="G279" s="21" t="str">
        <f aca="false">IF(Variants!$E280="","",Variants!$E280&amp;", Armenian jewellery, handmade")</f>
        <v>Van, Armenian jewellery, handmade</v>
      </c>
      <c r="H279" s="21" t="str">
        <f aca="false">IF(Variants!$AD280="Active","TRUE","FALSE")</f>
        <v>TRUE</v>
      </c>
      <c r="I279" s="21" t="str">
        <f aca="false">IF(Variants!$H280="","","Color")</f>
        <v>Color</v>
      </c>
      <c r="J279" s="21" t="str">
        <f aca="false">IF(Variants!$H280="","",Variants!$H280)</f>
        <v>bordeaux</v>
      </c>
      <c r="K279" s="21" t="str">
        <f aca="false">IF(Variants!$G280="","","Size")</f>
        <v>Size</v>
      </c>
      <c r="L279" s="21" t="str">
        <f aca="false">IF(Variants!$G280="","",Variants!$G280)</f>
        <v>small</v>
      </c>
      <c r="M279" s="21" t="str">
        <f aca="false">Variants!$A280</f>
        <v>KARNI-EARRNG-VAN-S-BORDEAUX</v>
      </c>
      <c r="N279" s="21" t="str">
        <f aca="false">IF(Variants!$X280="","",Variants!$X280)</f>
        <v/>
      </c>
      <c r="O279" s="21" t="n">
        <f aca="false">IF(Variants!$O280="","",Variants!$O280)</f>
        <v>0</v>
      </c>
      <c r="P279" s="18" t="n">
        <f aca="false">IF(Variants!$J280="","",Variants!$J280)</f>
        <v>33.8</v>
      </c>
      <c r="Q279" s="21" t="str">
        <f aca="false">IF(Variants!$U280="","",Variants!$U280)</f>
        <v/>
      </c>
      <c r="R279" s="21" t="str">
        <f aca="false">IF(Variants!$Y280="","",Variants!$Y280)</f>
        <v/>
      </c>
      <c r="S279" s="21" t="n">
        <f aca="false">IFERROR(VLOOKUP(Variants!$B280,Designs!$A$3:$AP$165,37,FALSE()),"")</f>
        <v>0</v>
      </c>
      <c r="T279" s="21" t="str">
        <f aca="false">IFERROR(VLOOKUP(Variants!$B280,Designs!$A$3:$AP$165,38,FALSE()),"")</f>
        <v>No</v>
      </c>
      <c r="U279" s="21" t="str">
        <f aca="false">IF(Variants!$AD280="Active","active","draft")</f>
        <v>active</v>
      </c>
    </row>
    <row r="280" customFormat="false" ht="15.75" hidden="false" customHeight="true" outlineLevel="0" collapsed="false">
      <c r="A280" s="21" t="str">
        <f aca="false">IF(Variants!$B281="","",LOWER(Variants!$B281))</f>
        <v>dsgn-earrng-van-s</v>
      </c>
      <c r="B280" s="21" t="str">
        <f aca="false">IF(Variants!$B281="","",Variants!$C281&amp;IF(Variants!$F281="",""," "&amp;Variants!$F281))</f>
        <v>Van Earrings</v>
      </c>
      <c r="C280" s="21" t="str">
        <f aca="false">IFERROR(IF(Variants!$B281="","","&lt;p&gt;"&amp;VLOOKUP(Variants!$B281,Designs!$A$3:$AP$165,9,FALSE())&amp;"&lt;/p&gt;"),"")</f>
        <v>&lt;p&gt;Motifs from the Van/Vaspurakan region, echoing the ornament of the Lake Van heartland of historic Armenia.&lt;/p&gt;</v>
      </c>
      <c r="D280" s="21" t="str">
        <f aca="false">IF(Variants!$B281="","","Karni Jewellery")</f>
        <v>Karni Jewellery</v>
      </c>
      <c r="E280" s="21" t="str">
        <f aca="false">IF(Variants!$B281="","","Apparel &amp; Accessories &gt; Jewelry")</f>
        <v>Apparel &amp; Accessories &gt; Jewelry</v>
      </c>
      <c r="F280" s="21" t="str">
        <f aca="false">IF(Variants!$D281="","",Variants!$D281)</f>
        <v>Earring</v>
      </c>
      <c r="G280" s="21" t="str">
        <f aca="false">IF(Variants!$E281="","",Variants!$E281&amp;", Armenian jewellery, handmade")</f>
        <v>Van, Armenian jewellery, handmade</v>
      </c>
      <c r="H280" s="21" t="str">
        <f aca="false">IF(Variants!$AD281="Active","TRUE","FALSE")</f>
        <v>TRUE</v>
      </c>
      <c r="I280" s="21" t="str">
        <f aca="false">IF(Variants!$H281="","","Color")</f>
        <v>Color</v>
      </c>
      <c r="J280" s="21" t="str">
        <f aca="false">IF(Variants!$H281="","",Variants!$H281)</f>
        <v>turquoise</v>
      </c>
      <c r="K280" s="21" t="str">
        <f aca="false">IF(Variants!$G281="","","Size")</f>
        <v>Size</v>
      </c>
      <c r="L280" s="21" t="str">
        <f aca="false">IF(Variants!$G281="","",Variants!$G281)</f>
        <v>small</v>
      </c>
      <c r="M280" s="21" t="str">
        <f aca="false">Variants!$A281</f>
        <v>KARNI-EARRNG-VAN-S-TURQUOISE</v>
      </c>
      <c r="N280" s="21" t="str">
        <f aca="false">IF(Variants!$X281="","",Variants!$X281)</f>
        <v/>
      </c>
      <c r="O280" s="21" t="n">
        <f aca="false">IF(Variants!$O281="","",Variants!$O281)</f>
        <v>0</v>
      </c>
      <c r="P280" s="18" t="n">
        <f aca="false">IF(Variants!$J281="","",Variants!$J281)</f>
        <v>33.8</v>
      </c>
      <c r="Q280" s="21" t="str">
        <f aca="false">IF(Variants!$U281="","",Variants!$U281)</f>
        <v/>
      </c>
      <c r="R280" s="21" t="str">
        <f aca="false">IF(Variants!$Y281="","",Variants!$Y281)</f>
        <v/>
      </c>
      <c r="S280" s="21" t="n">
        <f aca="false">IFERROR(VLOOKUP(Variants!$B281,Designs!$A$3:$AP$165,37,FALSE()),"")</f>
        <v>0</v>
      </c>
      <c r="T280" s="21" t="str">
        <f aca="false">IFERROR(VLOOKUP(Variants!$B281,Designs!$A$3:$AP$165,38,FALSE()),"")</f>
        <v>No</v>
      </c>
      <c r="U280" s="21" t="str">
        <f aca="false">IF(Variants!$AD281="Active","active","draft")</f>
        <v>active</v>
      </c>
    </row>
    <row r="281" customFormat="false" ht="15.75" hidden="false" customHeight="true" outlineLevel="0" collapsed="false">
      <c r="A281" s="21" t="str">
        <f aca="false">IF(Variants!$B282="","",LOWER(Variants!$B282))</f>
        <v>dsgn-earrng-van-s</v>
      </c>
      <c r="B281" s="21" t="str">
        <f aca="false">IF(Variants!$B282="","",Variants!$C282&amp;IF(Variants!$F282="",""," "&amp;Variants!$F282))</f>
        <v>Van Earrings</v>
      </c>
      <c r="C281" s="21" t="str">
        <f aca="false">IFERROR(IF(Variants!$B282="","","&lt;p&gt;"&amp;VLOOKUP(Variants!$B282,Designs!$A$3:$AP$165,9,FALSE())&amp;"&lt;/p&gt;"),"")</f>
        <v>&lt;p&gt;Motifs from the Van/Vaspurakan region, echoing the ornament of the Lake Van heartland of historic Armenia.&lt;/p&gt;</v>
      </c>
      <c r="D281" s="21" t="str">
        <f aca="false">IF(Variants!$B282="","","Karni Jewellery")</f>
        <v>Karni Jewellery</v>
      </c>
      <c r="E281" s="21" t="str">
        <f aca="false">IF(Variants!$B282="","","Apparel &amp; Accessories &gt; Jewelry")</f>
        <v>Apparel &amp; Accessories &gt; Jewelry</v>
      </c>
      <c r="F281" s="21" t="str">
        <f aca="false">IF(Variants!$D282="","",Variants!$D282)</f>
        <v>Earring</v>
      </c>
      <c r="G281" s="21" t="str">
        <f aca="false">IF(Variants!$E282="","",Variants!$E282&amp;", Armenian jewellery, handmade")</f>
        <v>Van, Armenian jewellery, handmade</v>
      </c>
      <c r="H281" s="21" t="str">
        <f aca="false">IF(Variants!$AD282="Active","TRUE","FALSE")</f>
        <v>TRUE</v>
      </c>
      <c r="I281" s="21" t="str">
        <f aca="false">IF(Variants!$H282="","","Color")</f>
        <v>Color</v>
      </c>
      <c r="J281" s="21" t="str">
        <f aca="false">IF(Variants!$H282="","",Variants!$H282)</f>
        <v>green</v>
      </c>
      <c r="K281" s="21" t="str">
        <f aca="false">IF(Variants!$G282="","","Size")</f>
        <v>Size</v>
      </c>
      <c r="L281" s="21" t="str">
        <f aca="false">IF(Variants!$G282="","",Variants!$G282)</f>
        <v>small</v>
      </c>
      <c r="M281" s="21" t="str">
        <f aca="false">Variants!$A282</f>
        <v>KARNI-EARRNG-VAN-S-GREEN</v>
      </c>
      <c r="N281" s="21" t="str">
        <f aca="false">IF(Variants!$X282="","",Variants!$X282)</f>
        <v/>
      </c>
      <c r="O281" s="21" t="n">
        <f aca="false">IF(Variants!$O282="","",Variants!$O282)</f>
        <v>0</v>
      </c>
      <c r="P281" s="18" t="n">
        <f aca="false">IF(Variants!$J282="","",Variants!$J282)</f>
        <v>33.8</v>
      </c>
      <c r="Q281" s="21" t="str">
        <f aca="false">IF(Variants!$U282="","",Variants!$U282)</f>
        <v/>
      </c>
      <c r="R281" s="21" t="str">
        <f aca="false">IF(Variants!$Y282="","",Variants!$Y282)</f>
        <v/>
      </c>
      <c r="S281" s="21" t="n">
        <f aca="false">IFERROR(VLOOKUP(Variants!$B282,Designs!$A$3:$AP$165,37,FALSE()),"")</f>
        <v>0</v>
      </c>
      <c r="T281" s="21" t="str">
        <f aca="false">IFERROR(VLOOKUP(Variants!$B282,Designs!$A$3:$AP$165,38,FALSE()),"")</f>
        <v>No</v>
      </c>
      <c r="U281" s="21" t="str">
        <f aca="false">IF(Variants!$AD282="Active","active","draft")</f>
        <v>active</v>
      </c>
    </row>
    <row r="282" customFormat="false" ht="15.75" hidden="false" customHeight="true" outlineLevel="0" collapsed="false">
      <c r="A282" s="21" t="str">
        <f aca="false">IF(Variants!$B283="","",LOWER(Variants!$B283))</f>
        <v>dsgn-earrng-van-m</v>
      </c>
      <c r="B282" s="21" t="str">
        <f aca="false">IF(Variants!$B283="","",Variants!$C283&amp;IF(Variants!$F283="",""," "&amp;Variants!$F283))</f>
        <v>Van Earrings</v>
      </c>
      <c r="C282" s="21" t="str">
        <f aca="false">IFERROR(IF(Variants!$B283="","","&lt;p&gt;"&amp;VLOOKUP(Variants!$B283,Designs!$A$3:$AP$165,9,FALSE())&amp;"&lt;/p&gt;"),"")</f>
        <v>&lt;p&gt;Motifs from the Van/Vaspurakan region, echoing the ornament of the Lake Van heartland of historic Armenia.&lt;/p&gt;</v>
      </c>
      <c r="D282" s="21" t="str">
        <f aca="false">IF(Variants!$B283="","","Karni Jewellery")</f>
        <v>Karni Jewellery</v>
      </c>
      <c r="E282" s="21" t="str">
        <f aca="false">IF(Variants!$B283="","","Apparel &amp; Accessories &gt; Jewelry")</f>
        <v>Apparel &amp; Accessories &gt; Jewelry</v>
      </c>
      <c r="F282" s="21" t="str">
        <f aca="false">IF(Variants!$D283="","",Variants!$D283)</f>
        <v>Earring</v>
      </c>
      <c r="G282" s="21" t="str">
        <f aca="false">IF(Variants!$E283="","",Variants!$E283&amp;", Armenian jewellery, handmade")</f>
        <v>Van, Armenian jewellery, handmade</v>
      </c>
      <c r="H282" s="21" t="str">
        <f aca="false">IF(Variants!$AD283="Active","TRUE","FALSE")</f>
        <v>TRUE</v>
      </c>
      <c r="I282" s="21" t="str">
        <f aca="false">IF(Variants!$H283="","","Color")</f>
        <v>Color</v>
      </c>
      <c r="J282" s="21" t="str">
        <f aca="false">IF(Variants!$H283="","",Variants!$H283)</f>
        <v>white</v>
      </c>
      <c r="K282" s="21" t="str">
        <f aca="false">IF(Variants!$G283="","","Size")</f>
        <v>Size</v>
      </c>
      <c r="L282" s="21" t="str">
        <f aca="false">IF(Variants!$G283="","",Variants!$G283)</f>
        <v>medium</v>
      </c>
      <c r="M282" s="21" t="str">
        <f aca="false">Variants!$A283</f>
        <v>KARNI-EARRNG-VAN-M-WHITE</v>
      </c>
      <c r="N282" s="21" t="str">
        <f aca="false">IF(Variants!$X283="","",Variants!$X283)</f>
        <v/>
      </c>
      <c r="O282" s="21" t="n">
        <f aca="false">IF(Variants!$O283="","",Variants!$O283)</f>
        <v>0</v>
      </c>
      <c r="P282" s="18" t="n">
        <f aca="false">IF(Variants!$J283="","",Variants!$J283)</f>
        <v>70.2</v>
      </c>
      <c r="Q282" s="21" t="str">
        <f aca="false">IF(Variants!$U283="","",Variants!$U283)</f>
        <v/>
      </c>
      <c r="R282" s="21" t="str">
        <f aca="false">IF(Variants!$Y283="","",Variants!$Y283)</f>
        <v/>
      </c>
      <c r="S282" s="21" t="n">
        <f aca="false">IFERROR(VLOOKUP(Variants!$B283,Designs!$A$3:$AP$165,37,FALSE()),"")</f>
        <v>0</v>
      </c>
      <c r="T282" s="21" t="str">
        <f aca="false">IFERROR(VLOOKUP(Variants!$B283,Designs!$A$3:$AP$165,38,FALSE()),"")</f>
        <v>No</v>
      </c>
      <c r="U282" s="21" t="str">
        <f aca="false">IF(Variants!$AD283="Active","active","draft")</f>
        <v>active</v>
      </c>
    </row>
    <row r="283" customFormat="false" ht="15.75" hidden="false" customHeight="true" outlineLevel="0" collapsed="false">
      <c r="A283" s="21" t="str">
        <f aca="false">IF(Variants!$B284="","",LOWER(Variants!$B284))</f>
        <v>dsgn-earrng-van-m</v>
      </c>
      <c r="B283" s="21" t="str">
        <f aca="false">IF(Variants!$B284="","",Variants!$C284&amp;IF(Variants!$F284="",""," "&amp;Variants!$F284))</f>
        <v>Van Earrings</v>
      </c>
      <c r="C283" s="21" t="str">
        <f aca="false">IFERROR(IF(Variants!$B284="","","&lt;p&gt;"&amp;VLOOKUP(Variants!$B284,Designs!$A$3:$AP$165,9,FALSE())&amp;"&lt;/p&gt;"),"")</f>
        <v>&lt;p&gt;Motifs from the Van/Vaspurakan region, echoing the ornament of the Lake Van heartland of historic Armenia.&lt;/p&gt;</v>
      </c>
      <c r="D283" s="21" t="str">
        <f aca="false">IF(Variants!$B284="","","Karni Jewellery")</f>
        <v>Karni Jewellery</v>
      </c>
      <c r="E283" s="21" t="str">
        <f aca="false">IF(Variants!$B284="","","Apparel &amp; Accessories &gt; Jewelry")</f>
        <v>Apparel &amp; Accessories &gt; Jewelry</v>
      </c>
      <c r="F283" s="21" t="str">
        <f aca="false">IF(Variants!$D284="","",Variants!$D284)</f>
        <v>Earring</v>
      </c>
      <c r="G283" s="21" t="str">
        <f aca="false">IF(Variants!$E284="","",Variants!$E284&amp;", Armenian jewellery, handmade")</f>
        <v>Van, Armenian jewellery, handmade</v>
      </c>
      <c r="H283" s="21" t="str">
        <f aca="false">IF(Variants!$AD284="Active","TRUE","FALSE")</f>
        <v>TRUE</v>
      </c>
      <c r="I283" s="21" t="str">
        <f aca="false">IF(Variants!$H284="","","Color")</f>
        <v>Color</v>
      </c>
      <c r="J283" s="21" t="str">
        <f aca="false">IF(Variants!$H284="","",Variants!$H284)</f>
        <v>turquoise</v>
      </c>
      <c r="K283" s="21" t="str">
        <f aca="false">IF(Variants!$G284="","","Size")</f>
        <v>Size</v>
      </c>
      <c r="L283" s="21" t="str">
        <f aca="false">IF(Variants!$G284="","",Variants!$G284)</f>
        <v>medium</v>
      </c>
      <c r="M283" s="21" t="str">
        <f aca="false">Variants!$A284</f>
        <v>KARNI-EARRNG-VAN-M-TURQUOISE</v>
      </c>
      <c r="N283" s="21" t="str">
        <f aca="false">IF(Variants!$X284="","",Variants!$X284)</f>
        <v/>
      </c>
      <c r="O283" s="21" t="n">
        <f aca="false">IF(Variants!$O284="","",Variants!$O284)</f>
        <v>0</v>
      </c>
      <c r="P283" s="18" t="n">
        <f aca="false">IF(Variants!$J284="","",Variants!$J284)</f>
        <v>70.2</v>
      </c>
      <c r="Q283" s="21" t="str">
        <f aca="false">IF(Variants!$U284="","",Variants!$U284)</f>
        <v/>
      </c>
      <c r="R283" s="21" t="str">
        <f aca="false">IF(Variants!$Y284="","",Variants!$Y284)</f>
        <v/>
      </c>
      <c r="S283" s="21" t="n">
        <f aca="false">IFERROR(VLOOKUP(Variants!$B284,Designs!$A$3:$AP$165,37,FALSE()),"")</f>
        <v>0</v>
      </c>
      <c r="T283" s="21" t="str">
        <f aca="false">IFERROR(VLOOKUP(Variants!$B284,Designs!$A$3:$AP$165,38,FALSE()),"")</f>
        <v>No</v>
      </c>
      <c r="U283" s="21" t="str">
        <f aca="false">IF(Variants!$AD284="Active","active","draft")</f>
        <v>active</v>
      </c>
    </row>
    <row r="284" customFormat="false" ht="15.75" hidden="false" customHeight="true" outlineLevel="0" collapsed="false">
      <c r="A284" s="21" t="str">
        <f aca="false">IF(Variants!$B285="","",LOWER(Variants!$B285))</f>
        <v>dsgn-earrng-van-m</v>
      </c>
      <c r="B284" s="21" t="str">
        <f aca="false">IF(Variants!$B285="","",Variants!$C285&amp;IF(Variants!$F285="",""," "&amp;Variants!$F285))</f>
        <v>Van Earrings</v>
      </c>
      <c r="C284" s="21" t="str">
        <f aca="false">IFERROR(IF(Variants!$B285="","","&lt;p&gt;"&amp;VLOOKUP(Variants!$B285,Designs!$A$3:$AP$165,9,FALSE())&amp;"&lt;/p&gt;"),"")</f>
        <v>&lt;p&gt;Motifs from the Van/Vaspurakan region, echoing the ornament of the Lake Van heartland of historic Armenia.&lt;/p&gt;</v>
      </c>
      <c r="D284" s="21" t="str">
        <f aca="false">IF(Variants!$B285="","","Karni Jewellery")</f>
        <v>Karni Jewellery</v>
      </c>
      <c r="E284" s="21" t="str">
        <f aca="false">IF(Variants!$B285="","","Apparel &amp; Accessories &gt; Jewelry")</f>
        <v>Apparel &amp; Accessories &gt; Jewelry</v>
      </c>
      <c r="F284" s="21" t="str">
        <f aca="false">IF(Variants!$D285="","",Variants!$D285)</f>
        <v>Earring</v>
      </c>
      <c r="G284" s="21" t="str">
        <f aca="false">IF(Variants!$E285="","",Variants!$E285&amp;", Armenian jewellery, handmade")</f>
        <v>Van, Armenian jewellery, handmade</v>
      </c>
      <c r="H284" s="21" t="str">
        <f aca="false">IF(Variants!$AD285="Active","TRUE","FALSE")</f>
        <v>TRUE</v>
      </c>
      <c r="I284" s="21" t="str">
        <f aca="false">IF(Variants!$H285="","","Color")</f>
        <v>Color</v>
      </c>
      <c r="J284" s="21" t="str">
        <f aca="false">IF(Variants!$H285="","",Variants!$H285)</f>
        <v>camel</v>
      </c>
      <c r="K284" s="21" t="str">
        <f aca="false">IF(Variants!$G285="","","Size")</f>
        <v>Size</v>
      </c>
      <c r="L284" s="21" t="str">
        <f aca="false">IF(Variants!$G285="","",Variants!$G285)</f>
        <v>medium</v>
      </c>
      <c r="M284" s="21" t="str">
        <f aca="false">Variants!$A285</f>
        <v>KARNI-EARRNG-VAN-M-CAMEL</v>
      </c>
      <c r="N284" s="21" t="str">
        <f aca="false">IF(Variants!$X285="","",Variants!$X285)</f>
        <v/>
      </c>
      <c r="O284" s="21" t="n">
        <f aca="false">IF(Variants!$O285="","",Variants!$O285)</f>
        <v>0</v>
      </c>
      <c r="P284" s="18" t="n">
        <f aca="false">IF(Variants!$J285="","",Variants!$J285)</f>
        <v>70.2</v>
      </c>
      <c r="Q284" s="21" t="str">
        <f aca="false">IF(Variants!$U285="","",Variants!$U285)</f>
        <v/>
      </c>
      <c r="R284" s="21" t="str">
        <f aca="false">IF(Variants!$Y285="","",Variants!$Y285)</f>
        <v/>
      </c>
      <c r="S284" s="21" t="n">
        <f aca="false">IFERROR(VLOOKUP(Variants!$B285,Designs!$A$3:$AP$165,37,FALSE()),"")</f>
        <v>0</v>
      </c>
      <c r="T284" s="21" t="str">
        <f aca="false">IFERROR(VLOOKUP(Variants!$B285,Designs!$A$3:$AP$165,38,FALSE()),"")</f>
        <v>No</v>
      </c>
      <c r="U284" s="21" t="str">
        <f aca="false">IF(Variants!$AD285="Active","active","draft")</f>
        <v>active</v>
      </c>
    </row>
    <row r="285" customFormat="false" ht="15.75" hidden="false" customHeight="true" outlineLevel="0" collapsed="false">
      <c r="A285" s="21" t="str">
        <f aca="false">IF(Variants!$B286="","",LOWER(Variants!$B286))</f>
        <v>dsgn-earrng-van-m</v>
      </c>
      <c r="B285" s="21" t="str">
        <f aca="false">IF(Variants!$B286="","",Variants!$C286&amp;IF(Variants!$F286="",""," "&amp;Variants!$F286))</f>
        <v>Van Earrings</v>
      </c>
      <c r="C285" s="21" t="str">
        <f aca="false">IFERROR(IF(Variants!$B286="","","&lt;p&gt;"&amp;VLOOKUP(Variants!$B286,Designs!$A$3:$AP$165,9,FALSE())&amp;"&lt;/p&gt;"),"")</f>
        <v>&lt;p&gt;Motifs from the Van/Vaspurakan region, echoing the ornament of the Lake Van heartland of historic Armenia.&lt;/p&gt;</v>
      </c>
      <c r="D285" s="21" t="str">
        <f aca="false">IF(Variants!$B286="","","Karni Jewellery")</f>
        <v>Karni Jewellery</v>
      </c>
      <c r="E285" s="21" t="str">
        <f aca="false">IF(Variants!$B286="","","Apparel &amp; Accessories &gt; Jewelry")</f>
        <v>Apparel &amp; Accessories &gt; Jewelry</v>
      </c>
      <c r="F285" s="21" t="str">
        <f aca="false">IF(Variants!$D286="","",Variants!$D286)</f>
        <v>Earring</v>
      </c>
      <c r="G285" s="21" t="str">
        <f aca="false">IF(Variants!$E286="","",Variants!$E286&amp;", Armenian jewellery, handmade")</f>
        <v>Van, Armenian jewellery, handmade</v>
      </c>
      <c r="H285" s="21" t="str">
        <f aca="false">IF(Variants!$AD286="Active","TRUE","FALSE")</f>
        <v>TRUE</v>
      </c>
      <c r="I285" s="21" t="str">
        <f aca="false">IF(Variants!$H286="","","Color")</f>
        <v>Color</v>
      </c>
      <c r="J285" s="21" t="str">
        <f aca="false">IF(Variants!$H286="","",Variants!$H286)</f>
        <v>blue</v>
      </c>
      <c r="K285" s="21" t="str">
        <f aca="false">IF(Variants!$G286="","","Size")</f>
        <v>Size</v>
      </c>
      <c r="L285" s="21" t="str">
        <f aca="false">IF(Variants!$G286="","",Variants!$G286)</f>
        <v>medium</v>
      </c>
      <c r="M285" s="21" t="str">
        <f aca="false">Variants!$A286</f>
        <v>KARNI-EARRNG-VAN-M-BLUE</v>
      </c>
      <c r="N285" s="21" t="str">
        <f aca="false">IF(Variants!$X286="","",Variants!$X286)</f>
        <v/>
      </c>
      <c r="O285" s="21" t="n">
        <f aca="false">IF(Variants!$O286="","",Variants!$O286)</f>
        <v>0</v>
      </c>
      <c r="P285" s="18" t="n">
        <f aca="false">IF(Variants!$J286="","",Variants!$J286)</f>
        <v>70.2</v>
      </c>
      <c r="Q285" s="21" t="str">
        <f aca="false">IF(Variants!$U286="","",Variants!$U286)</f>
        <v/>
      </c>
      <c r="R285" s="21" t="str">
        <f aca="false">IF(Variants!$Y286="","",Variants!$Y286)</f>
        <v/>
      </c>
      <c r="S285" s="21" t="n">
        <f aca="false">IFERROR(VLOOKUP(Variants!$B286,Designs!$A$3:$AP$165,37,FALSE()),"")</f>
        <v>0</v>
      </c>
      <c r="T285" s="21" t="str">
        <f aca="false">IFERROR(VLOOKUP(Variants!$B286,Designs!$A$3:$AP$165,38,FALSE()),"")</f>
        <v>No</v>
      </c>
      <c r="U285" s="21" t="str">
        <f aca="false">IF(Variants!$AD286="Active","active","draft")</f>
        <v>active</v>
      </c>
    </row>
    <row r="286" customFormat="false" ht="15.75" hidden="false" customHeight="true" outlineLevel="0" collapsed="false">
      <c r="A286" s="21" t="str">
        <f aca="false">IF(Variants!$B287="","",LOWER(Variants!$B287))</f>
        <v>dsgn-earrng-artsakhikhachanakhsh-s</v>
      </c>
      <c r="B286" s="21" t="str">
        <f aca="false">IF(Variants!$B287="","",Variants!$C287&amp;IF(Variants!$F287="",""," "&amp;Variants!$F287))</f>
        <v>Artsakhi Khachanakhsh Earrings</v>
      </c>
      <c r="C286" s="21" t="str">
        <f aca="false">IFERROR(IF(Variants!$B287="","","&lt;p&gt;"&amp;VLOOKUP(Variants!$B287,Designs!$A$3:$AP$165,9,FALSE())&amp;"&lt;/p&gt;"),"")</f>
        <v>&lt;p&gt;Cross-ornament patterns from Artsakh, carrying the carved cross-stone heritage of the region.&lt;/p&gt;</v>
      </c>
      <c r="D286" s="21" t="str">
        <f aca="false">IF(Variants!$B287="","","Karni Jewellery")</f>
        <v>Karni Jewellery</v>
      </c>
      <c r="E286" s="21" t="str">
        <f aca="false">IF(Variants!$B287="","","Apparel &amp; Accessories &gt; Jewelry")</f>
        <v>Apparel &amp; Accessories &gt; Jewelry</v>
      </c>
      <c r="F286" s="21" t="str">
        <f aca="false">IF(Variants!$D287="","",Variants!$D287)</f>
        <v>Earring</v>
      </c>
      <c r="G286" s="21" t="str">
        <f aca="false">IF(Variants!$E287="","",Variants!$E287&amp;", Armenian jewellery, handmade")</f>
        <v>Artsakhi Khachanakhsh, Armenian jewellery, handmade</v>
      </c>
      <c r="H286" s="21" t="str">
        <f aca="false">IF(Variants!$AD287="Active","TRUE","FALSE")</f>
        <v>TRUE</v>
      </c>
      <c r="I286" s="21" t="str">
        <f aca="false">IF(Variants!$H287="","","Color")</f>
        <v>Color</v>
      </c>
      <c r="J286" s="21" t="str">
        <f aca="false">IF(Variants!$H287="","",Variants!$H287)</f>
        <v>blue</v>
      </c>
      <c r="K286" s="21" t="str">
        <f aca="false">IF(Variants!$G287="","","Size")</f>
        <v>Size</v>
      </c>
      <c r="L286" s="21" t="str">
        <f aca="false">IF(Variants!$G287="","",Variants!$G287)</f>
        <v>small</v>
      </c>
      <c r="M286" s="21" t="str">
        <f aca="false">Variants!$A287</f>
        <v>KARNI-EARRNG-ARTSAKHKHACH-S-BLUE</v>
      </c>
      <c r="N286" s="21" t="str">
        <f aca="false">IF(Variants!$X287="","",Variants!$X287)</f>
        <v/>
      </c>
      <c r="O286" s="21" t="n">
        <f aca="false">IF(Variants!$O287="","",Variants!$O287)</f>
        <v>0</v>
      </c>
      <c r="P286" s="18" t="n">
        <f aca="false">IF(Variants!$J287="","",Variants!$J287)</f>
        <v>33.8</v>
      </c>
      <c r="Q286" s="21" t="str">
        <f aca="false">IF(Variants!$U287="","",Variants!$U287)</f>
        <v/>
      </c>
      <c r="R286" s="21" t="str">
        <f aca="false">IF(Variants!$Y287="","",Variants!$Y287)</f>
        <v/>
      </c>
      <c r="S286" s="21" t="n">
        <f aca="false">IFERROR(VLOOKUP(Variants!$B287,Designs!$A$3:$AP$165,37,FALSE()),"")</f>
        <v>0</v>
      </c>
      <c r="T286" s="21" t="str">
        <f aca="false">IFERROR(VLOOKUP(Variants!$B287,Designs!$A$3:$AP$165,38,FALSE()),"")</f>
        <v>No</v>
      </c>
      <c r="U286" s="21" t="str">
        <f aca="false">IF(Variants!$AD287="Active","active","draft")</f>
        <v>active</v>
      </c>
    </row>
    <row r="287" customFormat="false" ht="15.75" hidden="false" customHeight="true" outlineLevel="0" collapsed="false">
      <c r="A287" s="21" t="str">
        <f aca="false">IF(Variants!$B288="","",LOWER(Variants!$B288))</f>
        <v>dsgn-earrng-artsakhikhachanakhsh-s</v>
      </c>
      <c r="B287" s="21" t="str">
        <f aca="false">IF(Variants!$B288="","",Variants!$C288&amp;IF(Variants!$F288="",""," "&amp;Variants!$F288))</f>
        <v>Artsakhi Khachanakhsh Earrings</v>
      </c>
      <c r="C287" s="21" t="str">
        <f aca="false">IFERROR(IF(Variants!$B288="","","&lt;p&gt;"&amp;VLOOKUP(Variants!$B288,Designs!$A$3:$AP$165,9,FALSE())&amp;"&lt;/p&gt;"),"")</f>
        <v>&lt;p&gt;Cross-ornament patterns from Artsakh, carrying the carved cross-stone heritage of the region.&lt;/p&gt;</v>
      </c>
      <c r="D287" s="21" t="str">
        <f aca="false">IF(Variants!$B288="","","Karni Jewellery")</f>
        <v>Karni Jewellery</v>
      </c>
      <c r="E287" s="21" t="str">
        <f aca="false">IF(Variants!$B288="","","Apparel &amp; Accessories &gt; Jewelry")</f>
        <v>Apparel &amp; Accessories &gt; Jewelry</v>
      </c>
      <c r="F287" s="21" t="str">
        <f aca="false">IF(Variants!$D288="","",Variants!$D288)</f>
        <v>Earring</v>
      </c>
      <c r="G287" s="21" t="str">
        <f aca="false">IF(Variants!$E288="","",Variants!$E288&amp;", Armenian jewellery, handmade")</f>
        <v>Artsakhi Khachanakhsh, Armenian jewellery, handmade</v>
      </c>
      <c r="H287" s="21" t="str">
        <f aca="false">IF(Variants!$AD288="Active","TRUE","FALSE")</f>
        <v>TRUE</v>
      </c>
      <c r="I287" s="21" t="str">
        <f aca="false">IF(Variants!$H288="","","Color")</f>
        <v>Color</v>
      </c>
      <c r="J287" s="21" t="str">
        <f aca="false">IF(Variants!$H288="","",Variants!$H288)</f>
        <v>white red dot</v>
      </c>
      <c r="K287" s="21" t="str">
        <f aca="false">IF(Variants!$G288="","","Size")</f>
        <v>Size</v>
      </c>
      <c r="L287" s="21" t="str">
        <f aca="false">IF(Variants!$G288="","",Variants!$G288)</f>
        <v>small</v>
      </c>
      <c r="M287" s="21" t="str">
        <f aca="false">Variants!$A288</f>
        <v>KARNI-EARRNG-ARTSAKHKHACH-S-WHITE-RED-DOT</v>
      </c>
      <c r="N287" s="21" t="str">
        <f aca="false">IF(Variants!$X288="","",Variants!$X288)</f>
        <v/>
      </c>
      <c r="O287" s="21" t="n">
        <f aca="false">IF(Variants!$O288="","",Variants!$O288)</f>
        <v>0</v>
      </c>
      <c r="P287" s="18" t="n">
        <f aca="false">IF(Variants!$J288="","",Variants!$J288)</f>
        <v>33.8</v>
      </c>
      <c r="Q287" s="21" t="str">
        <f aca="false">IF(Variants!$U288="","",Variants!$U288)</f>
        <v/>
      </c>
      <c r="R287" s="21" t="str">
        <f aca="false">IF(Variants!$Y288="","",Variants!$Y288)</f>
        <v/>
      </c>
      <c r="S287" s="21" t="n">
        <f aca="false">IFERROR(VLOOKUP(Variants!$B288,Designs!$A$3:$AP$165,37,FALSE()),"")</f>
        <v>0</v>
      </c>
      <c r="T287" s="21" t="str">
        <f aca="false">IFERROR(VLOOKUP(Variants!$B288,Designs!$A$3:$AP$165,38,FALSE()),"")</f>
        <v>No</v>
      </c>
      <c r="U287" s="21" t="str">
        <f aca="false">IF(Variants!$AD288="Active","active","draft")</f>
        <v>active</v>
      </c>
    </row>
    <row r="288" customFormat="false" ht="15.75" hidden="false" customHeight="true" outlineLevel="0" collapsed="false">
      <c r="A288" s="21" t="str">
        <f aca="false">IF(Variants!$B289="","",LOWER(Variants!$B289))</f>
        <v>dsgn-earrng-artsakhikhachanakhsh-s</v>
      </c>
      <c r="B288" s="21" t="str">
        <f aca="false">IF(Variants!$B289="","",Variants!$C289&amp;IF(Variants!$F289="",""," "&amp;Variants!$F289))</f>
        <v>Artsakhi Khachanakhsh Earrings</v>
      </c>
      <c r="C288" s="21" t="str">
        <f aca="false">IFERROR(IF(Variants!$B289="","","&lt;p&gt;"&amp;VLOOKUP(Variants!$B289,Designs!$A$3:$AP$165,9,FALSE())&amp;"&lt;/p&gt;"),"")</f>
        <v>&lt;p&gt;Cross-ornament patterns from Artsakh, carrying the carved cross-stone heritage of the region.&lt;/p&gt;</v>
      </c>
      <c r="D288" s="21" t="str">
        <f aca="false">IF(Variants!$B289="","","Karni Jewellery")</f>
        <v>Karni Jewellery</v>
      </c>
      <c r="E288" s="21" t="str">
        <f aca="false">IF(Variants!$B289="","","Apparel &amp; Accessories &gt; Jewelry")</f>
        <v>Apparel &amp; Accessories &gt; Jewelry</v>
      </c>
      <c r="F288" s="21" t="str">
        <f aca="false">IF(Variants!$D289="","",Variants!$D289)</f>
        <v>Earring</v>
      </c>
      <c r="G288" s="21" t="str">
        <f aca="false">IF(Variants!$E289="","",Variants!$E289&amp;", Armenian jewellery, handmade")</f>
        <v>Artsakhi Khachanakhsh, Armenian jewellery, handmade</v>
      </c>
      <c r="H288" s="21" t="str">
        <f aca="false">IF(Variants!$AD289="Active","TRUE","FALSE")</f>
        <v>TRUE</v>
      </c>
      <c r="I288" s="21" t="str">
        <f aca="false">IF(Variants!$H289="","","Color")</f>
        <v>Color</v>
      </c>
      <c r="J288" s="21" t="str">
        <f aca="false">IF(Variants!$H289="","",Variants!$H289)</f>
        <v>white blue dot</v>
      </c>
      <c r="K288" s="21" t="str">
        <f aca="false">IF(Variants!$G289="","","Size")</f>
        <v>Size</v>
      </c>
      <c r="L288" s="21" t="str">
        <f aca="false">IF(Variants!$G289="","",Variants!$G289)</f>
        <v>small</v>
      </c>
      <c r="M288" s="21" t="str">
        <f aca="false">Variants!$A289</f>
        <v>KARNI-EARRNG-ARTSAKHKHACH-S-WHITE-BLUE-DOT</v>
      </c>
      <c r="N288" s="21" t="str">
        <f aca="false">IF(Variants!$X289="","",Variants!$X289)</f>
        <v/>
      </c>
      <c r="O288" s="21" t="n">
        <f aca="false">IF(Variants!$O289="","",Variants!$O289)</f>
        <v>0</v>
      </c>
      <c r="P288" s="18" t="n">
        <f aca="false">IF(Variants!$J289="","",Variants!$J289)</f>
        <v>33.8</v>
      </c>
      <c r="Q288" s="21" t="str">
        <f aca="false">IF(Variants!$U289="","",Variants!$U289)</f>
        <v/>
      </c>
      <c r="R288" s="21" t="str">
        <f aca="false">IF(Variants!$Y289="","",Variants!$Y289)</f>
        <v/>
      </c>
      <c r="S288" s="21" t="n">
        <f aca="false">IFERROR(VLOOKUP(Variants!$B289,Designs!$A$3:$AP$165,37,FALSE()),"")</f>
        <v>0</v>
      </c>
      <c r="T288" s="21" t="str">
        <f aca="false">IFERROR(VLOOKUP(Variants!$B289,Designs!$A$3:$AP$165,38,FALSE()),"")</f>
        <v>No</v>
      </c>
      <c r="U288" s="21" t="str">
        <f aca="false">IF(Variants!$AD289="Active","active","draft")</f>
        <v>active</v>
      </c>
    </row>
    <row r="289" customFormat="false" ht="15.75" hidden="false" customHeight="true" outlineLevel="0" collapsed="false">
      <c r="A289" s="21" t="str">
        <f aca="false">IF(Variants!$B290="","",LOWER(Variants!$B290))</f>
        <v>dsgn-earrng-artsakhikhachanakhsh-s</v>
      </c>
      <c r="B289" s="21" t="str">
        <f aca="false">IF(Variants!$B290="","",Variants!$C290&amp;IF(Variants!$F290="",""," "&amp;Variants!$F290))</f>
        <v>Artsakhi Khachanakhsh Earrings</v>
      </c>
      <c r="C289" s="21" t="str">
        <f aca="false">IFERROR(IF(Variants!$B290="","","&lt;p&gt;"&amp;VLOOKUP(Variants!$B290,Designs!$A$3:$AP$165,9,FALSE())&amp;"&lt;/p&gt;"),"")</f>
        <v>&lt;p&gt;Cross-ornament patterns from Artsakh, carrying the carved cross-stone heritage of the region.&lt;/p&gt;</v>
      </c>
      <c r="D289" s="21" t="str">
        <f aca="false">IF(Variants!$B290="","","Karni Jewellery")</f>
        <v>Karni Jewellery</v>
      </c>
      <c r="E289" s="21" t="str">
        <f aca="false">IF(Variants!$B290="","","Apparel &amp; Accessories &gt; Jewelry")</f>
        <v>Apparel &amp; Accessories &gt; Jewelry</v>
      </c>
      <c r="F289" s="21" t="str">
        <f aca="false">IF(Variants!$D290="","",Variants!$D290)</f>
        <v>Earring</v>
      </c>
      <c r="G289" s="21" t="str">
        <f aca="false">IF(Variants!$E290="","",Variants!$E290&amp;", Armenian jewellery, handmade")</f>
        <v>Artsakhi Khachanakhsh, Armenian jewellery, handmade</v>
      </c>
      <c r="H289" s="21" t="str">
        <f aca="false">IF(Variants!$AD290="Active","TRUE","FALSE")</f>
        <v>TRUE</v>
      </c>
      <c r="I289" s="21" t="str">
        <f aca="false">IF(Variants!$H290="","","Color")</f>
        <v>Color</v>
      </c>
      <c r="J289" s="21" t="str">
        <f aca="false">IF(Variants!$H290="","",Variants!$H290)</f>
        <v>bordeaux</v>
      </c>
      <c r="K289" s="21" t="str">
        <f aca="false">IF(Variants!$G290="","","Size")</f>
        <v>Size</v>
      </c>
      <c r="L289" s="21" t="str">
        <f aca="false">IF(Variants!$G290="","",Variants!$G290)</f>
        <v>small</v>
      </c>
      <c r="M289" s="21" t="str">
        <f aca="false">Variants!$A290</f>
        <v>KARNI-EARRNG-ARTSAKHKHACH-S-BORDEAUX</v>
      </c>
      <c r="N289" s="21" t="str">
        <f aca="false">IF(Variants!$X290="","",Variants!$X290)</f>
        <v/>
      </c>
      <c r="O289" s="21" t="n">
        <f aca="false">IF(Variants!$O290="","",Variants!$O290)</f>
        <v>0</v>
      </c>
      <c r="P289" s="18" t="n">
        <f aca="false">IF(Variants!$J290="","",Variants!$J290)</f>
        <v>33.8</v>
      </c>
      <c r="Q289" s="21" t="str">
        <f aca="false">IF(Variants!$U290="","",Variants!$U290)</f>
        <v/>
      </c>
      <c r="R289" s="21" t="str">
        <f aca="false">IF(Variants!$Y290="","",Variants!$Y290)</f>
        <v/>
      </c>
      <c r="S289" s="21" t="n">
        <f aca="false">IFERROR(VLOOKUP(Variants!$B290,Designs!$A$3:$AP$165,37,FALSE()),"")</f>
        <v>0</v>
      </c>
      <c r="T289" s="21" t="str">
        <f aca="false">IFERROR(VLOOKUP(Variants!$B290,Designs!$A$3:$AP$165,38,FALSE()),"")</f>
        <v>No</v>
      </c>
      <c r="U289" s="21" t="str">
        <f aca="false">IF(Variants!$AD290="Active","active","draft")</f>
        <v>active</v>
      </c>
    </row>
    <row r="290" customFormat="false" ht="15.75" hidden="false" customHeight="true" outlineLevel="0" collapsed="false">
      <c r="A290" s="21" t="str">
        <f aca="false">IF(Variants!$B291="","",LOWER(Variants!$B291))</f>
        <v>dsgn-earrng-artsakhikhachanakhsh-s</v>
      </c>
      <c r="B290" s="21" t="str">
        <f aca="false">IF(Variants!$B291="","",Variants!$C291&amp;IF(Variants!$F291="",""," "&amp;Variants!$F291))</f>
        <v>Artsakhi Khachanakhsh Earrings</v>
      </c>
      <c r="C290" s="21" t="str">
        <f aca="false">IFERROR(IF(Variants!$B291="","","&lt;p&gt;"&amp;VLOOKUP(Variants!$B291,Designs!$A$3:$AP$165,9,FALSE())&amp;"&lt;/p&gt;"),"")</f>
        <v>&lt;p&gt;Cross-ornament patterns from Artsakh, carrying the carved cross-stone heritage of the region.&lt;/p&gt;</v>
      </c>
      <c r="D290" s="21" t="str">
        <f aca="false">IF(Variants!$B291="","","Karni Jewellery")</f>
        <v>Karni Jewellery</v>
      </c>
      <c r="E290" s="21" t="str">
        <f aca="false">IF(Variants!$B291="","","Apparel &amp; Accessories &gt; Jewelry")</f>
        <v>Apparel &amp; Accessories &gt; Jewelry</v>
      </c>
      <c r="F290" s="21" t="str">
        <f aca="false">IF(Variants!$D291="","",Variants!$D291)</f>
        <v>Earring</v>
      </c>
      <c r="G290" s="21" t="str">
        <f aca="false">IF(Variants!$E291="","",Variants!$E291&amp;", Armenian jewellery, handmade")</f>
        <v>Artsakhi Khachanakhsh, Armenian jewellery, handmade</v>
      </c>
      <c r="H290" s="21" t="str">
        <f aca="false">IF(Variants!$AD291="Active","TRUE","FALSE")</f>
        <v>TRUE</v>
      </c>
      <c r="I290" s="21" t="str">
        <f aca="false">IF(Variants!$H291="","","Color")</f>
        <v>Color</v>
      </c>
      <c r="J290" s="21" t="str">
        <f aca="false">IF(Variants!$H291="","",Variants!$H291)</f>
        <v>turquoise</v>
      </c>
      <c r="K290" s="21" t="str">
        <f aca="false">IF(Variants!$G291="","","Size")</f>
        <v>Size</v>
      </c>
      <c r="L290" s="21" t="str">
        <f aca="false">IF(Variants!$G291="","",Variants!$G291)</f>
        <v>small</v>
      </c>
      <c r="M290" s="21" t="str">
        <f aca="false">Variants!$A291</f>
        <v>KARNI-EARRNG-ARTSAKHKHACH-S-TURQUOISE</v>
      </c>
      <c r="N290" s="21" t="str">
        <f aca="false">IF(Variants!$X291="","",Variants!$X291)</f>
        <v/>
      </c>
      <c r="O290" s="21" t="n">
        <f aca="false">IF(Variants!$O291="","",Variants!$O291)</f>
        <v>0</v>
      </c>
      <c r="P290" s="18" t="n">
        <f aca="false">IF(Variants!$J291="","",Variants!$J291)</f>
        <v>33.8</v>
      </c>
      <c r="Q290" s="21" t="str">
        <f aca="false">IF(Variants!$U291="","",Variants!$U291)</f>
        <v/>
      </c>
      <c r="R290" s="21" t="str">
        <f aca="false">IF(Variants!$Y291="","",Variants!$Y291)</f>
        <v/>
      </c>
      <c r="S290" s="21" t="n">
        <f aca="false">IFERROR(VLOOKUP(Variants!$B291,Designs!$A$3:$AP$165,37,FALSE()),"")</f>
        <v>0</v>
      </c>
      <c r="T290" s="21" t="str">
        <f aca="false">IFERROR(VLOOKUP(Variants!$B291,Designs!$A$3:$AP$165,38,FALSE()),"")</f>
        <v>No</v>
      </c>
      <c r="U290" s="21" t="str">
        <f aca="false">IF(Variants!$AD291="Active","active","draft")</f>
        <v>active</v>
      </c>
    </row>
    <row r="291" customFormat="false" ht="15.75" hidden="false" customHeight="true" outlineLevel="0" collapsed="false">
      <c r="A291" s="21" t="str">
        <f aca="false">IF(Variants!$B292="","",LOWER(Variants!$B292))</f>
        <v>dsgn-earrng-artsakhikhachanakhsh-s</v>
      </c>
      <c r="B291" s="21" t="str">
        <f aca="false">IF(Variants!$B292="","",Variants!$C292&amp;IF(Variants!$F292="",""," "&amp;Variants!$F292))</f>
        <v>Artsakhi Khachanakhsh Earrings</v>
      </c>
      <c r="C291" s="21" t="str">
        <f aca="false">IFERROR(IF(Variants!$B292="","","&lt;p&gt;"&amp;VLOOKUP(Variants!$B292,Designs!$A$3:$AP$165,9,FALSE())&amp;"&lt;/p&gt;"),"")</f>
        <v>&lt;p&gt;Cross-ornament patterns from Artsakh, carrying the carved cross-stone heritage of the region.&lt;/p&gt;</v>
      </c>
      <c r="D291" s="21" t="str">
        <f aca="false">IF(Variants!$B292="","","Karni Jewellery")</f>
        <v>Karni Jewellery</v>
      </c>
      <c r="E291" s="21" t="str">
        <f aca="false">IF(Variants!$B292="","","Apparel &amp; Accessories &gt; Jewelry")</f>
        <v>Apparel &amp; Accessories &gt; Jewelry</v>
      </c>
      <c r="F291" s="21" t="str">
        <f aca="false">IF(Variants!$D292="","",Variants!$D292)</f>
        <v>Earring</v>
      </c>
      <c r="G291" s="21" t="str">
        <f aca="false">IF(Variants!$E292="","",Variants!$E292&amp;", Armenian jewellery, handmade")</f>
        <v>Artsakhi Khachanakhsh, Armenian jewellery, handmade</v>
      </c>
      <c r="H291" s="21" t="str">
        <f aca="false">IF(Variants!$AD292="Active","TRUE","FALSE")</f>
        <v>TRUE</v>
      </c>
      <c r="I291" s="21" t="str">
        <f aca="false">IF(Variants!$H292="","","Color")</f>
        <v>Color</v>
      </c>
      <c r="J291" s="21" t="str">
        <f aca="false">IF(Variants!$H292="","",Variants!$H292)</f>
        <v>green</v>
      </c>
      <c r="K291" s="21" t="str">
        <f aca="false">IF(Variants!$G292="","","Size")</f>
        <v>Size</v>
      </c>
      <c r="L291" s="21" t="str">
        <f aca="false">IF(Variants!$G292="","",Variants!$G292)</f>
        <v>small</v>
      </c>
      <c r="M291" s="21" t="str">
        <f aca="false">Variants!$A292</f>
        <v>KARNI-EARRNG-ARTSAKHKHACH-S-GREEN</v>
      </c>
      <c r="N291" s="21" t="str">
        <f aca="false">IF(Variants!$X292="","",Variants!$X292)</f>
        <v/>
      </c>
      <c r="O291" s="21" t="n">
        <f aca="false">IF(Variants!$O292="","",Variants!$O292)</f>
        <v>0</v>
      </c>
      <c r="P291" s="18" t="n">
        <f aca="false">IF(Variants!$J292="","",Variants!$J292)</f>
        <v>33.8</v>
      </c>
      <c r="Q291" s="21" t="str">
        <f aca="false">IF(Variants!$U292="","",Variants!$U292)</f>
        <v/>
      </c>
      <c r="R291" s="21" t="str">
        <f aca="false">IF(Variants!$Y292="","",Variants!$Y292)</f>
        <v/>
      </c>
      <c r="S291" s="21" t="n">
        <f aca="false">IFERROR(VLOOKUP(Variants!$B292,Designs!$A$3:$AP$165,37,FALSE()),"")</f>
        <v>0</v>
      </c>
      <c r="T291" s="21" t="str">
        <f aca="false">IFERROR(VLOOKUP(Variants!$B292,Designs!$A$3:$AP$165,38,FALSE()),"")</f>
        <v>No</v>
      </c>
      <c r="U291" s="21" t="str">
        <f aca="false">IF(Variants!$AD292="Active","active","draft")</f>
        <v>active</v>
      </c>
    </row>
    <row r="292" customFormat="false" ht="15.75" hidden="false" customHeight="true" outlineLevel="0" collapsed="false">
      <c r="A292" s="21" t="str">
        <f aca="false">IF(Variants!$B293="","",LOWER(Variants!$B293))</f>
        <v>dsgn-earrng-artsakhikhachanakhsh-m</v>
      </c>
      <c r="B292" s="21" t="str">
        <f aca="false">IF(Variants!$B293="","",Variants!$C293&amp;IF(Variants!$F293="",""," "&amp;Variants!$F293))</f>
        <v>Artsakhi Khachanakhsh Earrings</v>
      </c>
      <c r="C292" s="21" t="str">
        <f aca="false">IFERROR(IF(Variants!$B293="","","&lt;p&gt;"&amp;VLOOKUP(Variants!$B293,Designs!$A$3:$AP$165,9,FALSE())&amp;"&lt;/p&gt;"),"")</f>
        <v>&lt;p&gt;Cross-ornament patterns from Artsakh, carrying the carved cross-stone heritage of the region.&lt;/p&gt;</v>
      </c>
      <c r="D292" s="21" t="str">
        <f aca="false">IF(Variants!$B293="","","Karni Jewellery")</f>
        <v>Karni Jewellery</v>
      </c>
      <c r="E292" s="21" t="str">
        <f aca="false">IF(Variants!$B293="","","Apparel &amp; Accessories &gt; Jewelry")</f>
        <v>Apparel &amp; Accessories &gt; Jewelry</v>
      </c>
      <c r="F292" s="21" t="str">
        <f aca="false">IF(Variants!$D293="","",Variants!$D293)</f>
        <v>Earring</v>
      </c>
      <c r="G292" s="21" t="str">
        <f aca="false">IF(Variants!$E293="","",Variants!$E293&amp;", Armenian jewellery, handmade")</f>
        <v>Artsakhi Khachanakhsh, Armenian jewellery, handmade</v>
      </c>
      <c r="H292" s="21" t="str">
        <f aca="false">IF(Variants!$AD293="Active","TRUE","FALSE")</f>
        <v>TRUE</v>
      </c>
      <c r="I292" s="21" t="str">
        <f aca="false">IF(Variants!$H293="","","Color")</f>
        <v>Color</v>
      </c>
      <c r="J292" s="21" t="str">
        <f aca="false">IF(Variants!$H293="","",Variants!$H293)</f>
        <v>blue-white-red</v>
      </c>
      <c r="K292" s="21" t="str">
        <f aca="false">IF(Variants!$G293="","","Size")</f>
        <v>Size</v>
      </c>
      <c r="L292" s="21" t="str">
        <f aca="false">IF(Variants!$G293="","",Variants!$G293)</f>
        <v>medium</v>
      </c>
      <c r="M292" s="21" t="str">
        <f aca="false">Variants!$A293</f>
        <v>KARNI-EARRNG-ARTSAKHKHACH-M-BLUE-WHITE-RED</v>
      </c>
      <c r="N292" s="21" t="str">
        <f aca="false">IF(Variants!$X293="","",Variants!$X293)</f>
        <v/>
      </c>
      <c r="O292" s="21" t="n">
        <f aca="false">IF(Variants!$O293="","",Variants!$O293)</f>
        <v>0</v>
      </c>
      <c r="P292" s="18" t="n">
        <f aca="false">IF(Variants!$J293="","",Variants!$J293)</f>
        <v>70.2</v>
      </c>
      <c r="Q292" s="21" t="str">
        <f aca="false">IF(Variants!$U293="","",Variants!$U293)</f>
        <v/>
      </c>
      <c r="R292" s="21" t="str">
        <f aca="false">IF(Variants!$Y293="","",Variants!$Y293)</f>
        <v/>
      </c>
      <c r="S292" s="21" t="n">
        <f aca="false">IFERROR(VLOOKUP(Variants!$B293,Designs!$A$3:$AP$165,37,FALSE()),"")</f>
        <v>0</v>
      </c>
      <c r="T292" s="21" t="str">
        <f aca="false">IFERROR(VLOOKUP(Variants!$B293,Designs!$A$3:$AP$165,38,FALSE()),"")</f>
        <v>No</v>
      </c>
      <c r="U292" s="21" t="str">
        <f aca="false">IF(Variants!$AD293="Active","active","draft")</f>
        <v>active</v>
      </c>
    </row>
    <row r="293" customFormat="false" ht="15.75" hidden="false" customHeight="true" outlineLevel="0" collapsed="false">
      <c r="A293" s="21" t="str">
        <f aca="false">IF(Variants!$B294="","",LOWER(Variants!$B294))</f>
        <v>dsgn-earrng-artsakhikhachanakhsh-m</v>
      </c>
      <c r="B293" s="21" t="str">
        <f aca="false">IF(Variants!$B294="","",Variants!$C294&amp;IF(Variants!$F294="",""," "&amp;Variants!$F294))</f>
        <v>Artsakhi Khachanakhsh Earrings</v>
      </c>
      <c r="C293" s="21" t="str">
        <f aca="false">IFERROR(IF(Variants!$B294="","","&lt;p&gt;"&amp;VLOOKUP(Variants!$B294,Designs!$A$3:$AP$165,9,FALSE())&amp;"&lt;/p&gt;"),"")</f>
        <v>&lt;p&gt;Cross-ornament patterns from Artsakh, carrying the carved cross-stone heritage of the region.&lt;/p&gt;</v>
      </c>
      <c r="D293" s="21" t="str">
        <f aca="false">IF(Variants!$B294="","","Karni Jewellery")</f>
        <v>Karni Jewellery</v>
      </c>
      <c r="E293" s="21" t="str">
        <f aca="false">IF(Variants!$B294="","","Apparel &amp; Accessories &gt; Jewelry")</f>
        <v>Apparel &amp; Accessories &gt; Jewelry</v>
      </c>
      <c r="F293" s="21" t="str">
        <f aca="false">IF(Variants!$D294="","",Variants!$D294)</f>
        <v>Earring</v>
      </c>
      <c r="G293" s="21" t="str">
        <f aca="false">IF(Variants!$E294="","",Variants!$E294&amp;", Armenian jewellery, handmade")</f>
        <v>Artsakhi Khachanakhsh, Armenian jewellery, handmade</v>
      </c>
      <c r="H293" s="21" t="str">
        <f aca="false">IF(Variants!$AD294="Active","TRUE","FALSE")</f>
        <v>TRUE</v>
      </c>
      <c r="I293" s="21" t="str">
        <f aca="false">IF(Variants!$H294="","","Color")</f>
        <v>Color</v>
      </c>
      <c r="J293" s="21" t="str">
        <f aca="false">IF(Variants!$H294="","",Variants!$H294)</f>
        <v>turquoise-blue-white</v>
      </c>
      <c r="K293" s="21" t="str">
        <f aca="false">IF(Variants!$G294="","","Size")</f>
        <v>Size</v>
      </c>
      <c r="L293" s="21" t="str">
        <f aca="false">IF(Variants!$G294="","",Variants!$G294)</f>
        <v>medium</v>
      </c>
      <c r="M293" s="21" t="str">
        <f aca="false">Variants!$A294</f>
        <v>KARNI-EARRNG-ARTSAKHKHACH-M-TURQUOISE-BLUE-WHITE</v>
      </c>
      <c r="N293" s="21" t="str">
        <f aca="false">IF(Variants!$X294="","",Variants!$X294)</f>
        <v/>
      </c>
      <c r="O293" s="21" t="n">
        <f aca="false">IF(Variants!$O294="","",Variants!$O294)</f>
        <v>0</v>
      </c>
      <c r="P293" s="18" t="n">
        <f aca="false">IF(Variants!$J294="","",Variants!$J294)</f>
        <v>70.2</v>
      </c>
      <c r="Q293" s="21" t="str">
        <f aca="false">IF(Variants!$U294="","",Variants!$U294)</f>
        <v/>
      </c>
      <c r="R293" s="21" t="str">
        <f aca="false">IF(Variants!$Y294="","",Variants!$Y294)</f>
        <v/>
      </c>
      <c r="S293" s="21" t="n">
        <f aca="false">IFERROR(VLOOKUP(Variants!$B294,Designs!$A$3:$AP$165,37,FALSE()),"")</f>
        <v>0</v>
      </c>
      <c r="T293" s="21" t="str">
        <f aca="false">IFERROR(VLOOKUP(Variants!$B294,Designs!$A$3:$AP$165,38,FALSE()),"")</f>
        <v>No</v>
      </c>
      <c r="U293" s="21" t="str">
        <f aca="false">IF(Variants!$AD294="Active","active","draft")</f>
        <v>active</v>
      </c>
    </row>
    <row r="294" customFormat="false" ht="15.75" hidden="false" customHeight="true" outlineLevel="0" collapsed="false">
      <c r="A294" s="21" t="str">
        <f aca="false">IF(Variants!$B295="","",LOWER(Variants!$B295))</f>
        <v>dsgn-earrng-artsakhikhachanakhsh-m</v>
      </c>
      <c r="B294" s="21" t="str">
        <f aca="false">IF(Variants!$B295="","",Variants!$C295&amp;IF(Variants!$F295="",""," "&amp;Variants!$F295))</f>
        <v>Artsakhi Khachanakhsh Earrings</v>
      </c>
      <c r="C294" s="21" t="str">
        <f aca="false">IFERROR(IF(Variants!$B295="","","&lt;p&gt;"&amp;VLOOKUP(Variants!$B295,Designs!$A$3:$AP$165,9,FALSE())&amp;"&lt;/p&gt;"),"")</f>
        <v>&lt;p&gt;Cross-ornament patterns from Artsakh, carrying the carved cross-stone heritage of the region.&lt;/p&gt;</v>
      </c>
      <c r="D294" s="21" t="str">
        <f aca="false">IF(Variants!$B295="","","Karni Jewellery")</f>
        <v>Karni Jewellery</v>
      </c>
      <c r="E294" s="21" t="str">
        <f aca="false">IF(Variants!$B295="","","Apparel &amp; Accessories &gt; Jewelry")</f>
        <v>Apparel &amp; Accessories &gt; Jewelry</v>
      </c>
      <c r="F294" s="21" t="str">
        <f aca="false">IF(Variants!$D295="","",Variants!$D295)</f>
        <v>Earring</v>
      </c>
      <c r="G294" s="21" t="str">
        <f aca="false">IF(Variants!$E295="","",Variants!$E295&amp;", Armenian jewellery, handmade")</f>
        <v>Artsakhi Khachanakhsh, Armenian jewellery, handmade</v>
      </c>
      <c r="H294" s="21" t="str">
        <f aca="false">IF(Variants!$AD295="Active","TRUE","FALSE")</f>
        <v>TRUE</v>
      </c>
      <c r="I294" s="21" t="str">
        <f aca="false">IF(Variants!$H295="","","Color")</f>
        <v>Color</v>
      </c>
      <c r="J294" s="21" t="str">
        <f aca="false">IF(Variants!$H295="","",Variants!$H295)</f>
        <v>white-bordeaux-blue</v>
      </c>
      <c r="K294" s="21" t="str">
        <f aca="false">IF(Variants!$G295="","","Size")</f>
        <v>Size</v>
      </c>
      <c r="L294" s="21" t="str">
        <f aca="false">IF(Variants!$G295="","",Variants!$G295)</f>
        <v>medium</v>
      </c>
      <c r="M294" s="21" t="str">
        <f aca="false">Variants!$A295</f>
        <v>KARNI-EARRNG-ARTSAKHKHACH-M-WHITE-BORDEAUX-BLUE</v>
      </c>
      <c r="N294" s="21" t="str">
        <f aca="false">IF(Variants!$X295="","",Variants!$X295)</f>
        <v/>
      </c>
      <c r="O294" s="21" t="n">
        <f aca="false">IF(Variants!$O295="","",Variants!$O295)</f>
        <v>0</v>
      </c>
      <c r="P294" s="18" t="n">
        <f aca="false">IF(Variants!$J295="","",Variants!$J295)</f>
        <v>70.2</v>
      </c>
      <c r="Q294" s="21" t="str">
        <f aca="false">IF(Variants!$U295="","",Variants!$U295)</f>
        <v/>
      </c>
      <c r="R294" s="21" t="str">
        <f aca="false">IF(Variants!$Y295="","",Variants!$Y295)</f>
        <v/>
      </c>
      <c r="S294" s="21" t="n">
        <f aca="false">IFERROR(VLOOKUP(Variants!$B295,Designs!$A$3:$AP$165,37,FALSE()),"")</f>
        <v>0</v>
      </c>
      <c r="T294" s="21" t="str">
        <f aca="false">IFERROR(VLOOKUP(Variants!$B295,Designs!$A$3:$AP$165,38,FALSE()),"")</f>
        <v>No</v>
      </c>
      <c r="U294" s="21" t="str">
        <f aca="false">IF(Variants!$AD295="Active","active","draft")</f>
        <v>active</v>
      </c>
    </row>
    <row r="295" customFormat="false" ht="15.75" hidden="false" customHeight="true" outlineLevel="0" collapsed="false">
      <c r="A295" s="21" t="str">
        <f aca="false">IF(Variants!$B296="","",LOWER(Variants!$B296))</f>
        <v>dsgn-earrng-artsakhikhachanakhsh-m</v>
      </c>
      <c r="B295" s="21" t="str">
        <f aca="false">IF(Variants!$B296="","",Variants!$C296&amp;IF(Variants!$F296="",""," "&amp;Variants!$F296))</f>
        <v>Artsakhi Khachanakhsh Earrings</v>
      </c>
      <c r="C295" s="21" t="str">
        <f aca="false">IFERROR(IF(Variants!$B296="","","&lt;p&gt;"&amp;VLOOKUP(Variants!$B296,Designs!$A$3:$AP$165,9,FALSE())&amp;"&lt;/p&gt;"),"")</f>
        <v>&lt;p&gt;Cross-ornament patterns from Artsakh, carrying the carved cross-stone heritage of the region.&lt;/p&gt;</v>
      </c>
      <c r="D295" s="21" t="str">
        <f aca="false">IF(Variants!$B296="","","Karni Jewellery")</f>
        <v>Karni Jewellery</v>
      </c>
      <c r="E295" s="21" t="str">
        <f aca="false">IF(Variants!$B296="","","Apparel &amp; Accessories &gt; Jewelry")</f>
        <v>Apparel &amp; Accessories &gt; Jewelry</v>
      </c>
      <c r="F295" s="21" t="str">
        <f aca="false">IF(Variants!$D296="","",Variants!$D296)</f>
        <v>Earring</v>
      </c>
      <c r="G295" s="21" t="str">
        <f aca="false">IF(Variants!$E296="","",Variants!$E296&amp;", Armenian jewellery, handmade")</f>
        <v>Artsakhi Khachanakhsh, Armenian jewellery, handmade</v>
      </c>
      <c r="H295" s="21" t="str">
        <f aca="false">IF(Variants!$AD296="Active","TRUE","FALSE")</f>
        <v>TRUE</v>
      </c>
      <c r="I295" s="21" t="str">
        <f aca="false">IF(Variants!$H296="","","Color")</f>
        <v>Color</v>
      </c>
      <c r="J295" s="21" t="str">
        <f aca="false">IF(Variants!$H296="","",Variants!$H296)</f>
        <v>blue-white-yellow</v>
      </c>
      <c r="K295" s="21" t="str">
        <f aca="false">IF(Variants!$G296="","","Size")</f>
        <v>Size</v>
      </c>
      <c r="L295" s="21" t="str">
        <f aca="false">IF(Variants!$G296="","",Variants!$G296)</f>
        <v>medium</v>
      </c>
      <c r="M295" s="21" t="str">
        <f aca="false">Variants!$A296</f>
        <v>KARNI-EARRNG-ARTSAKHKHACH-M-BLUE-WHITE-YELLOW</v>
      </c>
      <c r="N295" s="21" t="str">
        <f aca="false">IF(Variants!$X296="","",Variants!$X296)</f>
        <v/>
      </c>
      <c r="O295" s="21" t="n">
        <f aca="false">IF(Variants!$O296="","",Variants!$O296)</f>
        <v>0</v>
      </c>
      <c r="P295" s="18" t="n">
        <f aca="false">IF(Variants!$J296="","",Variants!$J296)</f>
        <v>70.2</v>
      </c>
      <c r="Q295" s="21" t="str">
        <f aca="false">IF(Variants!$U296="","",Variants!$U296)</f>
        <v/>
      </c>
      <c r="R295" s="21" t="str">
        <f aca="false">IF(Variants!$Y296="","",Variants!$Y296)</f>
        <v/>
      </c>
      <c r="S295" s="21" t="n">
        <f aca="false">IFERROR(VLOOKUP(Variants!$B296,Designs!$A$3:$AP$165,37,FALSE()),"")</f>
        <v>0</v>
      </c>
      <c r="T295" s="21" t="str">
        <f aca="false">IFERROR(VLOOKUP(Variants!$B296,Designs!$A$3:$AP$165,38,FALSE()),"")</f>
        <v>No</v>
      </c>
      <c r="U295" s="21" t="str">
        <f aca="false">IF(Variants!$AD296="Active","active","draft")</f>
        <v>active</v>
      </c>
    </row>
    <row r="296" customFormat="false" ht="15.75" hidden="false" customHeight="true" outlineLevel="0" collapsed="false">
      <c r="A296" s="21" t="str">
        <f aca="false">IF(Variants!$B297="","",LOWER(Variants!$B297))</f>
        <v>dsgn-earrng-vishab-s</v>
      </c>
      <c r="B296" s="21" t="str">
        <f aca="false">IF(Variants!$B297="","",Variants!$C297&amp;IF(Variants!$F297="",""," "&amp;Variants!$F297))</f>
        <v>Vishab Earrings</v>
      </c>
      <c r="C296" s="21" t="str">
        <f aca="false">IFERROR(IF(Variants!$B297="","","&lt;p&gt;"&amp;VLOOKUP(Variants!$B297,Designs!$A$3:$AP$165,9,FALSE())&amp;"&lt;/p&gt;"),"")</f>
        <v>&lt;p&gt;Vishaps are ancient Armenian dragon-stones (vishapakar) found in the highlands, among the oldest carved monuments in the region.&lt;/p&gt;</v>
      </c>
      <c r="D296" s="21" t="str">
        <f aca="false">IF(Variants!$B297="","","Karni Jewellery")</f>
        <v>Karni Jewellery</v>
      </c>
      <c r="E296" s="21" t="str">
        <f aca="false">IF(Variants!$B297="","","Apparel &amp; Accessories &gt; Jewelry")</f>
        <v>Apparel &amp; Accessories &gt; Jewelry</v>
      </c>
      <c r="F296" s="21" t="str">
        <f aca="false">IF(Variants!$D297="","",Variants!$D297)</f>
        <v>Earring</v>
      </c>
      <c r="G296" s="21" t="str">
        <f aca="false">IF(Variants!$E297="","",Variants!$E297&amp;", Armenian jewellery, handmade")</f>
        <v>Vishab, Armenian jewellery, handmade</v>
      </c>
      <c r="H296" s="21" t="str">
        <f aca="false">IF(Variants!$AD297="Active","TRUE","FALSE")</f>
        <v>TRUE</v>
      </c>
      <c r="I296" s="21" t="str">
        <f aca="false">IF(Variants!$H297="","","Color")</f>
        <v>Color</v>
      </c>
      <c r="J296" s="21" t="str">
        <f aca="false">IF(Variants!$H297="","",Variants!$H297)</f>
        <v>blue</v>
      </c>
      <c r="K296" s="21" t="str">
        <f aca="false">IF(Variants!$G297="","","Size")</f>
        <v>Size</v>
      </c>
      <c r="L296" s="21" t="str">
        <f aca="false">IF(Variants!$G297="","",Variants!$G297)</f>
        <v>small</v>
      </c>
      <c r="M296" s="21" t="str">
        <f aca="false">Variants!$A297</f>
        <v>KARNI-EARRNG-VISHAB-S-BLUE</v>
      </c>
      <c r="N296" s="21" t="str">
        <f aca="false">IF(Variants!$X297="","",Variants!$X297)</f>
        <v/>
      </c>
      <c r="O296" s="21" t="n">
        <f aca="false">IF(Variants!$O297="","",Variants!$O297)</f>
        <v>0</v>
      </c>
      <c r="P296" s="18" t="n">
        <f aca="false">IF(Variants!$J297="","",Variants!$J297)</f>
        <v>33.8</v>
      </c>
      <c r="Q296" s="21" t="str">
        <f aca="false">IF(Variants!$U297="","",Variants!$U297)</f>
        <v/>
      </c>
      <c r="R296" s="21" t="str">
        <f aca="false">IF(Variants!$Y297="","",Variants!$Y297)</f>
        <v/>
      </c>
      <c r="S296" s="21" t="n">
        <f aca="false">IFERROR(VLOOKUP(Variants!$B297,Designs!$A$3:$AP$165,37,FALSE()),"")</f>
        <v>0</v>
      </c>
      <c r="T296" s="21" t="str">
        <f aca="false">IFERROR(VLOOKUP(Variants!$B297,Designs!$A$3:$AP$165,38,FALSE()),"")</f>
        <v>No</v>
      </c>
      <c r="U296" s="21" t="str">
        <f aca="false">IF(Variants!$AD297="Active","active","draft")</f>
        <v>active</v>
      </c>
    </row>
    <row r="297" customFormat="false" ht="15.75" hidden="false" customHeight="true" outlineLevel="0" collapsed="false">
      <c r="A297" s="21" t="str">
        <f aca="false">IF(Variants!$B298="","",LOWER(Variants!$B298))</f>
        <v>dsgn-earrng-vishab-s</v>
      </c>
      <c r="B297" s="21" t="str">
        <f aca="false">IF(Variants!$B298="","",Variants!$C298&amp;IF(Variants!$F298="",""," "&amp;Variants!$F298))</f>
        <v>Vishab Earrings</v>
      </c>
      <c r="C297" s="21" t="str">
        <f aca="false">IFERROR(IF(Variants!$B298="","","&lt;p&gt;"&amp;VLOOKUP(Variants!$B298,Designs!$A$3:$AP$165,9,FALSE())&amp;"&lt;/p&gt;"),"")</f>
        <v>&lt;p&gt;Vishaps are ancient Armenian dragon-stones (vishapakar) found in the highlands, among the oldest carved monuments in the region.&lt;/p&gt;</v>
      </c>
      <c r="D297" s="21" t="str">
        <f aca="false">IF(Variants!$B298="","","Karni Jewellery")</f>
        <v>Karni Jewellery</v>
      </c>
      <c r="E297" s="21" t="str">
        <f aca="false">IF(Variants!$B298="","","Apparel &amp; Accessories &gt; Jewelry")</f>
        <v>Apparel &amp; Accessories &gt; Jewelry</v>
      </c>
      <c r="F297" s="21" t="str">
        <f aca="false">IF(Variants!$D298="","",Variants!$D298)</f>
        <v>Earring</v>
      </c>
      <c r="G297" s="21" t="str">
        <f aca="false">IF(Variants!$E298="","",Variants!$E298&amp;", Armenian jewellery, handmade")</f>
        <v>Vishab, Armenian jewellery, handmade</v>
      </c>
      <c r="H297" s="21" t="str">
        <f aca="false">IF(Variants!$AD298="Active","TRUE","FALSE")</f>
        <v>TRUE</v>
      </c>
      <c r="I297" s="21" t="str">
        <f aca="false">IF(Variants!$H298="","","Color")</f>
        <v>Color</v>
      </c>
      <c r="J297" s="21" t="str">
        <f aca="false">IF(Variants!$H298="","",Variants!$H298)</f>
        <v>white</v>
      </c>
      <c r="K297" s="21" t="str">
        <f aca="false">IF(Variants!$G298="","","Size")</f>
        <v>Size</v>
      </c>
      <c r="L297" s="21" t="str">
        <f aca="false">IF(Variants!$G298="","",Variants!$G298)</f>
        <v>small</v>
      </c>
      <c r="M297" s="21" t="str">
        <f aca="false">Variants!$A298</f>
        <v>KARNI-EARRNG-VISHAB-S-WHITE</v>
      </c>
      <c r="N297" s="21" t="str">
        <f aca="false">IF(Variants!$X298="","",Variants!$X298)</f>
        <v/>
      </c>
      <c r="O297" s="21" t="n">
        <f aca="false">IF(Variants!$O298="","",Variants!$O298)</f>
        <v>0</v>
      </c>
      <c r="P297" s="18" t="n">
        <f aca="false">IF(Variants!$J298="","",Variants!$J298)</f>
        <v>33.8</v>
      </c>
      <c r="Q297" s="21" t="str">
        <f aca="false">IF(Variants!$U298="","",Variants!$U298)</f>
        <v/>
      </c>
      <c r="R297" s="21" t="str">
        <f aca="false">IF(Variants!$Y298="","",Variants!$Y298)</f>
        <v/>
      </c>
      <c r="S297" s="21" t="n">
        <f aca="false">IFERROR(VLOOKUP(Variants!$B298,Designs!$A$3:$AP$165,37,FALSE()),"")</f>
        <v>0</v>
      </c>
      <c r="T297" s="21" t="str">
        <f aca="false">IFERROR(VLOOKUP(Variants!$B298,Designs!$A$3:$AP$165,38,FALSE()),"")</f>
        <v>No</v>
      </c>
      <c r="U297" s="21" t="str">
        <f aca="false">IF(Variants!$AD298="Active","active","draft")</f>
        <v>active</v>
      </c>
    </row>
    <row r="298" customFormat="false" ht="15.75" hidden="false" customHeight="true" outlineLevel="0" collapsed="false">
      <c r="A298" s="21" t="str">
        <f aca="false">IF(Variants!$B299="","",LOWER(Variants!$B299))</f>
        <v>dsgn-earrng-vishab-s</v>
      </c>
      <c r="B298" s="21" t="str">
        <f aca="false">IF(Variants!$B299="","",Variants!$C299&amp;IF(Variants!$F299="",""," "&amp;Variants!$F299))</f>
        <v>Vishab Earrings</v>
      </c>
      <c r="C298" s="21" t="str">
        <f aca="false">IFERROR(IF(Variants!$B299="","","&lt;p&gt;"&amp;VLOOKUP(Variants!$B299,Designs!$A$3:$AP$165,9,FALSE())&amp;"&lt;/p&gt;"),"")</f>
        <v>&lt;p&gt;Vishaps are ancient Armenian dragon-stones (vishapakar) found in the highlands, among the oldest carved monuments in the region.&lt;/p&gt;</v>
      </c>
      <c r="D298" s="21" t="str">
        <f aca="false">IF(Variants!$B299="","","Karni Jewellery")</f>
        <v>Karni Jewellery</v>
      </c>
      <c r="E298" s="21" t="str">
        <f aca="false">IF(Variants!$B299="","","Apparel &amp; Accessories &gt; Jewelry")</f>
        <v>Apparel &amp; Accessories &gt; Jewelry</v>
      </c>
      <c r="F298" s="21" t="str">
        <f aca="false">IF(Variants!$D299="","",Variants!$D299)</f>
        <v>Earring</v>
      </c>
      <c r="G298" s="21" t="str">
        <f aca="false">IF(Variants!$E299="","",Variants!$E299&amp;", Armenian jewellery, handmade")</f>
        <v>Vishab, Armenian jewellery, handmade</v>
      </c>
      <c r="H298" s="21" t="str">
        <f aca="false">IF(Variants!$AD299="Active","TRUE","FALSE")</f>
        <v>TRUE</v>
      </c>
      <c r="I298" s="21" t="str">
        <f aca="false">IF(Variants!$H299="","","Color")</f>
        <v>Color</v>
      </c>
      <c r="J298" s="21" t="str">
        <f aca="false">IF(Variants!$H299="","",Variants!$H299)</f>
        <v>bordeaux</v>
      </c>
      <c r="K298" s="21" t="str">
        <f aca="false">IF(Variants!$G299="","","Size")</f>
        <v>Size</v>
      </c>
      <c r="L298" s="21" t="str">
        <f aca="false">IF(Variants!$G299="","",Variants!$G299)</f>
        <v>small</v>
      </c>
      <c r="M298" s="21" t="str">
        <f aca="false">Variants!$A299</f>
        <v>KARNI-EARRNG-VISHAB-S-BORDEAUX</v>
      </c>
      <c r="N298" s="21" t="str">
        <f aca="false">IF(Variants!$X299="","",Variants!$X299)</f>
        <v/>
      </c>
      <c r="O298" s="21" t="n">
        <f aca="false">IF(Variants!$O299="","",Variants!$O299)</f>
        <v>0</v>
      </c>
      <c r="P298" s="18" t="n">
        <f aca="false">IF(Variants!$J299="","",Variants!$J299)</f>
        <v>33.8</v>
      </c>
      <c r="Q298" s="21" t="str">
        <f aca="false">IF(Variants!$U299="","",Variants!$U299)</f>
        <v/>
      </c>
      <c r="R298" s="21" t="str">
        <f aca="false">IF(Variants!$Y299="","",Variants!$Y299)</f>
        <v/>
      </c>
      <c r="S298" s="21" t="n">
        <f aca="false">IFERROR(VLOOKUP(Variants!$B299,Designs!$A$3:$AP$165,37,FALSE()),"")</f>
        <v>0</v>
      </c>
      <c r="T298" s="21" t="str">
        <f aca="false">IFERROR(VLOOKUP(Variants!$B299,Designs!$A$3:$AP$165,38,FALSE()),"")</f>
        <v>No</v>
      </c>
      <c r="U298" s="21" t="str">
        <f aca="false">IF(Variants!$AD299="Active","active","draft")</f>
        <v>active</v>
      </c>
    </row>
    <row r="299" customFormat="false" ht="15.75" hidden="false" customHeight="true" outlineLevel="0" collapsed="false">
      <c r="A299" s="21" t="str">
        <f aca="false">IF(Variants!$B300="","",LOWER(Variants!$B300))</f>
        <v>dsgn-earrng-vishab-s</v>
      </c>
      <c r="B299" s="21" t="str">
        <f aca="false">IF(Variants!$B300="","",Variants!$C300&amp;IF(Variants!$F300="",""," "&amp;Variants!$F300))</f>
        <v>Vishab Earrings</v>
      </c>
      <c r="C299" s="21" t="str">
        <f aca="false">IFERROR(IF(Variants!$B300="","","&lt;p&gt;"&amp;VLOOKUP(Variants!$B300,Designs!$A$3:$AP$165,9,FALSE())&amp;"&lt;/p&gt;"),"")</f>
        <v>&lt;p&gt;Vishaps are ancient Armenian dragon-stones (vishapakar) found in the highlands, among the oldest carved monuments in the region.&lt;/p&gt;</v>
      </c>
      <c r="D299" s="21" t="str">
        <f aca="false">IF(Variants!$B300="","","Karni Jewellery")</f>
        <v>Karni Jewellery</v>
      </c>
      <c r="E299" s="21" t="str">
        <f aca="false">IF(Variants!$B300="","","Apparel &amp; Accessories &gt; Jewelry")</f>
        <v>Apparel &amp; Accessories &gt; Jewelry</v>
      </c>
      <c r="F299" s="21" t="str">
        <f aca="false">IF(Variants!$D300="","",Variants!$D300)</f>
        <v>Earring</v>
      </c>
      <c r="G299" s="21" t="str">
        <f aca="false">IF(Variants!$E300="","",Variants!$E300&amp;", Armenian jewellery, handmade")</f>
        <v>Vishab, Armenian jewellery, handmade</v>
      </c>
      <c r="H299" s="21" t="str">
        <f aca="false">IF(Variants!$AD300="Active","TRUE","FALSE")</f>
        <v>TRUE</v>
      </c>
      <c r="I299" s="21" t="str">
        <f aca="false">IF(Variants!$H300="","","Color")</f>
        <v>Color</v>
      </c>
      <c r="J299" s="21" t="str">
        <f aca="false">IF(Variants!$H300="","",Variants!$H300)</f>
        <v>turquoise</v>
      </c>
      <c r="K299" s="21" t="str">
        <f aca="false">IF(Variants!$G300="","","Size")</f>
        <v>Size</v>
      </c>
      <c r="L299" s="21" t="str">
        <f aca="false">IF(Variants!$G300="","",Variants!$G300)</f>
        <v>small</v>
      </c>
      <c r="M299" s="21" t="str">
        <f aca="false">Variants!$A300</f>
        <v>KARNI-EARRNG-VISHAB-S-TURQUOISE</v>
      </c>
      <c r="N299" s="21" t="str">
        <f aca="false">IF(Variants!$X300="","",Variants!$X300)</f>
        <v/>
      </c>
      <c r="O299" s="21" t="n">
        <f aca="false">IF(Variants!$O300="","",Variants!$O300)</f>
        <v>0</v>
      </c>
      <c r="P299" s="18" t="n">
        <f aca="false">IF(Variants!$J300="","",Variants!$J300)</f>
        <v>33.8</v>
      </c>
      <c r="Q299" s="21" t="str">
        <f aca="false">IF(Variants!$U300="","",Variants!$U300)</f>
        <v/>
      </c>
      <c r="R299" s="21" t="str">
        <f aca="false">IF(Variants!$Y300="","",Variants!$Y300)</f>
        <v/>
      </c>
      <c r="S299" s="21" t="n">
        <f aca="false">IFERROR(VLOOKUP(Variants!$B300,Designs!$A$3:$AP$165,37,FALSE()),"")</f>
        <v>0</v>
      </c>
      <c r="T299" s="21" t="str">
        <f aca="false">IFERROR(VLOOKUP(Variants!$B300,Designs!$A$3:$AP$165,38,FALSE()),"")</f>
        <v>No</v>
      </c>
      <c r="U299" s="21" t="str">
        <f aca="false">IF(Variants!$AD300="Active","active","draft")</f>
        <v>active</v>
      </c>
    </row>
    <row r="300" customFormat="false" ht="15.75" hidden="false" customHeight="true" outlineLevel="0" collapsed="false">
      <c r="A300" s="21" t="str">
        <f aca="false">IF(Variants!$B301="","",LOWER(Variants!$B301))</f>
        <v>dsgn-earrng-vishab-s</v>
      </c>
      <c r="B300" s="21" t="str">
        <f aca="false">IF(Variants!$B301="","",Variants!$C301&amp;IF(Variants!$F301="",""," "&amp;Variants!$F301))</f>
        <v>Vishab Earrings</v>
      </c>
      <c r="C300" s="21" t="str">
        <f aca="false">IFERROR(IF(Variants!$B301="","","&lt;p&gt;"&amp;VLOOKUP(Variants!$B301,Designs!$A$3:$AP$165,9,FALSE())&amp;"&lt;/p&gt;"),"")</f>
        <v>&lt;p&gt;Vishaps are ancient Armenian dragon-stones (vishapakar) found in the highlands, among the oldest carved monuments in the region.&lt;/p&gt;</v>
      </c>
      <c r="D300" s="21" t="str">
        <f aca="false">IF(Variants!$B301="","","Karni Jewellery")</f>
        <v>Karni Jewellery</v>
      </c>
      <c r="E300" s="21" t="str">
        <f aca="false">IF(Variants!$B301="","","Apparel &amp; Accessories &gt; Jewelry")</f>
        <v>Apparel &amp; Accessories &gt; Jewelry</v>
      </c>
      <c r="F300" s="21" t="str">
        <f aca="false">IF(Variants!$D301="","",Variants!$D301)</f>
        <v>Earring</v>
      </c>
      <c r="G300" s="21" t="str">
        <f aca="false">IF(Variants!$E301="","",Variants!$E301&amp;", Armenian jewellery, handmade")</f>
        <v>Vishab, Armenian jewellery, handmade</v>
      </c>
      <c r="H300" s="21" t="str">
        <f aca="false">IF(Variants!$AD301="Active","TRUE","FALSE")</f>
        <v>TRUE</v>
      </c>
      <c r="I300" s="21" t="str">
        <f aca="false">IF(Variants!$H301="","","Color")</f>
        <v>Color</v>
      </c>
      <c r="J300" s="21" t="str">
        <f aca="false">IF(Variants!$H301="","",Variants!$H301)</f>
        <v>green</v>
      </c>
      <c r="K300" s="21" t="str">
        <f aca="false">IF(Variants!$G301="","","Size")</f>
        <v>Size</v>
      </c>
      <c r="L300" s="21" t="str">
        <f aca="false">IF(Variants!$G301="","",Variants!$G301)</f>
        <v>small</v>
      </c>
      <c r="M300" s="21" t="str">
        <f aca="false">Variants!$A301</f>
        <v>KARNI-EARRNG-VISHAB-S-GREEN</v>
      </c>
      <c r="N300" s="21" t="str">
        <f aca="false">IF(Variants!$X301="","",Variants!$X301)</f>
        <v/>
      </c>
      <c r="O300" s="21" t="n">
        <f aca="false">IF(Variants!$O301="","",Variants!$O301)</f>
        <v>0</v>
      </c>
      <c r="P300" s="18" t="n">
        <f aca="false">IF(Variants!$J301="","",Variants!$J301)</f>
        <v>33.8</v>
      </c>
      <c r="Q300" s="21" t="str">
        <f aca="false">IF(Variants!$U301="","",Variants!$U301)</f>
        <v/>
      </c>
      <c r="R300" s="21" t="str">
        <f aca="false">IF(Variants!$Y301="","",Variants!$Y301)</f>
        <v/>
      </c>
      <c r="S300" s="21" t="n">
        <f aca="false">IFERROR(VLOOKUP(Variants!$B301,Designs!$A$3:$AP$165,37,FALSE()),"")</f>
        <v>0</v>
      </c>
      <c r="T300" s="21" t="str">
        <f aca="false">IFERROR(VLOOKUP(Variants!$B301,Designs!$A$3:$AP$165,38,FALSE()),"")</f>
        <v>No</v>
      </c>
      <c r="U300" s="21" t="str">
        <f aca="false">IF(Variants!$AD301="Active","active","draft")</f>
        <v>active</v>
      </c>
    </row>
    <row r="301" customFormat="false" ht="15.75" hidden="false" customHeight="true" outlineLevel="0" collapsed="false">
      <c r="A301" s="21" t="str">
        <f aca="false">IF(Variants!$B302="","",LOWER(Variants!$B302))</f>
        <v>dsgn-earrng-vishab-m</v>
      </c>
      <c r="B301" s="21" t="str">
        <f aca="false">IF(Variants!$B302="","",Variants!$C302&amp;IF(Variants!$F302="",""," "&amp;Variants!$F302))</f>
        <v>Vishab Earrings</v>
      </c>
      <c r="C301" s="21" t="str">
        <f aca="false">IFERROR(IF(Variants!$B302="","","&lt;p&gt;"&amp;VLOOKUP(Variants!$B302,Designs!$A$3:$AP$165,9,FALSE())&amp;"&lt;/p&gt;"),"")</f>
        <v>&lt;p&gt;Vishaps are ancient Armenian dragon-stones (vishapakar) found in the highlands, among the oldest carved monuments in the region.&lt;/p&gt;</v>
      </c>
      <c r="D301" s="21" t="str">
        <f aca="false">IF(Variants!$B302="","","Karni Jewellery")</f>
        <v>Karni Jewellery</v>
      </c>
      <c r="E301" s="21" t="str">
        <f aca="false">IF(Variants!$B302="","","Apparel &amp; Accessories &gt; Jewelry")</f>
        <v>Apparel &amp; Accessories &gt; Jewelry</v>
      </c>
      <c r="F301" s="21" t="str">
        <f aca="false">IF(Variants!$D302="","",Variants!$D302)</f>
        <v>Earring</v>
      </c>
      <c r="G301" s="21" t="str">
        <f aca="false">IF(Variants!$E302="","",Variants!$E302&amp;", Armenian jewellery, handmade")</f>
        <v>Vishab, Armenian jewellery, handmade</v>
      </c>
      <c r="H301" s="21" t="str">
        <f aca="false">IF(Variants!$AD302="Active","TRUE","FALSE")</f>
        <v>TRUE</v>
      </c>
      <c r="I301" s="21" t="str">
        <f aca="false">IF(Variants!$H302="","","Color")</f>
        <v>Color</v>
      </c>
      <c r="J301" s="21" t="str">
        <f aca="false">IF(Variants!$H302="","",Variants!$H302)</f>
        <v>white-blue</v>
      </c>
      <c r="K301" s="21" t="str">
        <f aca="false">IF(Variants!$G302="","","Size")</f>
        <v>Size</v>
      </c>
      <c r="L301" s="21" t="str">
        <f aca="false">IF(Variants!$G302="","",Variants!$G302)</f>
        <v>medium</v>
      </c>
      <c r="M301" s="21" t="str">
        <f aca="false">Variants!$A302</f>
        <v>KARNI-EARRNG-VISHAB-M-WHITE-BLUE</v>
      </c>
      <c r="N301" s="21" t="str">
        <f aca="false">IF(Variants!$X302="","",Variants!$X302)</f>
        <v/>
      </c>
      <c r="O301" s="21" t="n">
        <f aca="false">IF(Variants!$O302="","",Variants!$O302)</f>
        <v>0</v>
      </c>
      <c r="P301" s="18" t="n">
        <f aca="false">IF(Variants!$J302="","",Variants!$J302)</f>
        <v>70.2</v>
      </c>
      <c r="Q301" s="21" t="str">
        <f aca="false">IF(Variants!$U302="","",Variants!$U302)</f>
        <v/>
      </c>
      <c r="R301" s="21" t="str">
        <f aca="false">IF(Variants!$Y302="","",Variants!$Y302)</f>
        <v/>
      </c>
      <c r="S301" s="21" t="n">
        <f aca="false">IFERROR(VLOOKUP(Variants!$B302,Designs!$A$3:$AP$165,37,FALSE()),"")</f>
        <v>0</v>
      </c>
      <c r="T301" s="21" t="str">
        <f aca="false">IFERROR(VLOOKUP(Variants!$B302,Designs!$A$3:$AP$165,38,FALSE()),"")</f>
        <v>No</v>
      </c>
      <c r="U301" s="21" t="str">
        <f aca="false">IF(Variants!$AD302="Active","active","draft")</f>
        <v>active</v>
      </c>
    </row>
    <row r="302" customFormat="false" ht="15.75" hidden="false" customHeight="true" outlineLevel="0" collapsed="false">
      <c r="A302" s="21" t="str">
        <f aca="false">IF(Variants!$B303="","",LOWER(Variants!$B303))</f>
        <v>dsgn-earrng-vishab-m</v>
      </c>
      <c r="B302" s="21" t="str">
        <f aca="false">IF(Variants!$B303="","",Variants!$C303&amp;IF(Variants!$F303="",""," "&amp;Variants!$F303))</f>
        <v>Vishab Earrings</v>
      </c>
      <c r="C302" s="21" t="str">
        <f aca="false">IFERROR(IF(Variants!$B303="","","&lt;p&gt;"&amp;VLOOKUP(Variants!$B303,Designs!$A$3:$AP$165,9,FALSE())&amp;"&lt;/p&gt;"),"")</f>
        <v>&lt;p&gt;Vishaps are ancient Armenian dragon-stones (vishapakar) found in the highlands, among the oldest carved monuments in the region.&lt;/p&gt;</v>
      </c>
      <c r="D302" s="21" t="str">
        <f aca="false">IF(Variants!$B303="","","Karni Jewellery")</f>
        <v>Karni Jewellery</v>
      </c>
      <c r="E302" s="21" t="str">
        <f aca="false">IF(Variants!$B303="","","Apparel &amp; Accessories &gt; Jewelry")</f>
        <v>Apparel &amp; Accessories &gt; Jewelry</v>
      </c>
      <c r="F302" s="21" t="str">
        <f aca="false">IF(Variants!$D303="","",Variants!$D303)</f>
        <v>Earring</v>
      </c>
      <c r="G302" s="21" t="str">
        <f aca="false">IF(Variants!$E303="","",Variants!$E303&amp;", Armenian jewellery, handmade")</f>
        <v>Vishab, Armenian jewellery, handmade</v>
      </c>
      <c r="H302" s="21" t="str">
        <f aca="false">IF(Variants!$AD303="Active","TRUE","FALSE")</f>
        <v>TRUE</v>
      </c>
      <c r="I302" s="21" t="str">
        <f aca="false">IF(Variants!$H303="","","Color")</f>
        <v>Color</v>
      </c>
      <c r="J302" s="21" t="str">
        <f aca="false">IF(Variants!$H303="","",Variants!$H303)</f>
        <v>white-bordeaux</v>
      </c>
      <c r="K302" s="21" t="str">
        <f aca="false">IF(Variants!$G303="","","Size")</f>
        <v>Size</v>
      </c>
      <c r="L302" s="21" t="str">
        <f aca="false">IF(Variants!$G303="","",Variants!$G303)</f>
        <v>medium</v>
      </c>
      <c r="M302" s="21" t="str">
        <f aca="false">Variants!$A303</f>
        <v>KARNI-EARRNG-VISHAB-M-WHITE-BORDEAUX</v>
      </c>
      <c r="N302" s="21" t="str">
        <f aca="false">IF(Variants!$X303="","",Variants!$X303)</f>
        <v/>
      </c>
      <c r="O302" s="21" t="n">
        <f aca="false">IF(Variants!$O303="","",Variants!$O303)</f>
        <v>0</v>
      </c>
      <c r="P302" s="18" t="n">
        <f aca="false">IF(Variants!$J303="","",Variants!$J303)</f>
        <v>70.2</v>
      </c>
      <c r="Q302" s="21" t="str">
        <f aca="false">IF(Variants!$U303="","",Variants!$U303)</f>
        <v/>
      </c>
      <c r="R302" s="21" t="str">
        <f aca="false">IF(Variants!$Y303="","",Variants!$Y303)</f>
        <v/>
      </c>
      <c r="S302" s="21" t="n">
        <f aca="false">IFERROR(VLOOKUP(Variants!$B303,Designs!$A$3:$AP$165,37,FALSE()),"")</f>
        <v>0</v>
      </c>
      <c r="T302" s="21" t="str">
        <f aca="false">IFERROR(VLOOKUP(Variants!$B303,Designs!$A$3:$AP$165,38,FALSE()),"")</f>
        <v>No</v>
      </c>
      <c r="U302" s="21" t="str">
        <f aca="false">IF(Variants!$AD303="Active","active","draft")</f>
        <v>active</v>
      </c>
    </row>
    <row r="303" customFormat="false" ht="15.75" hidden="false" customHeight="true" outlineLevel="0" collapsed="false">
      <c r="A303" s="21" t="str">
        <f aca="false">IF(Variants!$B304="","",LOWER(Variants!$B304))</f>
        <v>dsgn-earrng-vishab-m</v>
      </c>
      <c r="B303" s="21" t="str">
        <f aca="false">IF(Variants!$B304="","",Variants!$C304&amp;IF(Variants!$F304="",""," "&amp;Variants!$F304))</f>
        <v>Vishab Earrings</v>
      </c>
      <c r="C303" s="21" t="str">
        <f aca="false">IFERROR(IF(Variants!$B304="","","&lt;p&gt;"&amp;VLOOKUP(Variants!$B304,Designs!$A$3:$AP$165,9,FALSE())&amp;"&lt;/p&gt;"),"")</f>
        <v>&lt;p&gt;Vishaps are ancient Armenian dragon-stones (vishapakar) found in the highlands, among the oldest carved monuments in the region.&lt;/p&gt;</v>
      </c>
      <c r="D303" s="21" t="str">
        <f aca="false">IF(Variants!$B304="","","Karni Jewellery")</f>
        <v>Karni Jewellery</v>
      </c>
      <c r="E303" s="21" t="str">
        <f aca="false">IF(Variants!$B304="","","Apparel &amp; Accessories &gt; Jewelry")</f>
        <v>Apparel &amp; Accessories &gt; Jewelry</v>
      </c>
      <c r="F303" s="21" t="str">
        <f aca="false">IF(Variants!$D304="","",Variants!$D304)</f>
        <v>Earring</v>
      </c>
      <c r="G303" s="21" t="str">
        <f aca="false">IF(Variants!$E304="","",Variants!$E304&amp;", Armenian jewellery, handmade")</f>
        <v>Vishab, Armenian jewellery, handmade</v>
      </c>
      <c r="H303" s="21" t="str">
        <f aca="false">IF(Variants!$AD304="Active","TRUE","FALSE")</f>
        <v>TRUE</v>
      </c>
      <c r="I303" s="21" t="str">
        <f aca="false">IF(Variants!$H304="","","Color")</f>
        <v>Color</v>
      </c>
      <c r="J303" s="21" t="str">
        <f aca="false">IF(Variants!$H304="","",Variants!$H304)</f>
        <v>turquoise-blue</v>
      </c>
      <c r="K303" s="21" t="str">
        <f aca="false">IF(Variants!$G304="","","Size")</f>
        <v>Size</v>
      </c>
      <c r="L303" s="21" t="str">
        <f aca="false">IF(Variants!$G304="","",Variants!$G304)</f>
        <v>medium</v>
      </c>
      <c r="M303" s="21" t="str">
        <f aca="false">Variants!$A304</f>
        <v>KARNI-EARRNG-VISHAB-M-TURQUOISE-BLUE</v>
      </c>
      <c r="N303" s="21" t="str">
        <f aca="false">IF(Variants!$X304="","",Variants!$X304)</f>
        <v/>
      </c>
      <c r="O303" s="21" t="n">
        <f aca="false">IF(Variants!$O304="","",Variants!$O304)</f>
        <v>0</v>
      </c>
      <c r="P303" s="18" t="n">
        <f aca="false">IF(Variants!$J304="","",Variants!$J304)</f>
        <v>70.2</v>
      </c>
      <c r="Q303" s="21" t="str">
        <f aca="false">IF(Variants!$U304="","",Variants!$U304)</f>
        <v/>
      </c>
      <c r="R303" s="21" t="str">
        <f aca="false">IF(Variants!$Y304="","",Variants!$Y304)</f>
        <v/>
      </c>
      <c r="S303" s="21" t="n">
        <f aca="false">IFERROR(VLOOKUP(Variants!$B304,Designs!$A$3:$AP$165,37,FALSE()),"")</f>
        <v>0</v>
      </c>
      <c r="T303" s="21" t="str">
        <f aca="false">IFERROR(VLOOKUP(Variants!$B304,Designs!$A$3:$AP$165,38,FALSE()),"")</f>
        <v>No</v>
      </c>
      <c r="U303" s="21" t="str">
        <f aca="false">IF(Variants!$AD304="Active","active","draft")</f>
        <v>active</v>
      </c>
    </row>
    <row r="304" customFormat="false" ht="15.75" hidden="false" customHeight="true" outlineLevel="0" collapsed="false">
      <c r="A304" s="21" t="str">
        <f aca="false">IF(Variants!$B305="","",LOWER(Variants!$B305))</f>
        <v>dsgn-earrng-vishab-m</v>
      </c>
      <c r="B304" s="21" t="str">
        <f aca="false">IF(Variants!$B305="","",Variants!$C305&amp;IF(Variants!$F305="",""," "&amp;Variants!$F305))</f>
        <v>Vishab Earrings</v>
      </c>
      <c r="C304" s="21" t="str">
        <f aca="false">IFERROR(IF(Variants!$B305="","","&lt;p&gt;"&amp;VLOOKUP(Variants!$B305,Designs!$A$3:$AP$165,9,FALSE())&amp;"&lt;/p&gt;"),"")</f>
        <v>&lt;p&gt;Vishaps are ancient Armenian dragon-stones (vishapakar) found in the highlands, among the oldest carved monuments in the region.&lt;/p&gt;</v>
      </c>
      <c r="D304" s="21" t="str">
        <f aca="false">IF(Variants!$B305="","","Karni Jewellery")</f>
        <v>Karni Jewellery</v>
      </c>
      <c r="E304" s="21" t="str">
        <f aca="false">IF(Variants!$B305="","","Apparel &amp; Accessories &gt; Jewelry")</f>
        <v>Apparel &amp; Accessories &gt; Jewelry</v>
      </c>
      <c r="F304" s="21" t="str">
        <f aca="false">IF(Variants!$D305="","",Variants!$D305)</f>
        <v>Earring</v>
      </c>
      <c r="G304" s="21" t="str">
        <f aca="false">IF(Variants!$E305="","",Variants!$E305&amp;", Armenian jewellery, handmade")</f>
        <v>Vishab, Armenian jewellery, handmade</v>
      </c>
      <c r="H304" s="21" t="str">
        <f aca="false">IF(Variants!$AD305="Active","TRUE","FALSE")</f>
        <v>TRUE</v>
      </c>
      <c r="I304" s="21" t="str">
        <f aca="false">IF(Variants!$H305="","","Color")</f>
        <v>Color</v>
      </c>
      <c r="J304" s="21" t="str">
        <f aca="false">IF(Variants!$H305="","",Variants!$H305)</f>
        <v>blue-red</v>
      </c>
      <c r="K304" s="21" t="str">
        <f aca="false">IF(Variants!$G305="","","Size")</f>
        <v>Size</v>
      </c>
      <c r="L304" s="21" t="str">
        <f aca="false">IF(Variants!$G305="","",Variants!$G305)</f>
        <v>medium</v>
      </c>
      <c r="M304" s="21" t="str">
        <f aca="false">Variants!$A305</f>
        <v>KARNI-EARRNG-VISHAB-M-BLUE-RED</v>
      </c>
      <c r="N304" s="21" t="str">
        <f aca="false">IF(Variants!$X305="","",Variants!$X305)</f>
        <v/>
      </c>
      <c r="O304" s="21" t="n">
        <f aca="false">IF(Variants!$O305="","",Variants!$O305)</f>
        <v>0</v>
      </c>
      <c r="P304" s="18" t="n">
        <f aca="false">IF(Variants!$J305="","",Variants!$J305)</f>
        <v>70.2</v>
      </c>
      <c r="Q304" s="21" t="str">
        <f aca="false">IF(Variants!$U305="","",Variants!$U305)</f>
        <v/>
      </c>
      <c r="R304" s="21" t="str">
        <f aca="false">IF(Variants!$Y305="","",Variants!$Y305)</f>
        <v/>
      </c>
      <c r="S304" s="21" t="n">
        <f aca="false">IFERROR(VLOOKUP(Variants!$B305,Designs!$A$3:$AP$165,37,FALSE()),"")</f>
        <v>0</v>
      </c>
      <c r="T304" s="21" t="str">
        <f aca="false">IFERROR(VLOOKUP(Variants!$B305,Designs!$A$3:$AP$165,38,FALSE()),"")</f>
        <v>No</v>
      </c>
      <c r="U304" s="21" t="str">
        <f aca="false">IF(Variants!$AD305="Active","active","draft")</f>
        <v>active</v>
      </c>
    </row>
    <row r="305" customFormat="false" ht="15.75" hidden="false" customHeight="true" outlineLevel="0" collapsed="false">
      <c r="A305" s="21" t="str">
        <f aca="false">IF(Variants!$B306="","",LOWER(Variants!$B306))</f>
        <v>dsgn-earrng-vishabarevagorg-s</v>
      </c>
      <c r="B305" s="21" t="str">
        <f aca="false">IF(Variants!$B306="","",Variants!$C306&amp;IF(Variants!$F306="",""," "&amp;Variants!$F306))</f>
        <v>Արեւագորգի Վիշապ</v>
      </c>
      <c r="C305" s="21" t="str">
        <f aca="false">IFERROR(IF(Variants!$B306="","","&lt;p&gt;"&amp;VLOOKUP(Variants!$B306,Designs!$A$3:$AP$165,9,FALSE())&amp;"&lt;/p&gt;"),"")</f>
        <v>&lt;p&gt;Combines the vishap (dragon) motif with the arevagorg (sun-carpet) — an Armenian solar ornament symbolising life and eternity.&lt;/p&gt;</v>
      </c>
      <c r="D305" s="21" t="str">
        <f aca="false">IF(Variants!$B306="","","Karni Jewellery")</f>
        <v>Karni Jewellery</v>
      </c>
      <c r="E305" s="21" t="str">
        <f aca="false">IF(Variants!$B306="","","Apparel &amp; Accessories &gt; Jewelry")</f>
        <v>Apparel &amp; Accessories &gt; Jewelry</v>
      </c>
      <c r="F305" s="21" t="str">
        <f aca="false">IF(Variants!$D306="","",Variants!$D306)</f>
        <v>Earring</v>
      </c>
      <c r="G305" s="21" t="str">
        <f aca="false">IF(Variants!$E306="","",Variants!$E306&amp;", Armenian jewellery, handmade")</f>
        <v>Vishab Arevagorg, Armenian jewellery, handmade</v>
      </c>
      <c r="H305" s="21" t="str">
        <f aca="false">IF(Variants!$AD306="Active","TRUE","FALSE")</f>
        <v>TRUE</v>
      </c>
      <c r="I305" s="21" t="str">
        <f aca="false">IF(Variants!$H306="","","Color")</f>
        <v>Color</v>
      </c>
      <c r="J305" s="21" t="str">
        <f aca="false">IF(Variants!$H306="","",Variants!$H306)</f>
        <v>blue</v>
      </c>
      <c r="K305" s="21" t="str">
        <f aca="false">IF(Variants!$G306="","","Size")</f>
        <v>Size</v>
      </c>
      <c r="L305" s="21" t="str">
        <f aca="false">IF(Variants!$G306="","",Variants!$G306)</f>
        <v>small</v>
      </c>
      <c r="M305" s="21" t="str">
        <f aca="false">Variants!$A306</f>
        <v>KARNI-EARRNG-VISHABAREVAGORG-S-BLUE</v>
      </c>
      <c r="N305" s="21" t="str">
        <f aca="false">IF(Variants!$X306="","",Variants!$X306)</f>
        <v/>
      </c>
      <c r="O305" s="21" t="n">
        <f aca="false">IF(Variants!$O306="","",Variants!$O306)</f>
        <v>0</v>
      </c>
      <c r="P305" s="18" t="n">
        <f aca="false">IF(Variants!$J306="","",Variants!$J306)</f>
        <v>33.8</v>
      </c>
      <c r="Q305" s="21" t="str">
        <f aca="false">IF(Variants!$U306="","",Variants!$U306)</f>
        <v/>
      </c>
      <c r="R305" s="21" t="str">
        <f aca="false">IF(Variants!$Y306="","",Variants!$Y306)</f>
        <v/>
      </c>
      <c r="S305" s="21" t="n">
        <f aca="false">IFERROR(VLOOKUP(Variants!$B306,Designs!$A$3:$AP$165,37,FALSE()),"")</f>
        <v>0</v>
      </c>
      <c r="T305" s="21" t="str">
        <f aca="false">IFERROR(VLOOKUP(Variants!$B306,Designs!$A$3:$AP$165,38,FALSE()),"")</f>
        <v>No</v>
      </c>
      <c r="U305" s="21" t="str">
        <f aca="false">IF(Variants!$AD306="Active","active","draft")</f>
        <v>active</v>
      </c>
    </row>
    <row r="306" customFormat="false" ht="15.75" hidden="false" customHeight="true" outlineLevel="0" collapsed="false">
      <c r="A306" s="21" t="str">
        <f aca="false">IF(Variants!$B307="","",LOWER(Variants!$B307))</f>
        <v>dsgn-earrng-vishabarevagorg-s</v>
      </c>
      <c r="B306" s="21" t="str">
        <f aca="false">IF(Variants!$B307="","",Variants!$C307&amp;IF(Variants!$F307="",""," "&amp;Variants!$F307))</f>
        <v>Արեւագորգի Վիշապ</v>
      </c>
      <c r="C306" s="21" t="str">
        <f aca="false">IFERROR(IF(Variants!$B307="","","&lt;p&gt;"&amp;VLOOKUP(Variants!$B307,Designs!$A$3:$AP$165,9,FALSE())&amp;"&lt;/p&gt;"),"")</f>
        <v>&lt;p&gt;Combines the vishap (dragon) motif with the arevagorg (sun-carpet) — an Armenian solar ornament symbolising life and eternity.&lt;/p&gt;</v>
      </c>
      <c r="D306" s="21" t="str">
        <f aca="false">IF(Variants!$B307="","","Karni Jewellery")</f>
        <v>Karni Jewellery</v>
      </c>
      <c r="E306" s="21" t="str">
        <f aca="false">IF(Variants!$B307="","","Apparel &amp; Accessories &gt; Jewelry")</f>
        <v>Apparel &amp; Accessories &gt; Jewelry</v>
      </c>
      <c r="F306" s="21" t="str">
        <f aca="false">IF(Variants!$D307="","",Variants!$D307)</f>
        <v>Earring</v>
      </c>
      <c r="G306" s="21" t="str">
        <f aca="false">IF(Variants!$E307="","",Variants!$E307&amp;", Armenian jewellery, handmade")</f>
        <v>Vishab Arevagorg, Armenian jewellery, handmade</v>
      </c>
      <c r="H306" s="21" t="str">
        <f aca="false">IF(Variants!$AD307="Active","TRUE","FALSE")</f>
        <v>TRUE</v>
      </c>
      <c r="I306" s="21" t="str">
        <f aca="false">IF(Variants!$H307="","","Color")</f>
        <v>Color</v>
      </c>
      <c r="J306" s="21" t="str">
        <f aca="false">IF(Variants!$H307="","",Variants!$H307)</f>
        <v>white</v>
      </c>
      <c r="K306" s="21" t="str">
        <f aca="false">IF(Variants!$G307="","","Size")</f>
        <v>Size</v>
      </c>
      <c r="L306" s="21" t="str">
        <f aca="false">IF(Variants!$G307="","",Variants!$G307)</f>
        <v>small</v>
      </c>
      <c r="M306" s="21" t="str">
        <f aca="false">Variants!$A307</f>
        <v>KARNI-EARRNG-VISHABAREVAGORG-S-WHITE</v>
      </c>
      <c r="N306" s="21" t="str">
        <f aca="false">IF(Variants!$X307="","",Variants!$X307)</f>
        <v/>
      </c>
      <c r="O306" s="21" t="n">
        <f aca="false">IF(Variants!$O307="","",Variants!$O307)</f>
        <v>0</v>
      </c>
      <c r="P306" s="18" t="n">
        <f aca="false">IF(Variants!$J307="","",Variants!$J307)</f>
        <v>33.8</v>
      </c>
      <c r="Q306" s="21" t="str">
        <f aca="false">IF(Variants!$U307="","",Variants!$U307)</f>
        <v/>
      </c>
      <c r="R306" s="21" t="str">
        <f aca="false">IF(Variants!$Y307="","",Variants!$Y307)</f>
        <v/>
      </c>
      <c r="S306" s="21" t="n">
        <f aca="false">IFERROR(VLOOKUP(Variants!$B307,Designs!$A$3:$AP$165,37,FALSE()),"")</f>
        <v>0</v>
      </c>
      <c r="T306" s="21" t="str">
        <f aca="false">IFERROR(VLOOKUP(Variants!$B307,Designs!$A$3:$AP$165,38,FALSE()),"")</f>
        <v>No</v>
      </c>
      <c r="U306" s="21" t="str">
        <f aca="false">IF(Variants!$AD307="Active","active","draft")</f>
        <v>active</v>
      </c>
    </row>
    <row r="307" customFormat="false" ht="15.75" hidden="false" customHeight="true" outlineLevel="0" collapsed="false">
      <c r="A307" s="21" t="str">
        <f aca="false">IF(Variants!$B308="","",LOWER(Variants!$B308))</f>
        <v>dsgn-earrng-vishabarevagorg-s</v>
      </c>
      <c r="B307" s="21" t="str">
        <f aca="false">IF(Variants!$B308="","",Variants!$C308&amp;IF(Variants!$F308="",""," "&amp;Variants!$F308))</f>
        <v>Արեւագորգի Վիշապ</v>
      </c>
      <c r="C307" s="21" t="str">
        <f aca="false">IFERROR(IF(Variants!$B308="","","&lt;p&gt;"&amp;VLOOKUP(Variants!$B308,Designs!$A$3:$AP$165,9,FALSE())&amp;"&lt;/p&gt;"),"")</f>
        <v>&lt;p&gt;Combines the vishap (dragon) motif with the arevagorg (sun-carpet) — an Armenian solar ornament symbolising life and eternity.&lt;/p&gt;</v>
      </c>
      <c r="D307" s="21" t="str">
        <f aca="false">IF(Variants!$B308="","","Karni Jewellery")</f>
        <v>Karni Jewellery</v>
      </c>
      <c r="E307" s="21" t="str">
        <f aca="false">IF(Variants!$B308="","","Apparel &amp; Accessories &gt; Jewelry")</f>
        <v>Apparel &amp; Accessories &gt; Jewelry</v>
      </c>
      <c r="F307" s="21" t="str">
        <f aca="false">IF(Variants!$D308="","",Variants!$D308)</f>
        <v>Earring</v>
      </c>
      <c r="G307" s="21" t="str">
        <f aca="false">IF(Variants!$E308="","",Variants!$E308&amp;", Armenian jewellery, handmade")</f>
        <v>Vishab Arevagorg, Armenian jewellery, handmade</v>
      </c>
      <c r="H307" s="21" t="str">
        <f aca="false">IF(Variants!$AD308="Active","TRUE","FALSE")</f>
        <v>TRUE</v>
      </c>
      <c r="I307" s="21" t="str">
        <f aca="false">IF(Variants!$H308="","","Color")</f>
        <v>Color</v>
      </c>
      <c r="J307" s="21" t="str">
        <f aca="false">IF(Variants!$H308="","",Variants!$H308)</f>
        <v>bordeaux</v>
      </c>
      <c r="K307" s="21" t="str">
        <f aca="false">IF(Variants!$G308="","","Size")</f>
        <v>Size</v>
      </c>
      <c r="L307" s="21" t="str">
        <f aca="false">IF(Variants!$G308="","",Variants!$G308)</f>
        <v>small</v>
      </c>
      <c r="M307" s="21" t="str">
        <f aca="false">Variants!$A308</f>
        <v>KARNI-EARRNG-VISHABAREVAGORG-S-BORDEAUX</v>
      </c>
      <c r="N307" s="21" t="str">
        <f aca="false">IF(Variants!$X308="","",Variants!$X308)</f>
        <v/>
      </c>
      <c r="O307" s="21" t="n">
        <f aca="false">IF(Variants!$O308="","",Variants!$O308)</f>
        <v>0</v>
      </c>
      <c r="P307" s="18" t="n">
        <f aca="false">IF(Variants!$J308="","",Variants!$J308)</f>
        <v>33.8</v>
      </c>
      <c r="Q307" s="21" t="str">
        <f aca="false">IF(Variants!$U308="","",Variants!$U308)</f>
        <v/>
      </c>
      <c r="R307" s="21" t="str">
        <f aca="false">IF(Variants!$Y308="","",Variants!$Y308)</f>
        <v/>
      </c>
      <c r="S307" s="21" t="n">
        <f aca="false">IFERROR(VLOOKUP(Variants!$B308,Designs!$A$3:$AP$165,37,FALSE()),"")</f>
        <v>0</v>
      </c>
      <c r="T307" s="21" t="str">
        <f aca="false">IFERROR(VLOOKUP(Variants!$B308,Designs!$A$3:$AP$165,38,FALSE()),"")</f>
        <v>No</v>
      </c>
      <c r="U307" s="21" t="str">
        <f aca="false">IF(Variants!$AD308="Active","active","draft")</f>
        <v>active</v>
      </c>
    </row>
    <row r="308" customFormat="false" ht="15.75" hidden="false" customHeight="true" outlineLevel="0" collapsed="false">
      <c r="A308" s="21" t="str">
        <f aca="false">IF(Variants!$B309="","",LOWER(Variants!$B309))</f>
        <v>dsgn-earrng-vishabarevagorg-s</v>
      </c>
      <c r="B308" s="21" t="str">
        <f aca="false">IF(Variants!$B309="","",Variants!$C309&amp;IF(Variants!$F309="",""," "&amp;Variants!$F309))</f>
        <v>Արեւագորգի Վիշապ</v>
      </c>
      <c r="C308" s="21" t="str">
        <f aca="false">IFERROR(IF(Variants!$B309="","","&lt;p&gt;"&amp;VLOOKUP(Variants!$B309,Designs!$A$3:$AP$165,9,FALSE())&amp;"&lt;/p&gt;"),"")</f>
        <v>&lt;p&gt;Combines the vishap (dragon) motif with the arevagorg (sun-carpet) — an Armenian solar ornament symbolising life and eternity.&lt;/p&gt;</v>
      </c>
      <c r="D308" s="21" t="str">
        <f aca="false">IF(Variants!$B309="","","Karni Jewellery")</f>
        <v>Karni Jewellery</v>
      </c>
      <c r="E308" s="21" t="str">
        <f aca="false">IF(Variants!$B309="","","Apparel &amp; Accessories &gt; Jewelry")</f>
        <v>Apparel &amp; Accessories &gt; Jewelry</v>
      </c>
      <c r="F308" s="21" t="str">
        <f aca="false">IF(Variants!$D309="","",Variants!$D309)</f>
        <v>Earring</v>
      </c>
      <c r="G308" s="21" t="str">
        <f aca="false">IF(Variants!$E309="","",Variants!$E309&amp;", Armenian jewellery, handmade")</f>
        <v>Vishab Arevagorg, Armenian jewellery, handmade</v>
      </c>
      <c r="H308" s="21" t="str">
        <f aca="false">IF(Variants!$AD309="Active","TRUE","FALSE")</f>
        <v>TRUE</v>
      </c>
      <c r="I308" s="21" t="str">
        <f aca="false">IF(Variants!$H309="","","Color")</f>
        <v>Color</v>
      </c>
      <c r="J308" s="21" t="str">
        <f aca="false">IF(Variants!$H309="","",Variants!$H309)</f>
        <v>turquoise</v>
      </c>
      <c r="K308" s="21" t="str">
        <f aca="false">IF(Variants!$G309="","","Size")</f>
        <v>Size</v>
      </c>
      <c r="L308" s="21" t="str">
        <f aca="false">IF(Variants!$G309="","",Variants!$G309)</f>
        <v>small</v>
      </c>
      <c r="M308" s="21" t="str">
        <f aca="false">Variants!$A309</f>
        <v>KARNI-EARRNG-VISHABAREVAGORG-S-TURQUOISE</v>
      </c>
      <c r="N308" s="21" t="str">
        <f aca="false">IF(Variants!$X309="","",Variants!$X309)</f>
        <v/>
      </c>
      <c r="O308" s="21" t="n">
        <f aca="false">IF(Variants!$O309="","",Variants!$O309)</f>
        <v>0</v>
      </c>
      <c r="P308" s="18" t="n">
        <f aca="false">IF(Variants!$J309="","",Variants!$J309)</f>
        <v>33.8</v>
      </c>
      <c r="Q308" s="21" t="str">
        <f aca="false">IF(Variants!$U309="","",Variants!$U309)</f>
        <v/>
      </c>
      <c r="R308" s="21" t="str">
        <f aca="false">IF(Variants!$Y309="","",Variants!$Y309)</f>
        <v/>
      </c>
      <c r="S308" s="21" t="n">
        <f aca="false">IFERROR(VLOOKUP(Variants!$B309,Designs!$A$3:$AP$165,37,FALSE()),"")</f>
        <v>0</v>
      </c>
      <c r="T308" s="21" t="str">
        <f aca="false">IFERROR(VLOOKUP(Variants!$B309,Designs!$A$3:$AP$165,38,FALSE()),"")</f>
        <v>No</v>
      </c>
      <c r="U308" s="21" t="str">
        <f aca="false">IF(Variants!$AD309="Active","active","draft")</f>
        <v>active</v>
      </c>
    </row>
    <row r="309" customFormat="false" ht="15.75" hidden="false" customHeight="true" outlineLevel="0" collapsed="false">
      <c r="A309" s="21" t="str">
        <f aca="false">IF(Variants!$B310="","",LOWER(Variants!$B310))</f>
        <v>dsgn-earrng-vishabarevagorg-s</v>
      </c>
      <c r="B309" s="21" t="str">
        <f aca="false">IF(Variants!$B310="","",Variants!$C310&amp;IF(Variants!$F310="",""," "&amp;Variants!$F310))</f>
        <v>Արեւագորգի Վիշապ</v>
      </c>
      <c r="C309" s="21" t="str">
        <f aca="false">IFERROR(IF(Variants!$B310="","","&lt;p&gt;"&amp;VLOOKUP(Variants!$B310,Designs!$A$3:$AP$165,9,FALSE())&amp;"&lt;/p&gt;"),"")</f>
        <v>&lt;p&gt;Combines the vishap (dragon) motif with the arevagorg (sun-carpet) — an Armenian solar ornament symbolising life and eternity.&lt;/p&gt;</v>
      </c>
      <c r="D309" s="21" t="str">
        <f aca="false">IF(Variants!$B310="","","Karni Jewellery")</f>
        <v>Karni Jewellery</v>
      </c>
      <c r="E309" s="21" t="str">
        <f aca="false">IF(Variants!$B310="","","Apparel &amp; Accessories &gt; Jewelry")</f>
        <v>Apparel &amp; Accessories &gt; Jewelry</v>
      </c>
      <c r="F309" s="21" t="str">
        <f aca="false">IF(Variants!$D310="","",Variants!$D310)</f>
        <v>Earring</v>
      </c>
      <c r="G309" s="21" t="str">
        <f aca="false">IF(Variants!$E310="","",Variants!$E310&amp;", Armenian jewellery, handmade")</f>
        <v>Vishab Arevagorg, Armenian jewellery, handmade</v>
      </c>
      <c r="H309" s="21" t="str">
        <f aca="false">IF(Variants!$AD310="Active","TRUE","FALSE")</f>
        <v>TRUE</v>
      </c>
      <c r="I309" s="21" t="str">
        <f aca="false">IF(Variants!$H310="","","Color")</f>
        <v>Color</v>
      </c>
      <c r="J309" s="21" t="str">
        <f aca="false">IF(Variants!$H310="","",Variants!$H310)</f>
        <v>green</v>
      </c>
      <c r="K309" s="21" t="str">
        <f aca="false">IF(Variants!$G310="","","Size")</f>
        <v>Size</v>
      </c>
      <c r="L309" s="21" t="str">
        <f aca="false">IF(Variants!$G310="","",Variants!$G310)</f>
        <v>small</v>
      </c>
      <c r="M309" s="21" t="str">
        <f aca="false">Variants!$A310</f>
        <v>KARNI-EARRNG-VISHABAREVAGORG-S-GREEN</v>
      </c>
      <c r="N309" s="21" t="str">
        <f aca="false">IF(Variants!$X310="","",Variants!$X310)</f>
        <v/>
      </c>
      <c r="O309" s="21" t="n">
        <f aca="false">IF(Variants!$O310="","",Variants!$O310)</f>
        <v>0</v>
      </c>
      <c r="P309" s="18" t="n">
        <f aca="false">IF(Variants!$J310="","",Variants!$J310)</f>
        <v>33.8</v>
      </c>
      <c r="Q309" s="21" t="str">
        <f aca="false">IF(Variants!$U310="","",Variants!$U310)</f>
        <v/>
      </c>
      <c r="R309" s="21" t="str">
        <f aca="false">IF(Variants!$Y310="","",Variants!$Y310)</f>
        <v/>
      </c>
      <c r="S309" s="21" t="n">
        <f aca="false">IFERROR(VLOOKUP(Variants!$B310,Designs!$A$3:$AP$165,37,FALSE()),"")</f>
        <v>0</v>
      </c>
      <c r="T309" s="21" t="str">
        <f aca="false">IFERROR(VLOOKUP(Variants!$B310,Designs!$A$3:$AP$165,38,FALSE()),"")</f>
        <v>No</v>
      </c>
      <c r="U309" s="21" t="str">
        <f aca="false">IF(Variants!$AD310="Active","active","draft")</f>
        <v>active</v>
      </c>
    </row>
    <row r="310" customFormat="false" ht="15.75" hidden="false" customHeight="true" outlineLevel="0" collapsed="false">
      <c r="A310" s="21" t="str">
        <f aca="false">IF(Variants!$B311="","",LOWER(Variants!$B311))</f>
        <v>dsgn-earrng-vishabarevagorg-m</v>
      </c>
      <c r="B310" s="21" t="str">
        <f aca="false">IF(Variants!$B311="","",Variants!$C311&amp;IF(Variants!$F311="",""," "&amp;Variants!$F311))</f>
        <v>Արեւագորգի Վիշապ</v>
      </c>
      <c r="C310" s="21" t="str">
        <f aca="false">IFERROR(IF(Variants!$B311="","","&lt;p&gt;"&amp;VLOOKUP(Variants!$B311,Designs!$A$3:$AP$165,9,FALSE())&amp;"&lt;/p&gt;"),"")</f>
        <v>&lt;p&gt;Combines the vishap (dragon) motif with the arevagorg (sun-carpet) — an Armenian solar ornament symbolising life and eternity.&lt;/p&gt;</v>
      </c>
      <c r="D310" s="21" t="str">
        <f aca="false">IF(Variants!$B311="","","Karni Jewellery")</f>
        <v>Karni Jewellery</v>
      </c>
      <c r="E310" s="21" t="str">
        <f aca="false">IF(Variants!$B311="","","Apparel &amp; Accessories &gt; Jewelry")</f>
        <v>Apparel &amp; Accessories &gt; Jewelry</v>
      </c>
      <c r="F310" s="21" t="str">
        <f aca="false">IF(Variants!$D311="","",Variants!$D311)</f>
        <v>Earring</v>
      </c>
      <c r="G310" s="21" t="str">
        <f aca="false">IF(Variants!$E311="","",Variants!$E311&amp;", Armenian jewellery, handmade")</f>
        <v>Vishab Arevagorg, Armenian jewellery, handmade</v>
      </c>
      <c r="H310" s="21" t="str">
        <f aca="false">IF(Variants!$AD311="Active","TRUE","FALSE")</f>
        <v>TRUE</v>
      </c>
      <c r="I310" s="21" t="str">
        <f aca="false">IF(Variants!$H311="","","Color")</f>
        <v>Color</v>
      </c>
      <c r="J310" s="21" t="str">
        <f aca="false">IF(Variants!$H311="","",Variants!$H311)</f>
        <v>white-blue-yellow</v>
      </c>
      <c r="K310" s="21" t="str">
        <f aca="false">IF(Variants!$G311="","","Size")</f>
        <v>Size</v>
      </c>
      <c r="L310" s="21" t="str">
        <f aca="false">IF(Variants!$G311="","",Variants!$G311)</f>
        <v>medium</v>
      </c>
      <c r="M310" s="21" t="str">
        <f aca="false">Variants!$A311</f>
        <v>KARNI-EARRNG-VISHABAREVAGORG-M-WHITE-BLUE-YELLOW</v>
      </c>
      <c r="N310" s="21" t="str">
        <f aca="false">IF(Variants!$X311="","",Variants!$X311)</f>
        <v/>
      </c>
      <c r="O310" s="21" t="n">
        <f aca="false">IF(Variants!$O311="","",Variants!$O311)</f>
        <v>0</v>
      </c>
      <c r="P310" s="18" t="n">
        <f aca="false">IF(Variants!$J311="","",Variants!$J311)</f>
        <v>70.2</v>
      </c>
      <c r="Q310" s="21" t="str">
        <f aca="false">IF(Variants!$U311="","",Variants!$U311)</f>
        <v/>
      </c>
      <c r="R310" s="21" t="str">
        <f aca="false">IF(Variants!$Y311="","",Variants!$Y311)</f>
        <v/>
      </c>
      <c r="S310" s="21" t="n">
        <f aca="false">IFERROR(VLOOKUP(Variants!$B311,Designs!$A$3:$AP$165,37,FALSE()),"")</f>
        <v>0</v>
      </c>
      <c r="T310" s="21" t="str">
        <f aca="false">IFERROR(VLOOKUP(Variants!$B311,Designs!$A$3:$AP$165,38,FALSE()),"")</f>
        <v>No</v>
      </c>
      <c r="U310" s="21" t="str">
        <f aca="false">IF(Variants!$AD311="Active","active","draft")</f>
        <v>active</v>
      </c>
    </row>
    <row r="311" customFormat="false" ht="15.75" hidden="false" customHeight="true" outlineLevel="0" collapsed="false">
      <c r="A311" s="21" t="str">
        <f aca="false">IF(Variants!$B312="","",LOWER(Variants!$B312))</f>
        <v>dsgn-earrng-vishabarevagorg-m</v>
      </c>
      <c r="B311" s="21" t="str">
        <f aca="false">IF(Variants!$B312="","",Variants!$C312&amp;IF(Variants!$F312="",""," "&amp;Variants!$F312))</f>
        <v>Արեւագորգի Վիշապ</v>
      </c>
      <c r="C311" s="21" t="str">
        <f aca="false">IFERROR(IF(Variants!$B312="","","&lt;p&gt;"&amp;VLOOKUP(Variants!$B312,Designs!$A$3:$AP$165,9,FALSE())&amp;"&lt;/p&gt;"),"")</f>
        <v>&lt;p&gt;Combines the vishap (dragon) motif with the arevagorg (sun-carpet) — an Armenian solar ornament symbolising life and eternity.&lt;/p&gt;</v>
      </c>
      <c r="D311" s="21" t="str">
        <f aca="false">IF(Variants!$B312="","","Karni Jewellery")</f>
        <v>Karni Jewellery</v>
      </c>
      <c r="E311" s="21" t="str">
        <f aca="false">IF(Variants!$B312="","","Apparel &amp; Accessories &gt; Jewelry")</f>
        <v>Apparel &amp; Accessories &gt; Jewelry</v>
      </c>
      <c r="F311" s="21" t="str">
        <f aca="false">IF(Variants!$D312="","",Variants!$D312)</f>
        <v>Earring</v>
      </c>
      <c r="G311" s="21" t="str">
        <f aca="false">IF(Variants!$E312="","",Variants!$E312&amp;", Armenian jewellery, handmade")</f>
        <v>Vishab Arevagorg, Armenian jewellery, handmade</v>
      </c>
      <c r="H311" s="21" t="str">
        <f aca="false">IF(Variants!$AD312="Active","TRUE","FALSE")</f>
        <v>TRUE</v>
      </c>
      <c r="I311" s="21" t="str">
        <f aca="false">IF(Variants!$H312="","","Color")</f>
        <v>Color</v>
      </c>
      <c r="J311" s="21" t="str">
        <f aca="false">IF(Variants!$H312="","",Variants!$H312)</f>
        <v>white-bordeaux-green</v>
      </c>
      <c r="K311" s="21" t="str">
        <f aca="false">IF(Variants!$G312="","","Size")</f>
        <v>Size</v>
      </c>
      <c r="L311" s="21" t="str">
        <f aca="false">IF(Variants!$G312="","",Variants!$G312)</f>
        <v>medium</v>
      </c>
      <c r="M311" s="21" t="str">
        <f aca="false">Variants!$A312</f>
        <v>KARNI-EARRNG-VISHABAREVAGORG-M-WHITE-BORDEAUX-GREEN</v>
      </c>
      <c r="N311" s="21" t="str">
        <f aca="false">IF(Variants!$X312="","",Variants!$X312)</f>
        <v/>
      </c>
      <c r="O311" s="21" t="n">
        <f aca="false">IF(Variants!$O312="","",Variants!$O312)</f>
        <v>0</v>
      </c>
      <c r="P311" s="18" t="n">
        <f aca="false">IF(Variants!$J312="","",Variants!$J312)</f>
        <v>70.2</v>
      </c>
      <c r="Q311" s="21" t="str">
        <f aca="false">IF(Variants!$U312="","",Variants!$U312)</f>
        <v/>
      </c>
      <c r="R311" s="21" t="str">
        <f aca="false">IF(Variants!$Y312="","",Variants!$Y312)</f>
        <v/>
      </c>
      <c r="S311" s="21" t="n">
        <f aca="false">IFERROR(VLOOKUP(Variants!$B312,Designs!$A$3:$AP$165,37,FALSE()),"")</f>
        <v>0</v>
      </c>
      <c r="T311" s="21" t="str">
        <f aca="false">IFERROR(VLOOKUP(Variants!$B312,Designs!$A$3:$AP$165,38,FALSE()),"")</f>
        <v>No</v>
      </c>
      <c r="U311" s="21" t="str">
        <f aca="false">IF(Variants!$AD312="Active","active","draft")</f>
        <v>active</v>
      </c>
    </row>
    <row r="312" customFormat="false" ht="15.75" hidden="false" customHeight="true" outlineLevel="0" collapsed="false">
      <c r="A312" s="21" t="str">
        <f aca="false">IF(Variants!$B313="","",LOWER(Variants!$B313))</f>
        <v>dsgn-earrng-vishabarevagorg-m</v>
      </c>
      <c r="B312" s="21" t="str">
        <f aca="false">IF(Variants!$B313="","",Variants!$C313&amp;IF(Variants!$F313="",""," "&amp;Variants!$F313))</f>
        <v>Արեւագորգի Վիշապ</v>
      </c>
      <c r="C312" s="21" t="str">
        <f aca="false">IFERROR(IF(Variants!$B313="","","&lt;p&gt;"&amp;VLOOKUP(Variants!$B313,Designs!$A$3:$AP$165,9,FALSE())&amp;"&lt;/p&gt;"),"")</f>
        <v>&lt;p&gt;Combines the vishap (dragon) motif with the arevagorg (sun-carpet) — an Armenian solar ornament symbolising life and eternity.&lt;/p&gt;</v>
      </c>
      <c r="D312" s="21" t="str">
        <f aca="false">IF(Variants!$B313="","","Karni Jewellery")</f>
        <v>Karni Jewellery</v>
      </c>
      <c r="E312" s="21" t="str">
        <f aca="false">IF(Variants!$B313="","","Apparel &amp; Accessories &gt; Jewelry")</f>
        <v>Apparel &amp; Accessories &gt; Jewelry</v>
      </c>
      <c r="F312" s="21" t="str">
        <f aca="false">IF(Variants!$D313="","",Variants!$D313)</f>
        <v>Earring</v>
      </c>
      <c r="G312" s="21" t="str">
        <f aca="false">IF(Variants!$E313="","",Variants!$E313&amp;", Armenian jewellery, handmade")</f>
        <v>Vishab Arevagorg, Armenian jewellery, handmade</v>
      </c>
      <c r="H312" s="21" t="str">
        <f aca="false">IF(Variants!$AD313="Active","TRUE","FALSE")</f>
        <v>TRUE</v>
      </c>
      <c r="I312" s="21" t="str">
        <f aca="false">IF(Variants!$H313="","","Color")</f>
        <v>Color</v>
      </c>
      <c r="J312" s="21" t="str">
        <f aca="false">IF(Variants!$H313="","",Variants!$H313)</f>
        <v>blue-bordeaux-white</v>
      </c>
      <c r="K312" s="21" t="str">
        <f aca="false">IF(Variants!$G313="","","Size")</f>
        <v>Size</v>
      </c>
      <c r="L312" s="21" t="str">
        <f aca="false">IF(Variants!$G313="","",Variants!$G313)</f>
        <v>medium</v>
      </c>
      <c r="M312" s="21" t="str">
        <f aca="false">Variants!$A313</f>
        <v>KARNI-EARRNG-VISHABAREVAGORG-M-BLUE-BORDEAUX-WHITE</v>
      </c>
      <c r="N312" s="21" t="str">
        <f aca="false">IF(Variants!$X313="","",Variants!$X313)</f>
        <v/>
      </c>
      <c r="O312" s="21" t="n">
        <f aca="false">IF(Variants!$O313="","",Variants!$O313)</f>
        <v>0</v>
      </c>
      <c r="P312" s="18" t="n">
        <f aca="false">IF(Variants!$J313="","",Variants!$J313)</f>
        <v>70.2</v>
      </c>
      <c r="Q312" s="21" t="str">
        <f aca="false">IF(Variants!$U313="","",Variants!$U313)</f>
        <v/>
      </c>
      <c r="R312" s="21" t="str">
        <f aca="false">IF(Variants!$Y313="","",Variants!$Y313)</f>
        <v/>
      </c>
      <c r="S312" s="21" t="n">
        <f aca="false">IFERROR(VLOOKUP(Variants!$B313,Designs!$A$3:$AP$165,37,FALSE()),"")</f>
        <v>0</v>
      </c>
      <c r="T312" s="21" t="str">
        <f aca="false">IFERROR(VLOOKUP(Variants!$B313,Designs!$A$3:$AP$165,38,FALSE()),"")</f>
        <v>No</v>
      </c>
      <c r="U312" s="21" t="str">
        <f aca="false">IF(Variants!$AD313="Active","active","draft")</f>
        <v>active</v>
      </c>
    </row>
    <row r="313" customFormat="false" ht="15.75" hidden="false" customHeight="true" outlineLevel="0" collapsed="false">
      <c r="A313" s="21" t="str">
        <f aca="false">IF(Variants!$B314="","",LOWER(Variants!$B314))</f>
        <v>dsgn-earrng-vishabarevagorg-m</v>
      </c>
      <c r="B313" s="21" t="str">
        <f aca="false">IF(Variants!$B314="","",Variants!$C314&amp;IF(Variants!$F314="",""," "&amp;Variants!$F314))</f>
        <v>Արեւագորգի Վիշապ</v>
      </c>
      <c r="C313" s="21" t="str">
        <f aca="false">IFERROR(IF(Variants!$B314="","","&lt;p&gt;"&amp;VLOOKUP(Variants!$B314,Designs!$A$3:$AP$165,9,FALSE())&amp;"&lt;/p&gt;"),"")</f>
        <v>&lt;p&gt;Combines the vishap (dragon) motif with the arevagorg (sun-carpet) — an Armenian solar ornament symbolising life and eternity.&lt;/p&gt;</v>
      </c>
      <c r="D313" s="21" t="str">
        <f aca="false">IF(Variants!$B314="","","Karni Jewellery")</f>
        <v>Karni Jewellery</v>
      </c>
      <c r="E313" s="21" t="str">
        <f aca="false">IF(Variants!$B314="","","Apparel &amp; Accessories &gt; Jewelry")</f>
        <v>Apparel &amp; Accessories &gt; Jewelry</v>
      </c>
      <c r="F313" s="21" t="str">
        <f aca="false">IF(Variants!$D314="","",Variants!$D314)</f>
        <v>Earring</v>
      </c>
      <c r="G313" s="21" t="str">
        <f aca="false">IF(Variants!$E314="","",Variants!$E314&amp;", Armenian jewellery, handmade")</f>
        <v>Vishab Arevagorg, Armenian jewellery, handmade</v>
      </c>
      <c r="H313" s="21" t="str">
        <f aca="false">IF(Variants!$AD314="Active","TRUE","FALSE")</f>
        <v>TRUE</v>
      </c>
      <c r="I313" s="21" t="str">
        <f aca="false">IF(Variants!$H314="","","Color")</f>
        <v>Color</v>
      </c>
      <c r="J313" s="21" t="str">
        <f aca="false">IF(Variants!$H314="","",Variants!$H314)</f>
        <v>white-blue-red</v>
      </c>
      <c r="K313" s="21" t="str">
        <f aca="false">IF(Variants!$G314="","","Size")</f>
        <v>Size</v>
      </c>
      <c r="L313" s="21" t="str">
        <f aca="false">IF(Variants!$G314="","",Variants!$G314)</f>
        <v>medium</v>
      </c>
      <c r="M313" s="21" t="str">
        <f aca="false">Variants!$A314</f>
        <v>KARNI-EARRNG-VISHABAREVAGORG-M-WHITE-BLUE-RED</v>
      </c>
      <c r="N313" s="21" t="str">
        <f aca="false">IF(Variants!$X314="","",Variants!$X314)</f>
        <v/>
      </c>
      <c r="O313" s="21" t="n">
        <f aca="false">IF(Variants!$O314="","",Variants!$O314)</f>
        <v>0</v>
      </c>
      <c r="P313" s="18" t="n">
        <f aca="false">IF(Variants!$J314="","",Variants!$J314)</f>
        <v>70.2</v>
      </c>
      <c r="Q313" s="21" t="str">
        <f aca="false">IF(Variants!$U314="","",Variants!$U314)</f>
        <v/>
      </c>
      <c r="R313" s="21" t="str">
        <f aca="false">IF(Variants!$Y314="","",Variants!$Y314)</f>
        <v/>
      </c>
      <c r="S313" s="21" t="n">
        <f aca="false">IFERROR(VLOOKUP(Variants!$B314,Designs!$A$3:$AP$165,37,FALSE()),"")</f>
        <v>0</v>
      </c>
      <c r="T313" s="21" t="str">
        <f aca="false">IFERROR(VLOOKUP(Variants!$B314,Designs!$A$3:$AP$165,38,FALSE()),"")</f>
        <v>No</v>
      </c>
      <c r="U313" s="21" t="str">
        <f aca="false">IF(Variants!$AD314="Active","active","draft")</f>
        <v>active</v>
      </c>
    </row>
    <row r="314" customFormat="false" ht="15.75" hidden="false" customHeight="true" outlineLevel="0" collapsed="false">
      <c r="A314" s="21" t="str">
        <f aca="false">IF(Variants!$B315="","",LOWER(Variants!$B315))</f>
        <v>dsgn-earrng2-marash</v>
      </c>
      <c r="B314" s="21" t="str">
        <f aca="false">IF(Variants!$B315="","",Variants!$C315&amp;IF(Variants!$F315="",""," "&amp;Variants!$F315))</f>
        <v>Marash Earrings (2 pcs)</v>
      </c>
      <c r="C314" s="21" t="str">
        <f aca="false">IFERROR(IF(Variants!$B315="","","&lt;p&gt;"&amp;VLOOKUP(Variants!$B315,Designs!$A$3:$AP$165,9,FALSE())&amp;"&lt;/p&gt;"),"")</f>
        <v>&lt;p&gt;Marash-work is a distinctive Armenian embroidery style from Cilician Marash, known for its interlaced geometric patterns.&lt;/p&gt;</v>
      </c>
      <c r="D314" s="21" t="str">
        <f aca="false">IF(Variants!$B315="","","Karni Jewellery")</f>
        <v>Karni Jewellery</v>
      </c>
      <c r="E314" s="21" t="str">
        <f aca="false">IF(Variants!$B315="","","Apparel &amp; Accessories &gt; Jewelry")</f>
        <v>Apparel &amp; Accessories &gt; Jewelry</v>
      </c>
      <c r="F314" s="21" t="str">
        <f aca="false">IF(Variants!$D315="","",Variants!$D315)</f>
        <v>earrings 2 pcs.</v>
      </c>
      <c r="G314" s="21" t="str">
        <f aca="false">IF(Variants!$E315="","",Variants!$E315&amp;", Armenian jewellery, handmade")</f>
        <v>Marash, Armenian jewellery, handmade</v>
      </c>
      <c r="H314" s="21" t="str">
        <f aca="false">IF(Variants!$AD315="Active","TRUE","FALSE")</f>
        <v>TRUE</v>
      </c>
      <c r="I314" s="21" t="str">
        <f aca="false">IF(Variants!$H315="","","Color")</f>
        <v>Color</v>
      </c>
      <c r="J314" s="21" t="str">
        <f aca="false">IF(Variants!$H315="","",Variants!$H315)</f>
        <v>blue-white</v>
      </c>
      <c r="K314" s="21" t="str">
        <f aca="false">IF(Variants!$G315="","","Size")</f>
        <v/>
      </c>
      <c r="L314" s="21" t="str">
        <f aca="false">IF(Variants!$G315="","",Variants!$G315)</f>
        <v/>
      </c>
      <c r="M314" s="21" t="str">
        <f aca="false">Variants!$A315</f>
        <v>KARNI-EARRNG2-MARASH-BLUE-WHITE</v>
      </c>
      <c r="N314" s="21" t="str">
        <f aca="false">IF(Variants!$X315="","",Variants!$X315)</f>
        <v/>
      </c>
      <c r="O314" s="21" t="n">
        <f aca="false">IF(Variants!$O315="","",Variants!$O315)</f>
        <v>0</v>
      </c>
      <c r="P314" s="18" t="n">
        <f aca="false">IF(Variants!$J315="","",Variants!$J315)</f>
        <v>93.6</v>
      </c>
      <c r="Q314" s="21" t="str">
        <f aca="false">IF(Variants!$U315="","",Variants!$U315)</f>
        <v/>
      </c>
      <c r="R314" s="21" t="str">
        <f aca="false">IF(Variants!$Y315="","",Variants!$Y315)</f>
        <v/>
      </c>
      <c r="S314" s="21" t="n">
        <f aca="false">IFERROR(VLOOKUP(Variants!$B315,Designs!$A$3:$AP$165,37,FALSE()),"")</f>
        <v>0</v>
      </c>
      <c r="T314" s="21" t="str">
        <f aca="false">IFERROR(VLOOKUP(Variants!$B315,Designs!$A$3:$AP$165,38,FALSE()),"")</f>
        <v>No</v>
      </c>
      <c r="U314" s="21" t="str">
        <f aca="false">IF(Variants!$AD315="Active","active","draft")</f>
        <v>active</v>
      </c>
    </row>
    <row r="315" customFormat="false" ht="15.75" hidden="false" customHeight="true" outlineLevel="0" collapsed="false">
      <c r="A315" s="21" t="str">
        <f aca="false">IF(Variants!$B316="","",LOWER(Variants!$B316))</f>
        <v>dsgn-earrng2-marash</v>
      </c>
      <c r="B315" s="21" t="str">
        <f aca="false">IF(Variants!$B316="","",Variants!$C316&amp;IF(Variants!$F316="",""," "&amp;Variants!$F316))</f>
        <v>Marash Earrings (2 pcs)</v>
      </c>
      <c r="C315" s="21" t="str">
        <f aca="false">IFERROR(IF(Variants!$B316="","","&lt;p&gt;"&amp;VLOOKUP(Variants!$B316,Designs!$A$3:$AP$165,9,FALSE())&amp;"&lt;/p&gt;"),"")</f>
        <v>&lt;p&gt;Marash-work is a distinctive Armenian embroidery style from Cilician Marash, known for its interlaced geometric patterns.&lt;/p&gt;</v>
      </c>
      <c r="D315" s="21" t="str">
        <f aca="false">IF(Variants!$B316="","","Karni Jewellery")</f>
        <v>Karni Jewellery</v>
      </c>
      <c r="E315" s="21" t="str">
        <f aca="false">IF(Variants!$B316="","","Apparel &amp; Accessories &gt; Jewelry")</f>
        <v>Apparel &amp; Accessories &gt; Jewelry</v>
      </c>
      <c r="F315" s="21" t="str">
        <f aca="false">IF(Variants!$D316="","",Variants!$D316)</f>
        <v>earrings 2 pcs.</v>
      </c>
      <c r="G315" s="21" t="str">
        <f aca="false">IF(Variants!$E316="","",Variants!$E316&amp;", Armenian jewellery, handmade")</f>
        <v>Marash, Armenian jewellery, handmade</v>
      </c>
      <c r="H315" s="21" t="str">
        <f aca="false">IF(Variants!$AD316="Active","TRUE","FALSE")</f>
        <v>TRUE</v>
      </c>
      <c r="I315" s="21" t="str">
        <f aca="false">IF(Variants!$H316="","","Color")</f>
        <v>Color</v>
      </c>
      <c r="J315" s="21" t="str">
        <f aca="false">IF(Variants!$H316="","",Variants!$H316)</f>
        <v>white-blue</v>
      </c>
      <c r="K315" s="21" t="str">
        <f aca="false">IF(Variants!$G316="","","Size")</f>
        <v/>
      </c>
      <c r="L315" s="21" t="str">
        <f aca="false">IF(Variants!$G316="","",Variants!$G316)</f>
        <v/>
      </c>
      <c r="M315" s="21" t="str">
        <f aca="false">Variants!$A316</f>
        <v>KARNI-EARRNG2-MARASH-WHITE-BLUE</v>
      </c>
      <c r="N315" s="21" t="str">
        <f aca="false">IF(Variants!$X316="","",Variants!$X316)</f>
        <v/>
      </c>
      <c r="O315" s="21" t="n">
        <f aca="false">IF(Variants!$O316="","",Variants!$O316)</f>
        <v>0</v>
      </c>
      <c r="P315" s="18" t="n">
        <f aca="false">IF(Variants!$J316="","",Variants!$J316)</f>
        <v>93.6</v>
      </c>
      <c r="Q315" s="21" t="str">
        <f aca="false">IF(Variants!$U316="","",Variants!$U316)</f>
        <v/>
      </c>
      <c r="R315" s="21" t="str">
        <f aca="false">IF(Variants!$Y316="","",Variants!$Y316)</f>
        <v/>
      </c>
      <c r="S315" s="21" t="n">
        <f aca="false">IFERROR(VLOOKUP(Variants!$B316,Designs!$A$3:$AP$165,37,FALSE()),"")</f>
        <v>0</v>
      </c>
      <c r="T315" s="21" t="str">
        <f aca="false">IFERROR(VLOOKUP(Variants!$B316,Designs!$A$3:$AP$165,38,FALSE()),"")</f>
        <v>No</v>
      </c>
      <c r="U315" s="21" t="str">
        <f aca="false">IF(Variants!$AD316="Active","active","draft")</f>
        <v>active</v>
      </c>
    </row>
    <row r="316" customFormat="false" ht="15.75" hidden="false" customHeight="true" outlineLevel="0" collapsed="false">
      <c r="A316" s="21" t="str">
        <f aca="false">IF(Variants!$B317="","",LOWER(Variants!$B317))</f>
        <v>dsgn-earrng2-marash</v>
      </c>
      <c r="B316" s="21" t="str">
        <f aca="false">IF(Variants!$B317="","",Variants!$C317&amp;IF(Variants!$F317="",""," "&amp;Variants!$F317))</f>
        <v>Marash Earrings (2 pcs)</v>
      </c>
      <c r="C316" s="21" t="str">
        <f aca="false">IFERROR(IF(Variants!$B317="","","&lt;p&gt;"&amp;VLOOKUP(Variants!$B317,Designs!$A$3:$AP$165,9,FALSE())&amp;"&lt;/p&gt;"),"")</f>
        <v>&lt;p&gt;Marash-work is a distinctive Armenian embroidery style from Cilician Marash, known for its interlaced geometric patterns.&lt;/p&gt;</v>
      </c>
      <c r="D316" s="21" t="str">
        <f aca="false">IF(Variants!$B317="","","Karni Jewellery")</f>
        <v>Karni Jewellery</v>
      </c>
      <c r="E316" s="21" t="str">
        <f aca="false">IF(Variants!$B317="","","Apparel &amp; Accessories &gt; Jewelry")</f>
        <v>Apparel &amp; Accessories &gt; Jewelry</v>
      </c>
      <c r="F316" s="21" t="str">
        <f aca="false">IF(Variants!$D317="","",Variants!$D317)</f>
        <v>earrings 2 pcs.</v>
      </c>
      <c r="G316" s="21" t="str">
        <f aca="false">IF(Variants!$E317="","",Variants!$E317&amp;", Armenian jewellery, handmade")</f>
        <v>Marash, Armenian jewellery, handmade</v>
      </c>
      <c r="H316" s="21" t="str">
        <f aca="false">IF(Variants!$AD317="Active","TRUE","FALSE")</f>
        <v>TRUE</v>
      </c>
      <c r="I316" s="21" t="str">
        <f aca="false">IF(Variants!$H317="","","Color")</f>
        <v>Color</v>
      </c>
      <c r="J316" s="21" t="str">
        <f aca="false">IF(Variants!$H317="","",Variants!$H317)</f>
        <v>white-bordeaux</v>
      </c>
      <c r="K316" s="21" t="str">
        <f aca="false">IF(Variants!$G317="","","Size")</f>
        <v/>
      </c>
      <c r="L316" s="21" t="str">
        <f aca="false">IF(Variants!$G317="","",Variants!$G317)</f>
        <v/>
      </c>
      <c r="M316" s="21" t="str">
        <f aca="false">Variants!$A317</f>
        <v>KARNI-EARRNG2-MARASH-WHITE-BORDEAUX</v>
      </c>
      <c r="N316" s="21" t="str">
        <f aca="false">IF(Variants!$X317="","",Variants!$X317)</f>
        <v/>
      </c>
      <c r="O316" s="21" t="n">
        <f aca="false">IF(Variants!$O317="","",Variants!$O317)</f>
        <v>0</v>
      </c>
      <c r="P316" s="18" t="n">
        <f aca="false">IF(Variants!$J317="","",Variants!$J317)</f>
        <v>93.6</v>
      </c>
      <c r="Q316" s="21" t="str">
        <f aca="false">IF(Variants!$U317="","",Variants!$U317)</f>
        <v/>
      </c>
      <c r="R316" s="21" t="str">
        <f aca="false">IF(Variants!$Y317="","",Variants!$Y317)</f>
        <v/>
      </c>
      <c r="S316" s="21" t="n">
        <f aca="false">IFERROR(VLOOKUP(Variants!$B317,Designs!$A$3:$AP$165,37,FALSE()),"")</f>
        <v>0</v>
      </c>
      <c r="T316" s="21" t="str">
        <f aca="false">IFERROR(VLOOKUP(Variants!$B317,Designs!$A$3:$AP$165,38,FALSE()),"")</f>
        <v>No</v>
      </c>
      <c r="U316" s="21" t="str">
        <f aca="false">IF(Variants!$AD317="Active","active","draft")</f>
        <v>active</v>
      </c>
    </row>
    <row r="317" customFormat="false" ht="15.75" hidden="false" customHeight="true" outlineLevel="0" collapsed="false">
      <c r="A317" s="21" t="str">
        <f aca="false">IF(Variants!$B318="","",LOWER(Variants!$B318))</f>
        <v>dsgn-earrng2-marash</v>
      </c>
      <c r="B317" s="21" t="str">
        <f aca="false">IF(Variants!$B318="","",Variants!$C318&amp;IF(Variants!$F318="",""," "&amp;Variants!$F318))</f>
        <v>Marash Earrings (2 pcs)</v>
      </c>
      <c r="C317" s="21" t="str">
        <f aca="false">IFERROR(IF(Variants!$B318="","","&lt;p&gt;"&amp;VLOOKUP(Variants!$B318,Designs!$A$3:$AP$165,9,FALSE())&amp;"&lt;/p&gt;"),"")</f>
        <v>&lt;p&gt;Marash-work is a distinctive Armenian embroidery style from Cilician Marash, known for its interlaced geometric patterns.&lt;/p&gt;</v>
      </c>
      <c r="D317" s="21" t="str">
        <f aca="false">IF(Variants!$B318="","","Karni Jewellery")</f>
        <v>Karni Jewellery</v>
      </c>
      <c r="E317" s="21" t="str">
        <f aca="false">IF(Variants!$B318="","","Apparel &amp; Accessories &gt; Jewelry")</f>
        <v>Apparel &amp; Accessories &gt; Jewelry</v>
      </c>
      <c r="F317" s="21" t="str">
        <f aca="false">IF(Variants!$D318="","",Variants!$D318)</f>
        <v>earrings 2 pcs.</v>
      </c>
      <c r="G317" s="21" t="str">
        <f aca="false">IF(Variants!$E318="","",Variants!$E318&amp;", Armenian jewellery, handmade")</f>
        <v>Marash, Armenian jewellery, handmade</v>
      </c>
      <c r="H317" s="21" t="str">
        <f aca="false">IF(Variants!$AD318="Active","TRUE","FALSE")</f>
        <v>TRUE</v>
      </c>
      <c r="I317" s="21" t="str">
        <f aca="false">IF(Variants!$H318="","","Color")</f>
        <v>Color</v>
      </c>
      <c r="J317" s="21" t="str">
        <f aca="false">IF(Variants!$H318="","",Variants!$H318)</f>
        <v>turquoise-blue</v>
      </c>
      <c r="K317" s="21" t="str">
        <f aca="false">IF(Variants!$G318="","","Size")</f>
        <v/>
      </c>
      <c r="L317" s="21" t="str">
        <f aca="false">IF(Variants!$G318="","",Variants!$G318)</f>
        <v/>
      </c>
      <c r="M317" s="21" t="str">
        <f aca="false">Variants!$A318</f>
        <v>KARNI-EARRNG2-MARASH-TURQUOISE-BLUE</v>
      </c>
      <c r="N317" s="21" t="str">
        <f aca="false">IF(Variants!$X318="","",Variants!$X318)</f>
        <v/>
      </c>
      <c r="O317" s="21" t="n">
        <f aca="false">IF(Variants!$O318="","",Variants!$O318)</f>
        <v>0</v>
      </c>
      <c r="P317" s="18" t="n">
        <f aca="false">IF(Variants!$J318="","",Variants!$J318)</f>
        <v>93.6</v>
      </c>
      <c r="Q317" s="21" t="str">
        <f aca="false">IF(Variants!$U318="","",Variants!$U318)</f>
        <v/>
      </c>
      <c r="R317" s="21" t="str">
        <f aca="false">IF(Variants!$Y318="","",Variants!$Y318)</f>
        <v/>
      </c>
      <c r="S317" s="21" t="n">
        <f aca="false">IFERROR(VLOOKUP(Variants!$B318,Designs!$A$3:$AP$165,37,FALSE()),"")</f>
        <v>0</v>
      </c>
      <c r="T317" s="21" t="str">
        <f aca="false">IFERROR(VLOOKUP(Variants!$B318,Designs!$A$3:$AP$165,38,FALSE()),"")</f>
        <v>No</v>
      </c>
      <c r="U317" s="21" t="str">
        <f aca="false">IF(Variants!$AD318="Active","active","draft")</f>
        <v>active</v>
      </c>
    </row>
    <row r="318" customFormat="false" ht="15.75" hidden="false" customHeight="true" outlineLevel="0" collapsed="false">
      <c r="A318" s="21" t="str">
        <f aca="false">IF(Variants!$B319="","",LOWER(Variants!$B319))</f>
        <v>dsgn-earrng2-vishab</v>
      </c>
      <c r="B318" s="21" t="str">
        <f aca="false">IF(Variants!$B319="","",Variants!$C319&amp;IF(Variants!$F319="",""," "&amp;Variants!$F319))</f>
        <v>Vishab Earrings (2 pcs)</v>
      </c>
      <c r="C318" s="21" t="str">
        <f aca="false">IFERROR(IF(Variants!$B319="","","&lt;p&gt;"&amp;VLOOKUP(Variants!$B319,Designs!$A$3:$AP$165,9,FALSE())&amp;"&lt;/p&gt;"),"")</f>
        <v>&lt;p&gt;Vishaps are ancient Armenian dragon-stones (vishapakar) found in the highlands, among the oldest carved monuments in the region.&lt;/p&gt;</v>
      </c>
      <c r="D318" s="21" t="str">
        <f aca="false">IF(Variants!$B319="","","Karni Jewellery")</f>
        <v>Karni Jewellery</v>
      </c>
      <c r="E318" s="21" t="str">
        <f aca="false">IF(Variants!$B319="","","Apparel &amp; Accessories &gt; Jewelry")</f>
        <v>Apparel &amp; Accessories &gt; Jewelry</v>
      </c>
      <c r="F318" s="21" t="str">
        <f aca="false">IF(Variants!$D319="","",Variants!$D319)</f>
        <v>earrings 2 pcs.</v>
      </c>
      <c r="G318" s="21" t="str">
        <f aca="false">IF(Variants!$E319="","",Variants!$E319&amp;", Armenian jewellery, handmade")</f>
        <v>Vishab, Armenian jewellery, handmade</v>
      </c>
      <c r="H318" s="21" t="str">
        <f aca="false">IF(Variants!$AD319="Active","TRUE","FALSE")</f>
        <v>TRUE</v>
      </c>
      <c r="I318" s="21" t="str">
        <f aca="false">IF(Variants!$H319="","","Color")</f>
        <v>Color</v>
      </c>
      <c r="J318" s="21" t="str">
        <f aca="false">IF(Variants!$H319="","",Variants!$H319)</f>
        <v>blue-white</v>
      </c>
      <c r="K318" s="21" t="str">
        <f aca="false">IF(Variants!$G319="","","Size")</f>
        <v/>
      </c>
      <c r="L318" s="21" t="str">
        <f aca="false">IF(Variants!$G319="","",Variants!$G319)</f>
        <v/>
      </c>
      <c r="M318" s="21" t="str">
        <f aca="false">Variants!$A319</f>
        <v>KARNI-EARRNG2-VISHAB-BLUE-WHITE</v>
      </c>
      <c r="N318" s="21" t="str">
        <f aca="false">IF(Variants!$X319="","",Variants!$X319)</f>
        <v/>
      </c>
      <c r="O318" s="21" t="n">
        <f aca="false">IF(Variants!$O319="","",Variants!$O319)</f>
        <v>0</v>
      </c>
      <c r="P318" s="18" t="n">
        <f aca="false">IF(Variants!$J319="","",Variants!$J319)</f>
        <v>93.6</v>
      </c>
      <c r="Q318" s="21" t="str">
        <f aca="false">IF(Variants!$U319="","",Variants!$U319)</f>
        <v/>
      </c>
      <c r="R318" s="21" t="str">
        <f aca="false">IF(Variants!$Y319="","",Variants!$Y319)</f>
        <v/>
      </c>
      <c r="S318" s="21" t="n">
        <f aca="false">IFERROR(VLOOKUP(Variants!$B319,Designs!$A$3:$AP$165,37,FALSE()),"")</f>
        <v>0</v>
      </c>
      <c r="T318" s="21" t="str">
        <f aca="false">IFERROR(VLOOKUP(Variants!$B319,Designs!$A$3:$AP$165,38,FALSE()),"")</f>
        <v>No</v>
      </c>
      <c r="U318" s="21" t="str">
        <f aca="false">IF(Variants!$AD319="Active","active","draft")</f>
        <v>active</v>
      </c>
    </row>
    <row r="319" customFormat="false" ht="15.75" hidden="false" customHeight="true" outlineLevel="0" collapsed="false">
      <c r="A319" s="21" t="str">
        <f aca="false">IF(Variants!$B320="","",LOWER(Variants!$B320))</f>
        <v>dsgn-earrng2-vishab</v>
      </c>
      <c r="B319" s="21" t="str">
        <f aca="false">IF(Variants!$B320="","",Variants!$C320&amp;IF(Variants!$F320="",""," "&amp;Variants!$F320))</f>
        <v>Vishab Earrings (2 pcs)</v>
      </c>
      <c r="C319" s="21" t="str">
        <f aca="false">IFERROR(IF(Variants!$B320="","","&lt;p&gt;"&amp;VLOOKUP(Variants!$B320,Designs!$A$3:$AP$165,9,FALSE())&amp;"&lt;/p&gt;"),"")</f>
        <v>&lt;p&gt;Vishaps are ancient Armenian dragon-stones (vishapakar) found in the highlands, among the oldest carved monuments in the region.&lt;/p&gt;</v>
      </c>
      <c r="D319" s="21" t="str">
        <f aca="false">IF(Variants!$B320="","","Karni Jewellery")</f>
        <v>Karni Jewellery</v>
      </c>
      <c r="E319" s="21" t="str">
        <f aca="false">IF(Variants!$B320="","","Apparel &amp; Accessories &gt; Jewelry")</f>
        <v>Apparel &amp; Accessories &gt; Jewelry</v>
      </c>
      <c r="F319" s="21" t="str">
        <f aca="false">IF(Variants!$D320="","",Variants!$D320)</f>
        <v>earrings 2 pcs.</v>
      </c>
      <c r="G319" s="21" t="str">
        <f aca="false">IF(Variants!$E320="","",Variants!$E320&amp;", Armenian jewellery, handmade")</f>
        <v>Vishab, Armenian jewellery, handmade</v>
      </c>
      <c r="H319" s="21" t="str">
        <f aca="false">IF(Variants!$AD320="Active","TRUE","FALSE")</f>
        <v>TRUE</v>
      </c>
      <c r="I319" s="21" t="str">
        <f aca="false">IF(Variants!$H320="","","Color")</f>
        <v>Color</v>
      </c>
      <c r="J319" s="21" t="str">
        <f aca="false">IF(Variants!$H320="","",Variants!$H320)</f>
        <v>blue-red</v>
      </c>
      <c r="K319" s="21" t="str">
        <f aca="false">IF(Variants!$G320="","","Size")</f>
        <v/>
      </c>
      <c r="L319" s="21" t="str">
        <f aca="false">IF(Variants!$G320="","",Variants!$G320)</f>
        <v/>
      </c>
      <c r="M319" s="21" t="str">
        <f aca="false">Variants!$A320</f>
        <v>KARNI-EARRNG2-VISHAB-BLUE-RED</v>
      </c>
      <c r="N319" s="21" t="str">
        <f aca="false">IF(Variants!$X320="","",Variants!$X320)</f>
        <v/>
      </c>
      <c r="O319" s="21" t="n">
        <f aca="false">IF(Variants!$O320="","",Variants!$O320)</f>
        <v>0</v>
      </c>
      <c r="P319" s="18" t="n">
        <f aca="false">IF(Variants!$J320="","",Variants!$J320)</f>
        <v>93.6</v>
      </c>
      <c r="Q319" s="21" t="str">
        <f aca="false">IF(Variants!$U320="","",Variants!$U320)</f>
        <v/>
      </c>
      <c r="R319" s="21" t="str">
        <f aca="false">IF(Variants!$Y320="","",Variants!$Y320)</f>
        <v/>
      </c>
      <c r="S319" s="21" t="n">
        <f aca="false">IFERROR(VLOOKUP(Variants!$B320,Designs!$A$3:$AP$165,37,FALSE()),"")</f>
        <v>0</v>
      </c>
      <c r="T319" s="21" t="str">
        <f aca="false">IFERROR(VLOOKUP(Variants!$B320,Designs!$A$3:$AP$165,38,FALSE()),"")</f>
        <v>No</v>
      </c>
      <c r="U319" s="21" t="str">
        <f aca="false">IF(Variants!$AD320="Active","active","draft")</f>
        <v>active</v>
      </c>
    </row>
    <row r="320" customFormat="false" ht="15.75" hidden="false" customHeight="true" outlineLevel="0" collapsed="false">
      <c r="A320" s="21" t="str">
        <f aca="false">IF(Variants!$B321="","",LOWER(Variants!$B321))</f>
        <v>dsgn-earrng2-vishab</v>
      </c>
      <c r="B320" s="21" t="str">
        <f aca="false">IF(Variants!$B321="","",Variants!$C321&amp;IF(Variants!$F321="",""," "&amp;Variants!$F321))</f>
        <v>Vishab Earrings (2 pcs)</v>
      </c>
      <c r="C320" s="21" t="str">
        <f aca="false">IFERROR(IF(Variants!$B321="","","&lt;p&gt;"&amp;VLOOKUP(Variants!$B321,Designs!$A$3:$AP$165,9,FALSE())&amp;"&lt;/p&gt;"),"")</f>
        <v>&lt;p&gt;Vishaps are ancient Armenian dragon-stones (vishapakar) found in the highlands, among the oldest carved monuments in the region.&lt;/p&gt;</v>
      </c>
      <c r="D320" s="21" t="str">
        <f aca="false">IF(Variants!$B321="","","Karni Jewellery")</f>
        <v>Karni Jewellery</v>
      </c>
      <c r="E320" s="21" t="str">
        <f aca="false">IF(Variants!$B321="","","Apparel &amp; Accessories &gt; Jewelry")</f>
        <v>Apparel &amp; Accessories &gt; Jewelry</v>
      </c>
      <c r="F320" s="21" t="str">
        <f aca="false">IF(Variants!$D321="","",Variants!$D321)</f>
        <v>earrings 2 pcs.</v>
      </c>
      <c r="G320" s="21" t="str">
        <f aca="false">IF(Variants!$E321="","",Variants!$E321&amp;", Armenian jewellery, handmade")</f>
        <v>Vishab, Armenian jewellery, handmade</v>
      </c>
      <c r="H320" s="21" t="str">
        <f aca="false">IF(Variants!$AD321="Active","TRUE","FALSE")</f>
        <v>TRUE</v>
      </c>
      <c r="I320" s="21" t="str">
        <f aca="false">IF(Variants!$H321="","","Color")</f>
        <v>Color</v>
      </c>
      <c r="J320" s="21" t="str">
        <f aca="false">IF(Variants!$H321="","",Variants!$H321)</f>
        <v>white-bordeaux</v>
      </c>
      <c r="K320" s="21" t="str">
        <f aca="false">IF(Variants!$G321="","","Size")</f>
        <v/>
      </c>
      <c r="L320" s="21" t="str">
        <f aca="false">IF(Variants!$G321="","",Variants!$G321)</f>
        <v/>
      </c>
      <c r="M320" s="21" t="str">
        <f aca="false">Variants!$A321</f>
        <v>KARNI-EARRNG2-VISHAB-WHITE-BORDEAUX</v>
      </c>
      <c r="N320" s="21" t="str">
        <f aca="false">IF(Variants!$X321="","",Variants!$X321)</f>
        <v/>
      </c>
      <c r="O320" s="21" t="n">
        <f aca="false">IF(Variants!$O321="","",Variants!$O321)</f>
        <v>0</v>
      </c>
      <c r="P320" s="18" t="n">
        <f aca="false">IF(Variants!$J321="","",Variants!$J321)</f>
        <v>93.6</v>
      </c>
      <c r="Q320" s="21" t="str">
        <f aca="false">IF(Variants!$U321="","",Variants!$U321)</f>
        <v/>
      </c>
      <c r="R320" s="21" t="str">
        <f aca="false">IF(Variants!$Y321="","",Variants!$Y321)</f>
        <v/>
      </c>
      <c r="S320" s="21" t="n">
        <f aca="false">IFERROR(VLOOKUP(Variants!$B321,Designs!$A$3:$AP$165,37,FALSE()),"")</f>
        <v>0</v>
      </c>
      <c r="T320" s="21" t="str">
        <f aca="false">IFERROR(VLOOKUP(Variants!$B321,Designs!$A$3:$AP$165,38,FALSE()),"")</f>
        <v>No</v>
      </c>
      <c r="U320" s="21" t="str">
        <f aca="false">IF(Variants!$AD321="Active","active","draft")</f>
        <v>active</v>
      </c>
    </row>
    <row r="321" customFormat="false" ht="15.75" hidden="false" customHeight="true" outlineLevel="0" collapsed="false">
      <c r="A321" s="21" t="str">
        <f aca="false">IF(Variants!$B322="","",LOWER(Variants!$B322))</f>
        <v>dsgn-earrng2-vishab</v>
      </c>
      <c r="B321" s="21" t="str">
        <f aca="false">IF(Variants!$B322="","",Variants!$C322&amp;IF(Variants!$F322="",""," "&amp;Variants!$F322))</f>
        <v>Vishab Earrings (2 pcs)</v>
      </c>
      <c r="C321" s="21" t="str">
        <f aca="false">IFERROR(IF(Variants!$B322="","","&lt;p&gt;"&amp;VLOOKUP(Variants!$B322,Designs!$A$3:$AP$165,9,FALSE())&amp;"&lt;/p&gt;"),"")</f>
        <v>&lt;p&gt;Vishaps are ancient Armenian dragon-stones (vishapakar) found in the highlands, among the oldest carved monuments in the region.&lt;/p&gt;</v>
      </c>
      <c r="D321" s="21" t="str">
        <f aca="false">IF(Variants!$B322="","","Karni Jewellery")</f>
        <v>Karni Jewellery</v>
      </c>
      <c r="E321" s="21" t="str">
        <f aca="false">IF(Variants!$B322="","","Apparel &amp; Accessories &gt; Jewelry")</f>
        <v>Apparel &amp; Accessories &gt; Jewelry</v>
      </c>
      <c r="F321" s="21" t="str">
        <f aca="false">IF(Variants!$D322="","",Variants!$D322)</f>
        <v>earrings 2 pcs.</v>
      </c>
      <c r="G321" s="21" t="str">
        <f aca="false">IF(Variants!$E322="","",Variants!$E322&amp;", Armenian jewellery, handmade")</f>
        <v>Vishab, Armenian jewellery, handmade</v>
      </c>
      <c r="H321" s="21" t="str">
        <f aca="false">IF(Variants!$AD322="Active","TRUE","FALSE")</f>
        <v>TRUE</v>
      </c>
      <c r="I321" s="21" t="str">
        <f aca="false">IF(Variants!$H322="","","Color")</f>
        <v>Color</v>
      </c>
      <c r="J321" s="21" t="str">
        <f aca="false">IF(Variants!$H322="","",Variants!$H322)</f>
        <v>turquoise-blue</v>
      </c>
      <c r="K321" s="21" t="str">
        <f aca="false">IF(Variants!$G322="","","Size")</f>
        <v/>
      </c>
      <c r="L321" s="21" t="str">
        <f aca="false">IF(Variants!$G322="","",Variants!$G322)</f>
        <v/>
      </c>
      <c r="M321" s="21" t="str">
        <f aca="false">Variants!$A322</f>
        <v>KARNI-EARRNG2-VISHAB-TURQUOISE-BLUE</v>
      </c>
      <c r="N321" s="21" t="str">
        <f aca="false">IF(Variants!$X322="","",Variants!$X322)</f>
        <v/>
      </c>
      <c r="O321" s="21" t="n">
        <f aca="false">IF(Variants!$O322="","",Variants!$O322)</f>
        <v>0</v>
      </c>
      <c r="P321" s="18" t="n">
        <f aca="false">IF(Variants!$J322="","",Variants!$J322)</f>
        <v>93.6</v>
      </c>
      <c r="Q321" s="21" t="str">
        <f aca="false">IF(Variants!$U322="","",Variants!$U322)</f>
        <v/>
      </c>
      <c r="R321" s="21" t="str">
        <f aca="false">IF(Variants!$Y322="","",Variants!$Y322)</f>
        <v/>
      </c>
      <c r="S321" s="21" t="n">
        <f aca="false">IFERROR(VLOOKUP(Variants!$B322,Designs!$A$3:$AP$165,37,FALSE()),"")</f>
        <v>0</v>
      </c>
      <c r="T321" s="21" t="str">
        <f aca="false">IFERROR(VLOOKUP(Variants!$B322,Designs!$A$3:$AP$165,38,FALSE()),"")</f>
        <v>No</v>
      </c>
      <c r="U321" s="21" t="str">
        <f aca="false">IF(Variants!$AD322="Active","active","draft")</f>
        <v>active</v>
      </c>
    </row>
    <row r="322" customFormat="false" ht="15.75" hidden="false" customHeight="true" outlineLevel="0" collapsed="false">
      <c r="A322" s="21" t="str">
        <f aca="false">IF(Variants!$B323="","",LOWER(Variants!$B323))</f>
        <v>dsgn-earrng2-van</v>
      </c>
      <c r="B322" s="21" t="str">
        <f aca="false">IF(Variants!$B323="","",Variants!$C323&amp;IF(Variants!$F323="",""," "&amp;Variants!$F323))</f>
        <v>Van Earrings (2 pcs)</v>
      </c>
      <c r="C322" s="21" t="str">
        <f aca="false">IFERROR(IF(Variants!$B323="","","&lt;p&gt;"&amp;VLOOKUP(Variants!$B323,Designs!$A$3:$AP$165,9,FALSE())&amp;"&lt;/p&gt;"),"")</f>
        <v>&lt;p&gt;Motifs from the Van/Vaspurakan region, echoing the ornament of the Lake Van heartland of historic Armenia.&lt;/p&gt;</v>
      </c>
      <c r="D322" s="21" t="str">
        <f aca="false">IF(Variants!$B323="","","Karni Jewellery")</f>
        <v>Karni Jewellery</v>
      </c>
      <c r="E322" s="21" t="str">
        <f aca="false">IF(Variants!$B323="","","Apparel &amp; Accessories &gt; Jewelry")</f>
        <v>Apparel &amp; Accessories &gt; Jewelry</v>
      </c>
      <c r="F322" s="21" t="str">
        <f aca="false">IF(Variants!$D323="","",Variants!$D323)</f>
        <v>earrings 2 pcs.</v>
      </c>
      <c r="G322" s="21" t="str">
        <f aca="false">IF(Variants!$E323="","",Variants!$E323&amp;", Armenian jewellery, handmade")</f>
        <v>Van, Armenian jewellery, handmade</v>
      </c>
      <c r="H322" s="21" t="str">
        <f aca="false">IF(Variants!$AD323="Active","TRUE","FALSE")</f>
        <v>TRUE</v>
      </c>
      <c r="I322" s="21" t="str">
        <f aca="false">IF(Variants!$H323="","","Color")</f>
        <v>Color</v>
      </c>
      <c r="J322" s="21" t="str">
        <f aca="false">IF(Variants!$H323="","",Variants!$H323)</f>
        <v>white</v>
      </c>
      <c r="K322" s="21" t="str">
        <f aca="false">IF(Variants!$G323="","","Size")</f>
        <v/>
      </c>
      <c r="L322" s="21" t="str">
        <f aca="false">IF(Variants!$G323="","",Variants!$G323)</f>
        <v/>
      </c>
      <c r="M322" s="21" t="str">
        <f aca="false">Variants!$A323</f>
        <v>KARNI-EARRNG2-VAN-WHITE</v>
      </c>
      <c r="N322" s="21" t="str">
        <f aca="false">IF(Variants!$X323="","",Variants!$X323)</f>
        <v/>
      </c>
      <c r="O322" s="21" t="n">
        <f aca="false">IF(Variants!$O323="","",Variants!$O323)</f>
        <v>0</v>
      </c>
      <c r="P322" s="18" t="n">
        <f aca="false">IF(Variants!$J323="","",Variants!$J323)</f>
        <v>93.6</v>
      </c>
      <c r="Q322" s="21" t="str">
        <f aca="false">IF(Variants!$U323="","",Variants!$U323)</f>
        <v/>
      </c>
      <c r="R322" s="21" t="str">
        <f aca="false">IF(Variants!$Y323="","",Variants!$Y323)</f>
        <v/>
      </c>
      <c r="S322" s="21" t="n">
        <f aca="false">IFERROR(VLOOKUP(Variants!$B323,Designs!$A$3:$AP$165,37,FALSE()),"")</f>
        <v>0</v>
      </c>
      <c r="T322" s="21" t="str">
        <f aca="false">IFERROR(VLOOKUP(Variants!$B323,Designs!$A$3:$AP$165,38,FALSE()),"")</f>
        <v>No</v>
      </c>
      <c r="U322" s="21" t="str">
        <f aca="false">IF(Variants!$AD323="Active","active","draft")</f>
        <v>active</v>
      </c>
    </row>
    <row r="323" customFormat="false" ht="15.75" hidden="false" customHeight="true" outlineLevel="0" collapsed="false">
      <c r="A323" s="21" t="str">
        <f aca="false">IF(Variants!$B324="","",LOWER(Variants!$B324))</f>
        <v>dsgn-earrng2-van</v>
      </c>
      <c r="B323" s="21" t="str">
        <f aca="false">IF(Variants!$B324="","",Variants!$C324&amp;IF(Variants!$F324="",""," "&amp;Variants!$F324))</f>
        <v>Van Earrings (2 pcs)</v>
      </c>
      <c r="C323" s="21" t="str">
        <f aca="false">IFERROR(IF(Variants!$B324="","","&lt;p&gt;"&amp;VLOOKUP(Variants!$B324,Designs!$A$3:$AP$165,9,FALSE())&amp;"&lt;/p&gt;"),"")</f>
        <v>&lt;p&gt;Motifs from the Van/Vaspurakan region, echoing the ornament of the Lake Van heartland of historic Armenia.&lt;/p&gt;</v>
      </c>
      <c r="D323" s="21" t="str">
        <f aca="false">IF(Variants!$B324="","","Karni Jewellery")</f>
        <v>Karni Jewellery</v>
      </c>
      <c r="E323" s="21" t="str">
        <f aca="false">IF(Variants!$B324="","","Apparel &amp; Accessories &gt; Jewelry")</f>
        <v>Apparel &amp; Accessories &gt; Jewelry</v>
      </c>
      <c r="F323" s="21" t="str">
        <f aca="false">IF(Variants!$D324="","",Variants!$D324)</f>
        <v>earrings 2 pcs.</v>
      </c>
      <c r="G323" s="21" t="str">
        <f aca="false">IF(Variants!$E324="","",Variants!$E324&amp;", Armenian jewellery, handmade")</f>
        <v>Van, Armenian jewellery, handmade</v>
      </c>
      <c r="H323" s="21" t="str">
        <f aca="false">IF(Variants!$AD324="Active","TRUE","FALSE")</f>
        <v>TRUE</v>
      </c>
      <c r="I323" s="21" t="str">
        <f aca="false">IF(Variants!$H324="","","Color")</f>
        <v>Color</v>
      </c>
      <c r="J323" s="21" t="str">
        <f aca="false">IF(Variants!$H324="","",Variants!$H324)</f>
        <v>blue</v>
      </c>
      <c r="K323" s="21" t="str">
        <f aca="false">IF(Variants!$G324="","","Size")</f>
        <v/>
      </c>
      <c r="L323" s="21" t="str">
        <f aca="false">IF(Variants!$G324="","",Variants!$G324)</f>
        <v/>
      </c>
      <c r="M323" s="21" t="str">
        <f aca="false">Variants!$A324</f>
        <v>KARNI-EARRNG2-VAN-BLUE</v>
      </c>
      <c r="N323" s="21" t="str">
        <f aca="false">IF(Variants!$X324="","",Variants!$X324)</f>
        <v/>
      </c>
      <c r="O323" s="21" t="n">
        <f aca="false">IF(Variants!$O324="","",Variants!$O324)</f>
        <v>0</v>
      </c>
      <c r="P323" s="18" t="n">
        <f aca="false">IF(Variants!$J324="","",Variants!$J324)</f>
        <v>93.6</v>
      </c>
      <c r="Q323" s="21" t="str">
        <f aca="false">IF(Variants!$U324="","",Variants!$U324)</f>
        <v/>
      </c>
      <c r="R323" s="21" t="str">
        <f aca="false">IF(Variants!$Y324="","",Variants!$Y324)</f>
        <v/>
      </c>
      <c r="S323" s="21" t="n">
        <f aca="false">IFERROR(VLOOKUP(Variants!$B324,Designs!$A$3:$AP$165,37,FALSE()),"")</f>
        <v>0</v>
      </c>
      <c r="T323" s="21" t="str">
        <f aca="false">IFERROR(VLOOKUP(Variants!$B324,Designs!$A$3:$AP$165,38,FALSE()),"")</f>
        <v>No</v>
      </c>
      <c r="U323" s="21" t="str">
        <f aca="false">IF(Variants!$AD324="Active","active","draft")</f>
        <v>active</v>
      </c>
    </row>
    <row r="324" customFormat="false" ht="15.75" hidden="false" customHeight="true" outlineLevel="0" collapsed="false">
      <c r="A324" s="21" t="str">
        <f aca="false">IF(Variants!$B325="","",LOWER(Variants!$B325))</f>
        <v>dsgn-earrng2-van</v>
      </c>
      <c r="B324" s="21" t="str">
        <f aca="false">IF(Variants!$B325="","",Variants!$C325&amp;IF(Variants!$F325="",""," "&amp;Variants!$F325))</f>
        <v>Van Earrings (2 pcs)</v>
      </c>
      <c r="C324" s="21" t="str">
        <f aca="false">IFERROR(IF(Variants!$B325="","","&lt;p&gt;"&amp;VLOOKUP(Variants!$B325,Designs!$A$3:$AP$165,9,FALSE())&amp;"&lt;/p&gt;"),"")</f>
        <v>&lt;p&gt;Motifs from the Van/Vaspurakan region, echoing the ornament of the Lake Van heartland of historic Armenia.&lt;/p&gt;</v>
      </c>
      <c r="D324" s="21" t="str">
        <f aca="false">IF(Variants!$B325="","","Karni Jewellery")</f>
        <v>Karni Jewellery</v>
      </c>
      <c r="E324" s="21" t="str">
        <f aca="false">IF(Variants!$B325="","","Apparel &amp; Accessories &gt; Jewelry")</f>
        <v>Apparel &amp; Accessories &gt; Jewelry</v>
      </c>
      <c r="F324" s="21" t="str">
        <f aca="false">IF(Variants!$D325="","",Variants!$D325)</f>
        <v>earrings 2 pcs.</v>
      </c>
      <c r="G324" s="21" t="str">
        <f aca="false">IF(Variants!$E325="","",Variants!$E325&amp;", Armenian jewellery, handmade")</f>
        <v>Van, Armenian jewellery, handmade</v>
      </c>
      <c r="H324" s="21" t="str">
        <f aca="false">IF(Variants!$AD325="Active","TRUE","FALSE")</f>
        <v>TRUE</v>
      </c>
      <c r="I324" s="21" t="str">
        <f aca="false">IF(Variants!$H325="","","Color")</f>
        <v>Color</v>
      </c>
      <c r="J324" s="21" t="str">
        <f aca="false">IF(Variants!$H325="","",Variants!$H325)</f>
        <v>camel</v>
      </c>
      <c r="K324" s="21" t="str">
        <f aca="false">IF(Variants!$G325="","","Size")</f>
        <v/>
      </c>
      <c r="L324" s="21" t="str">
        <f aca="false">IF(Variants!$G325="","",Variants!$G325)</f>
        <v/>
      </c>
      <c r="M324" s="21" t="str">
        <f aca="false">Variants!$A325</f>
        <v>KARNI-EARRNG2-VAN-CAMEL</v>
      </c>
      <c r="N324" s="21" t="str">
        <f aca="false">IF(Variants!$X325="","",Variants!$X325)</f>
        <v/>
      </c>
      <c r="O324" s="21" t="n">
        <f aca="false">IF(Variants!$O325="","",Variants!$O325)</f>
        <v>0</v>
      </c>
      <c r="P324" s="18" t="n">
        <f aca="false">IF(Variants!$J325="","",Variants!$J325)</f>
        <v>93.6</v>
      </c>
      <c r="Q324" s="21" t="str">
        <f aca="false">IF(Variants!$U325="","",Variants!$U325)</f>
        <v/>
      </c>
      <c r="R324" s="21" t="str">
        <f aca="false">IF(Variants!$Y325="","",Variants!$Y325)</f>
        <v/>
      </c>
      <c r="S324" s="21" t="n">
        <f aca="false">IFERROR(VLOOKUP(Variants!$B325,Designs!$A$3:$AP$165,37,FALSE()),"")</f>
        <v>0</v>
      </c>
      <c r="T324" s="21" t="str">
        <f aca="false">IFERROR(VLOOKUP(Variants!$B325,Designs!$A$3:$AP$165,38,FALSE()),"")</f>
        <v>No</v>
      </c>
      <c r="U324" s="21" t="str">
        <f aca="false">IF(Variants!$AD325="Active","active","draft")</f>
        <v>active</v>
      </c>
    </row>
    <row r="325" customFormat="false" ht="15.75" hidden="false" customHeight="true" outlineLevel="0" collapsed="false">
      <c r="A325" s="21" t="str">
        <f aca="false">IF(Variants!$B326="","",LOWER(Variants!$B326))</f>
        <v>dsgn-earrng2-van</v>
      </c>
      <c r="B325" s="21" t="str">
        <f aca="false">IF(Variants!$B326="","",Variants!$C326&amp;IF(Variants!$F326="",""," "&amp;Variants!$F326))</f>
        <v>Van Earrings (2 pcs)</v>
      </c>
      <c r="C325" s="21" t="str">
        <f aca="false">IFERROR(IF(Variants!$B326="","","&lt;p&gt;"&amp;VLOOKUP(Variants!$B326,Designs!$A$3:$AP$165,9,FALSE())&amp;"&lt;/p&gt;"),"")</f>
        <v>&lt;p&gt;Motifs from the Van/Vaspurakan region, echoing the ornament of the Lake Van heartland of historic Armenia.&lt;/p&gt;</v>
      </c>
      <c r="D325" s="21" t="str">
        <f aca="false">IF(Variants!$B326="","","Karni Jewellery")</f>
        <v>Karni Jewellery</v>
      </c>
      <c r="E325" s="21" t="str">
        <f aca="false">IF(Variants!$B326="","","Apparel &amp; Accessories &gt; Jewelry")</f>
        <v>Apparel &amp; Accessories &gt; Jewelry</v>
      </c>
      <c r="F325" s="21" t="str">
        <f aca="false">IF(Variants!$D326="","",Variants!$D326)</f>
        <v>earrings 2 pcs.</v>
      </c>
      <c r="G325" s="21" t="str">
        <f aca="false">IF(Variants!$E326="","",Variants!$E326&amp;", Armenian jewellery, handmade")</f>
        <v>Van, Armenian jewellery, handmade</v>
      </c>
      <c r="H325" s="21" t="str">
        <f aca="false">IF(Variants!$AD326="Active","TRUE","FALSE")</f>
        <v>TRUE</v>
      </c>
      <c r="I325" s="21" t="str">
        <f aca="false">IF(Variants!$H326="","","Color")</f>
        <v>Color</v>
      </c>
      <c r="J325" s="21" t="str">
        <f aca="false">IF(Variants!$H326="","",Variants!$H326)</f>
        <v>turquoise</v>
      </c>
      <c r="K325" s="21" t="str">
        <f aca="false">IF(Variants!$G326="","","Size")</f>
        <v/>
      </c>
      <c r="L325" s="21" t="str">
        <f aca="false">IF(Variants!$G326="","",Variants!$G326)</f>
        <v/>
      </c>
      <c r="M325" s="21" t="str">
        <f aca="false">Variants!$A326</f>
        <v>KARNI-EARRNG2-VAN-TURQUOISE</v>
      </c>
      <c r="N325" s="21" t="str">
        <f aca="false">IF(Variants!$X326="","",Variants!$X326)</f>
        <v/>
      </c>
      <c r="O325" s="21" t="n">
        <f aca="false">IF(Variants!$O326="","",Variants!$O326)</f>
        <v>0</v>
      </c>
      <c r="P325" s="18" t="n">
        <f aca="false">IF(Variants!$J326="","",Variants!$J326)</f>
        <v>93.6</v>
      </c>
      <c r="Q325" s="21" t="str">
        <f aca="false">IF(Variants!$U326="","",Variants!$U326)</f>
        <v/>
      </c>
      <c r="R325" s="21" t="str">
        <f aca="false">IF(Variants!$Y326="","",Variants!$Y326)</f>
        <v/>
      </c>
      <c r="S325" s="21" t="n">
        <f aca="false">IFERROR(VLOOKUP(Variants!$B326,Designs!$A$3:$AP$165,37,FALSE()),"")</f>
        <v>0</v>
      </c>
      <c r="T325" s="21" t="str">
        <f aca="false">IFERROR(VLOOKUP(Variants!$B326,Designs!$A$3:$AP$165,38,FALSE()),"")</f>
        <v>No</v>
      </c>
      <c r="U325" s="21" t="str">
        <f aca="false">IF(Variants!$AD326="Active","active","draft")</f>
        <v>active</v>
      </c>
    </row>
    <row r="326" customFormat="false" ht="15.75" hidden="false" customHeight="true" outlineLevel="0" collapsed="false">
      <c r="A326" s="21" t="str">
        <f aca="false">IF(Variants!$B327="","",LOWER(Variants!$B327))</f>
        <v>dsgn-earrng2-artsakhikhachanakhsh</v>
      </c>
      <c r="B326" s="21" t="str">
        <f aca="false">IF(Variants!$B327="","",Variants!$C327&amp;IF(Variants!$F327="",""," "&amp;Variants!$F327))</f>
        <v>Artsakhi Khachanakhsh Earrings (2 pcs)</v>
      </c>
      <c r="C326" s="21" t="str">
        <f aca="false">IFERROR(IF(Variants!$B327="","","&lt;p&gt;"&amp;VLOOKUP(Variants!$B327,Designs!$A$3:$AP$165,9,FALSE())&amp;"&lt;/p&gt;"),"")</f>
        <v>&lt;p&gt;Cross-ornament patterns from Artsakh, carrying the carved cross-stone heritage of the region.&lt;/p&gt;</v>
      </c>
      <c r="D326" s="21" t="str">
        <f aca="false">IF(Variants!$B327="","","Karni Jewellery")</f>
        <v>Karni Jewellery</v>
      </c>
      <c r="E326" s="21" t="str">
        <f aca="false">IF(Variants!$B327="","","Apparel &amp; Accessories &gt; Jewelry")</f>
        <v>Apparel &amp; Accessories &gt; Jewelry</v>
      </c>
      <c r="F326" s="21" t="str">
        <f aca="false">IF(Variants!$D327="","",Variants!$D327)</f>
        <v>earrings 2 pcs.</v>
      </c>
      <c r="G326" s="21" t="str">
        <f aca="false">IF(Variants!$E327="","",Variants!$E327&amp;", Armenian jewellery, handmade")</f>
        <v>Artsakhi Khachanakhsh, Armenian jewellery, handmade</v>
      </c>
      <c r="H326" s="21" t="str">
        <f aca="false">IF(Variants!$AD327="Active","TRUE","FALSE")</f>
        <v>TRUE</v>
      </c>
      <c r="I326" s="21" t="str">
        <f aca="false">IF(Variants!$H327="","","Color")</f>
        <v>Color</v>
      </c>
      <c r="J326" s="21" t="str">
        <f aca="false">IF(Variants!$H327="","",Variants!$H327)</f>
        <v>blue-bordeaux</v>
      </c>
      <c r="K326" s="21" t="str">
        <f aca="false">IF(Variants!$G327="","","Size")</f>
        <v/>
      </c>
      <c r="L326" s="21" t="str">
        <f aca="false">IF(Variants!$G327="","",Variants!$G327)</f>
        <v/>
      </c>
      <c r="M326" s="21" t="str">
        <f aca="false">Variants!$A327</f>
        <v>KARNI-EARRNG2-ARTSAKHIKHACHANAKHSH-BLUE-BORDEAUX</v>
      </c>
      <c r="N326" s="21" t="str">
        <f aca="false">IF(Variants!$X327="","",Variants!$X327)</f>
        <v/>
      </c>
      <c r="O326" s="21" t="n">
        <f aca="false">IF(Variants!$O327="","",Variants!$O327)</f>
        <v>0</v>
      </c>
      <c r="P326" s="18" t="n">
        <f aca="false">IF(Variants!$J327="","",Variants!$J327)</f>
        <v>93.6</v>
      </c>
      <c r="Q326" s="21" t="str">
        <f aca="false">IF(Variants!$U327="","",Variants!$U327)</f>
        <v/>
      </c>
      <c r="R326" s="21" t="str">
        <f aca="false">IF(Variants!$Y327="","",Variants!$Y327)</f>
        <v/>
      </c>
      <c r="S326" s="21" t="n">
        <f aca="false">IFERROR(VLOOKUP(Variants!$B327,Designs!$A$3:$AP$165,37,FALSE()),"")</f>
        <v>0</v>
      </c>
      <c r="T326" s="21" t="str">
        <f aca="false">IFERROR(VLOOKUP(Variants!$B327,Designs!$A$3:$AP$165,38,FALSE()),"")</f>
        <v>No</v>
      </c>
      <c r="U326" s="21" t="str">
        <f aca="false">IF(Variants!$AD327="Active","active","draft")</f>
        <v>active</v>
      </c>
    </row>
    <row r="327" customFormat="false" ht="15.75" hidden="false" customHeight="true" outlineLevel="0" collapsed="false">
      <c r="A327" s="21" t="str">
        <f aca="false">IF(Variants!$B328="","",LOWER(Variants!$B328))</f>
        <v>dsgn-earrng2-vishabarevagorg</v>
      </c>
      <c r="B327" s="21" t="str">
        <f aca="false">IF(Variants!$B328="","",Variants!$C328&amp;IF(Variants!$F328="",""," "&amp;Variants!$F328))</f>
        <v>Արեւագորգի Վիշապ</v>
      </c>
      <c r="C327" s="21" t="str">
        <f aca="false">IFERROR(IF(Variants!$B328="","","&lt;p&gt;"&amp;VLOOKUP(Variants!$B328,Designs!$A$3:$AP$165,9,FALSE())&amp;"&lt;/p&gt;"),"")</f>
        <v>&lt;p&gt;Combines the vishap (dragon) motif with the arevagorg (sun-carpet) — an Armenian solar ornament symbolising life and eternity.&lt;/p&gt;</v>
      </c>
      <c r="D327" s="21" t="str">
        <f aca="false">IF(Variants!$B328="","","Karni Jewellery")</f>
        <v>Karni Jewellery</v>
      </c>
      <c r="E327" s="21" t="str">
        <f aca="false">IF(Variants!$B328="","","Apparel &amp; Accessories &gt; Jewelry")</f>
        <v>Apparel &amp; Accessories &gt; Jewelry</v>
      </c>
      <c r="F327" s="21" t="str">
        <f aca="false">IF(Variants!$D328="","",Variants!$D328)</f>
        <v>earrings 2 pcs.</v>
      </c>
      <c r="G327" s="21" t="str">
        <f aca="false">IF(Variants!$E328="","",Variants!$E328&amp;", Armenian jewellery, handmade")</f>
        <v>Vishab Arevagorg, Armenian jewellery, handmade</v>
      </c>
      <c r="H327" s="21" t="str">
        <f aca="false">IF(Variants!$AD328="Active","TRUE","FALSE")</f>
        <v>TRUE</v>
      </c>
      <c r="I327" s="21" t="str">
        <f aca="false">IF(Variants!$H328="","","Color")</f>
        <v>Color</v>
      </c>
      <c r="J327" s="21" t="str">
        <f aca="false">IF(Variants!$H328="","",Variants!$H328)</f>
        <v>white-blue-yellow</v>
      </c>
      <c r="K327" s="21" t="str">
        <f aca="false">IF(Variants!$G328="","","Size")</f>
        <v/>
      </c>
      <c r="L327" s="21" t="str">
        <f aca="false">IF(Variants!$G328="","",Variants!$G328)</f>
        <v/>
      </c>
      <c r="M327" s="21" t="str">
        <f aca="false">Variants!$A328</f>
        <v>KARNI-EARRNG2-VISHABAREVAGORG-WHITE-BLUE-YELLOW</v>
      </c>
      <c r="N327" s="21" t="str">
        <f aca="false">IF(Variants!$X328="","",Variants!$X328)</f>
        <v/>
      </c>
      <c r="O327" s="21" t="n">
        <f aca="false">IF(Variants!$O328="","",Variants!$O328)</f>
        <v>0</v>
      </c>
      <c r="P327" s="18" t="n">
        <f aca="false">IF(Variants!$J328="","",Variants!$J328)</f>
        <v>93.6</v>
      </c>
      <c r="Q327" s="21" t="str">
        <f aca="false">IF(Variants!$U328="","",Variants!$U328)</f>
        <v/>
      </c>
      <c r="R327" s="21" t="str">
        <f aca="false">IF(Variants!$Y328="","",Variants!$Y328)</f>
        <v/>
      </c>
      <c r="S327" s="21" t="n">
        <f aca="false">IFERROR(VLOOKUP(Variants!$B328,Designs!$A$3:$AP$165,37,FALSE()),"")</f>
        <v>0</v>
      </c>
      <c r="T327" s="21" t="str">
        <f aca="false">IFERROR(VLOOKUP(Variants!$B328,Designs!$A$3:$AP$165,38,FALSE()),"")</f>
        <v>No</v>
      </c>
      <c r="U327" s="21" t="str">
        <f aca="false">IF(Variants!$AD328="Active","active","draft")</f>
        <v>active</v>
      </c>
    </row>
    <row r="328" customFormat="false" ht="15.75" hidden="false" customHeight="true" outlineLevel="0" collapsed="false">
      <c r="A328" s="21" t="str">
        <f aca="false">IF(Variants!$B329="","",LOWER(Variants!$B329))</f>
        <v>dsgn-earrng2-vishabarevagorg</v>
      </c>
      <c r="B328" s="21" t="str">
        <f aca="false">IF(Variants!$B329="","",Variants!$C329&amp;IF(Variants!$F329="",""," "&amp;Variants!$F329))</f>
        <v>Արեւագորգի Վիշապ</v>
      </c>
      <c r="C328" s="21" t="str">
        <f aca="false">IFERROR(IF(Variants!$B329="","","&lt;p&gt;"&amp;VLOOKUP(Variants!$B329,Designs!$A$3:$AP$165,9,FALSE())&amp;"&lt;/p&gt;"),"")</f>
        <v>&lt;p&gt;Combines the vishap (dragon) motif with the arevagorg (sun-carpet) — an Armenian solar ornament symbolising life and eternity.&lt;/p&gt;</v>
      </c>
      <c r="D328" s="21" t="str">
        <f aca="false">IF(Variants!$B329="","","Karni Jewellery")</f>
        <v>Karni Jewellery</v>
      </c>
      <c r="E328" s="21" t="str">
        <f aca="false">IF(Variants!$B329="","","Apparel &amp; Accessories &gt; Jewelry")</f>
        <v>Apparel &amp; Accessories &gt; Jewelry</v>
      </c>
      <c r="F328" s="21" t="str">
        <f aca="false">IF(Variants!$D329="","",Variants!$D329)</f>
        <v>earrings 2 pcs.</v>
      </c>
      <c r="G328" s="21" t="str">
        <f aca="false">IF(Variants!$E329="","",Variants!$E329&amp;", Armenian jewellery, handmade")</f>
        <v>Vishab Arevagorg, Armenian jewellery, handmade</v>
      </c>
      <c r="H328" s="21" t="str">
        <f aca="false">IF(Variants!$AD329="Active","TRUE","FALSE")</f>
        <v>TRUE</v>
      </c>
      <c r="I328" s="21" t="str">
        <f aca="false">IF(Variants!$H329="","","Color")</f>
        <v>Color</v>
      </c>
      <c r="J328" s="21" t="str">
        <f aca="false">IF(Variants!$H329="","",Variants!$H329)</f>
        <v>white-blue-red</v>
      </c>
      <c r="K328" s="21" t="str">
        <f aca="false">IF(Variants!$G329="","","Size")</f>
        <v/>
      </c>
      <c r="L328" s="21" t="str">
        <f aca="false">IF(Variants!$G329="","",Variants!$G329)</f>
        <v/>
      </c>
      <c r="M328" s="21" t="str">
        <f aca="false">Variants!$A329</f>
        <v>KARNI-EARRNG2-VISHABAREVAGORG-WHITE-BLUE-RED</v>
      </c>
      <c r="N328" s="21" t="str">
        <f aca="false">IF(Variants!$X329="","",Variants!$X329)</f>
        <v/>
      </c>
      <c r="O328" s="21" t="n">
        <f aca="false">IF(Variants!$O329="","",Variants!$O329)</f>
        <v>0</v>
      </c>
      <c r="P328" s="18" t="n">
        <f aca="false">IF(Variants!$J329="","",Variants!$J329)</f>
        <v>93.6</v>
      </c>
      <c r="Q328" s="21" t="str">
        <f aca="false">IF(Variants!$U329="","",Variants!$U329)</f>
        <v/>
      </c>
      <c r="R328" s="21" t="str">
        <f aca="false">IF(Variants!$Y329="","",Variants!$Y329)</f>
        <v/>
      </c>
      <c r="S328" s="21" t="n">
        <f aca="false">IFERROR(VLOOKUP(Variants!$B329,Designs!$A$3:$AP$165,37,FALSE()),"")</f>
        <v>0</v>
      </c>
      <c r="T328" s="21" t="str">
        <f aca="false">IFERROR(VLOOKUP(Variants!$B329,Designs!$A$3:$AP$165,38,FALSE()),"")</f>
        <v>No</v>
      </c>
      <c r="U328" s="21" t="str">
        <f aca="false">IF(Variants!$AD329="Active","active","draft")</f>
        <v>active</v>
      </c>
    </row>
    <row r="329" customFormat="false" ht="15.75" hidden="false" customHeight="true" outlineLevel="0" collapsed="false">
      <c r="A329" s="21" t="str">
        <f aca="false">IF(Variants!$B330="","",LOWER(Variants!$B330))</f>
        <v>dsgn-earrng2-vishabarevagorg</v>
      </c>
      <c r="B329" s="21" t="str">
        <f aca="false">IF(Variants!$B330="","",Variants!$C330&amp;IF(Variants!$F330="",""," "&amp;Variants!$F330))</f>
        <v>Արեւագորգի Վիշապ</v>
      </c>
      <c r="C329" s="21" t="str">
        <f aca="false">IFERROR(IF(Variants!$B330="","","&lt;p&gt;"&amp;VLOOKUP(Variants!$B330,Designs!$A$3:$AP$165,9,FALSE())&amp;"&lt;/p&gt;"),"")</f>
        <v>&lt;p&gt;Combines the vishap (dragon) motif with the arevagorg (sun-carpet) — an Armenian solar ornament symbolising life and eternity.&lt;/p&gt;</v>
      </c>
      <c r="D329" s="21" t="str">
        <f aca="false">IF(Variants!$B330="","","Karni Jewellery")</f>
        <v>Karni Jewellery</v>
      </c>
      <c r="E329" s="21" t="str">
        <f aca="false">IF(Variants!$B330="","","Apparel &amp; Accessories &gt; Jewelry")</f>
        <v>Apparel &amp; Accessories &gt; Jewelry</v>
      </c>
      <c r="F329" s="21" t="str">
        <f aca="false">IF(Variants!$D330="","",Variants!$D330)</f>
        <v>earrings 2 pcs.</v>
      </c>
      <c r="G329" s="21" t="str">
        <f aca="false">IF(Variants!$E330="","",Variants!$E330&amp;", Armenian jewellery, handmade")</f>
        <v>Vishab Arevagorg, Armenian jewellery, handmade</v>
      </c>
      <c r="H329" s="21" t="str">
        <f aca="false">IF(Variants!$AD330="Active","TRUE","FALSE")</f>
        <v>TRUE</v>
      </c>
      <c r="I329" s="21" t="str">
        <f aca="false">IF(Variants!$H330="","","Color")</f>
        <v>Color</v>
      </c>
      <c r="J329" s="21" t="str">
        <f aca="false">IF(Variants!$H330="","",Variants!$H330)</f>
        <v>white-bordeaux-green</v>
      </c>
      <c r="K329" s="21" t="str">
        <f aca="false">IF(Variants!$G330="","","Size")</f>
        <v/>
      </c>
      <c r="L329" s="21" t="str">
        <f aca="false">IF(Variants!$G330="","",Variants!$G330)</f>
        <v/>
      </c>
      <c r="M329" s="21" t="str">
        <f aca="false">Variants!$A330</f>
        <v>KARNI-EARRNG2-VISHABAREVAGORG-WHITE-BORDEAUX-GREEN</v>
      </c>
      <c r="N329" s="21" t="str">
        <f aca="false">IF(Variants!$X330="","",Variants!$X330)</f>
        <v/>
      </c>
      <c r="O329" s="21" t="n">
        <f aca="false">IF(Variants!$O330="","",Variants!$O330)</f>
        <v>0</v>
      </c>
      <c r="P329" s="18" t="n">
        <f aca="false">IF(Variants!$J330="","",Variants!$J330)</f>
        <v>93.6</v>
      </c>
      <c r="Q329" s="21" t="str">
        <f aca="false">IF(Variants!$U330="","",Variants!$U330)</f>
        <v/>
      </c>
      <c r="R329" s="21" t="str">
        <f aca="false">IF(Variants!$Y330="","",Variants!$Y330)</f>
        <v/>
      </c>
      <c r="S329" s="21" t="n">
        <f aca="false">IFERROR(VLOOKUP(Variants!$B330,Designs!$A$3:$AP$165,37,FALSE()),"")</f>
        <v>0</v>
      </c>
      <c r="T329" s="21" t="str">
        <f aca="false">IFERROR(VLOOKUP(Variants!$B330,Designs!$A$3:$AP$165,38,FALSE()),"")</f>
        <v>No</v>
      </c>
      <c r="U329" s="21" t="str">
        <f aca="false">IF(Variants!$AD330="Active","active","draft")</f>
        <v>active</v>
      </c>
    </row>
    <row r="330" customFormat="false" ht="15.75" hidden="false" customHeight="true" outlineLevel="0" collapsed="false">
      <c r="A330" s="21" t="str">
        <f aca="false">IF(Variants!$B331="","",LOWER(Variants!$B331))</f>
        <v>dsgn-earrng2-vishabarevagorg</v>
      </c>
      <c r="B330" s="21" t="str">
        <f aca="false">IF(Variants!$B331="","",Variants!$C331&amp;IF(Variants!$F331="",""," "&amp;Variants!$F331))</f>
        <v>Արեւագորգի Վիշապ</v>
      </c>
      <c r="C330" s="21" t="str">
        <f aca="false">IFERROR(IF(Variants!$B331="","","&lt;p&gt;"&amp;VLOOKUP(Variants!$B331,Designs!$A$3:$AP$165,9,FALSE())&amp;"&lt;/p&gt;"),"")</f>
        <v>&lt;p&gt;Combines the vishap (dragon) motif with the arevagorg (sun-carpet) — an Armenian solar ornament symbolising life and eternity.&lt;/p&gt;</v>
      </c>
      <c r="D330" s="21" t="str">
        <f aca="false">IF(Variants!$B331="","","Karni Jewellery")</f>
        <v>Karni Jewellery</v>
      </c>
      <c r="E330" s="21" t="str">
        <f aca="false">IF(Variants!$B331="","","Apparel &amp; Accessories &gt; Jewelry")</f>
        <v>Apparel &amp; Accessories &gt; Jewelry</v>
      </c>
      <c r="F330" s="21" t="str">
        <f aca="false">IF(Variants!$D331="","",Variants!$D331)</f>
        <v>earrings 2 pcs.</v>
      </c>
      <c r="G330" s="21" t="str">
        <f aca="false">IF(Variants!$E331="","",Variants!$E331&amp;", Armenian jewellery, handmade")</f>
        <v>Vishab Arevagorg, Armenian jewellery, handmade</v>
      </c>
      <c r="H330" s="21" t="str">
        <f aca="false">IF(Variants!$AD331="Active","TRUE","FALSE")</f>
        <v>TRUE</v>
      </c>
      <c r="I330" s="21" t="str">
        <f aca="false">IF(Variants!$H331="","","Color")</f>
        <v>Color</v>
      </c>
      <c r="J330" s="21" t="str">
        <f aca="false">IF(Variants!$H331="","",Variants!$H331)</f>
        <v>blue-bordeaux-white</v>
      </c>
      <c r="K330" s="21" t="str">
        <f aca="false">IF(Variants!$G331="","","Size")</f>
        <v/>
      </c>
      <c r="L330" s="21" t="str">
        <f aca="false">IF(Variants!$G331="","",Variants!$G331)</f>
        <v/>
      </c>
      <c r="M330" s="21" t="str">
        <f aca="false">Variants!$A331</f>
        <v>KARNI-EARRNG2-VISHABAREVAGORG-BLUE-BORDEAUX-WHITE</v>
      </c>
      <c r="N330" s="21" t="str">
        <f aca="false">IF(Variants!$X331="","",Variants!$X331)</f>
        <v/>
      </c>
      <c r="O330" s="21" t="n">
        <f aca="false">IF(Variants!$O331="","",Variants!$O331)</f>
        <v>0</v>
      </c>
      <c r="P330" s="18" t="n">
        <f aca="false">IF(Variants!$J331="","",Variants!$J331)</f>
        <v>93.6</v>
      </c>
      <c r="Q330" s="21" t="str">
        <f aca="false">IF(Variants!$U331="","",Variants!$U331)</f>
        <v/>
      </c>
      <c r="R330" s="21" t="str">
        <f aca="false">IF(Variants!$Y331="","",Variants!$Y331)</f>
        <v/>
      </c>
      <c r="S330" s="21" t="n">
        <f aca="false">IFERROR(VLOOKUP(Variants!$B331,Designs!$A$3:$AP$165,37,FALSE()),"")</f>
        <v>0</v>
      </c>
      <c r="T330" s="21" t="str">
        <f aca="false">IFERROR(VLOOKUP(Variants!$B331,Designs!$A$3:$AP$165,38,FALSE()),"")</f>
        <v>No</v>
      </c>
      <c r="U330" s="21" t="str">
        <f aca="false">IF(Variants!$AD331="Active","active","draft")</f>
        <v>active</v>
      </c>
    </row>
    <row r="331" customFormat="false" ht="15.75" hidden="false" customHeight="true" outlineLevel="0" collapsed="false">
      <c r="A331" s="21" t="str">
        <f aca="false">IF(Variants!$B332="","",LOWER(Variants!$B332))</f>
        <v>dsgn-earrng-marash-l</v>
      </c>
      <c r="B331" s="21" t="str">
        <f aca="false">IF(Variants!$B332="","",Variants!$C332&amp;IF(Variants!$F332="",""," "&amp;Variants!$F332))</f>
        <v>Marash Earrings</v>
      </c>
      <c r="C331" s="21" t="str">
        <f aca="false">IFERROR(IF(Variants!$B332="","","&lt;p&gt;"&amp;VLOOKUP(Variants!$B332,Designs!$A$3:$AP$165,9,FALSE())&amp;"&lt;/p&gt;"),"")</f>
        <v>&lt;p&gt;Marash-work is a distinctive Armenian embroidery style from Cilician Marash, known for its interlaced geometric patterns.&lt;/p&gt;</v>
      </c>
      <c r="D331" s="21" t="str">
        <f aca="false">IF(Variants!$B332="","","Karni Jewellery")</f>
        <v>Karni Jewellery</v>
      </c>
      <c r="E331" s="21" t="str">
        <f aca="false">IF(Variants!$B332="","","Apparel &amp; Accessories &gt; Jewelry")</f>
        <v>Apparel &amp; Accessories &gt; Jewelry</v>
      </c>
      <c r="F331" s="21" t="str">
        <f aca="false">IF(Variants!$D332="","",Variants!$D332)</f>
        <v>Earring</v>
      </c>
      <c r="G331" s="21" t="str">
        <f aca="false">IF(Variants!$E332="","",Variants!$E332&amp;", Armenian jewellery, handmade")</f>
        <v>Marash, Armenian jewellery, handmade</v>
      </c>
      <c r="H331" s="21" t="str">
        <f aca="false">IF(Variants!$AD332="Active","TRUE","FALSE")</f>
        <v>TRUE</v>
      </c>
      <c r="I331" s="21" t="str">
        <f aca="false">IF(Variants!$H332="","","Color")</f>
        <v>Color</v>
      </c>
      <c r="J331" s="21" t="str">
        <f aca="false">IF(Variants!$H332="","",Variants!$H332)</f>
        <v>white-bordeaux</v>
      </c>
      <c r="K331" s="21" t="str">
        <f aca="false">IF(Variants!$G332="","","Size")</f>
        <v>Size</v>
      </c>
      <c r="L331" s="21" t="str">
        <f aca="false">IF(Variants!$G332="","",Variants!$G332)</f>
        <v>large</v>
      </c>
      <c r="M331" s="21" t="str">
        <f aca="false">Variants!$A332</f>
        <v>KARNI-EARRNG-MARASH-L-WHITE-BORDEAUX</v>
      </c>
      <c r="N331" s="21" t="str">
        <f aca="false">IF(Variants!$X332="","",Variants!$X332)</f>
        <v/>
      </c>
      <c r="O331" s="21" t="n">
        <f aca="false">IF(Variants!$O332="","",Variants!$O332)</f>
        <v>0</v>
      </c>
      <c r="P331" s="18" t="n">
        <f aca="false">IF(Variants!$J332="","",Variants!$J332)</f>
        <v>114.4</v>
      </c>
      <c r="Q331" s="21" t="str">
        <f aca="false">IF(Variants!$U332="","",Variants!$U332)</f>
        <v/>
      </c>
      <c r="R331" s="21" t="str">
        <f aca="false">IF(Variants!$Y332="","",Variants!$Y332)</f>
        <v/>
      </c>
      <c r="S331" s="21" t="n">
        <f aca="false">IFERROR(VLOOKUP(Variants!$B332,Designs!$A$3:$AP$165,37,FALSE()),"")</f>
        <v>0</v>
      </c>
      <c r="T331" s="21" t="str">
        <f aca="false">IFERROR(VLOOKUP(Variants!$B332,Designs!$A$3:$AP$165,38,FALSE()),"")</f>
        <v>No</v>
      </c>
      <c r="U331" s="21" t="str">
        <f aca="false">IF(Variants!$AD332="Active","active","draft")</f>
        <v>active</v>
      </c>
    </row>
    <row r="332" customFormat="false" ht="15.75" hidden="false" customHeight="true" outlineLevel="0" collapsed="false">
      <c r="A332" s="21" t="str">
        <f aca="false">IF(Variants!$B333="","",LOWER(Variants!$B333))</f>
        <v>dsgn-earrng-marash-l</v>
      </c>
      <c r="B332" s="21" t="str">
        <f aca="false">IF(Variants!$B333="","",Variants!$C333&amp;IF(Variants!$F333="",""," "&amp;Variants!$F333))</f>
        <v>Marash Earrings</v>
      </c>
      <c r="C332" s="21" t="str">
        <f aca="false">IFERROR(IF(Variants!$B333="","","&lt;p&gt;"&amp;VLOOKUP(Variants!$B333,Designs!$A$3:$AP$165,9,FALSE())&amp;"&lt;/p&gt;"),"")</f>
        <v>&lt;p&gt;Marash-work is a distinctive Armenian embroidery style from Cilician Marash, known for its interlaced geometric patterns.&lt;/p&gt;</v>
      </c>
      <c r="D332" s="21" t="str">
        <f aca="false">IF(Variants!$B333="","","Karni Jewellery")</f>
        <v>Karni Jewellery</v>
      </c>
      <c r="E332" s="21" t="str">
        <f aca="false">IF(Variants!$B333="","","Apparel &amp; Accessories &gt; Jewelry")</f>
        <v>Apparel &amp; Accessories &gt; Jewelry</v>
      </c>
      <c r="F332" s="21" t="str">
        <f aca="false">IF(Variants!$D333="","",Variants!$D333)</f>
        <v>Earring</v>
      </c>
      <c r="G332" s="21" t="str">
        <f aca="false">IF(Variants!$E333="","",Variants!$E333&amp;", Armenian jewellery, handmade")</f>
        <v>Marash, Armenian jewellery, handmade</v>
      </c>
      <c r="H332" s="21" t="str">
        <f aca="false">IF(Variants!$AD333="Active","TRUE","FALSE")</f>
        <v>TRUE</v>
      </c>
      <c r="I332" s="21" t="str">
        <f aca="false">IF(Variants!$H333="","","Color")</f>
        <v>Color</v>
      </c>
      <c r="J332" s="21" t="str">
        <f aca="false">IF(Variants!$H333="","",Variants!$H333)</f>
        <v>blue-white</v>
      </c>
      <c r="K332" s="21" t="str">
        <f aca="false">IF(Variants!$G333="","","Size")</f>
        <v>Size</v>
      </c>
      <c r="L332" s="21" t="str">
        <f aca="false">IF(Variants!$G333="","",Variants!$G333)</f>
        <v>large</v>
      </c>
      <c r="M332" s="21" t="str">
        <f aca="false">Variants!$A333</f>
        <v>KARNI-EARRNG-MARASH-L-BLUE-WHITE</v>
      </c>
      <c r="N332" s="21" t="str">
        <f aca="false">IF(Variants!$X333="","",Variants!$X333)</f>
        <v/>
      </c>
      <c r="O332" s="21" t="n">
        <f aca="false">IF(Variants!$O333="","",Variants!$O333)</f>
        <v>0</v>
      </c>
      <c r="P332" s="18" t="n">
        <f aca="false">IF(Variants!$J333="","",Variants!$J333)</f>
        <v>114.4</v>
      </c>
      <c r="Q332" s="21" t="str">
        <f aca="false">IF(Variants!$U333="","",Variants!$U333)</f>
        <v/>
      </c>
      <c r="R332" s="21" t="str">
        <f aca="false">IF(Variants!$Y333="","",Variants!$Y333)</f>
        <v/>
      </c>
      <c r="S332" s="21" t="n">
        <f aca="false">IFERROR(VLOOKUP(Variants!$B333,Designs!$A$3:$AP$165,37,FALSE()),"")</f>
        <v>0</v>
      </c>
      <c r="T332" s="21" t="str">
        <f aca="false">IFERROR(VLOOKUP(Variants!$B333,Designs!$A$3:$AP$165,38,FALSE()),"")</f>
        <v>No</v>
      </c>
      <c r="U332" s="21" t="str">
        <f aca="false">IF(Variants!$AD333="Active","active","draft")</f>
        <v>active</v>
      </c>
    </row>
    <row r="333" customFormat="false" ht="15.75" hidden="false" customHeight="true" outlineLevel="0" collapsed="false">
      <c r="A333" s="21" t="str">
        <f aca="false">IF(Variants!$B334="","",LOWER(Variants!$B334))</f>
        <v>dsgn-earrng-marash-l</v>
      </c>
      <c r="B333" s="21" t="str">
        <f aca="false">IF(Variants!$B334="","",Variants!$C334&amp;IF(Variants!$F334="",""," "&amp;Variants!$F334))</f>
        <v>Marash Earrings</v>
      </c>
      <c r="C333" s="21" t="str">
        <f aca="false">IFERROR(IF(Variants!$B334="","","&lt;p&gt;"&amp;VLOOKUP(Variants!$B334,Designs!$A$3:$AP$165,9,FALSE())&amp;"&lt;/p&gt;"),"")</f>
        <v>&lt;p&gt;Marash-work is a distinctive Armenian embroidery style from Cilician Marash, known for its interlaced geometric patterns.&lt;/p&gt;</v>
      </c>
      <c r="D333" s="21" t="str">
        <f aca="false">IF(Variants!$B334="","","Karni Jewellery")</f>
        <v>Karni Jewellery</v>
      </c>
      <c r="E333" s="21" t="str">
        <f aca="false">IF(Variants!$B334="","","Apparel &amp; Accessories &gt; Jewelry")</f>
        <v>Apparel &amp; Accessories &gt; Jewelry</v>
      </c>
      <c r="F333" s="21" t="str">
        <f aca="false">IF(Variants!$D334="","",Variants!$D334)</f>
        <v>Earring</v>
      </c>
      <c r="G333" s="21" t="str">
        <f aca="false">IF(Variants!$E334="","",Variants!$E334&amp;", Armenian jewellery, handmade")</f>
        <v>Marash, Armenian jewellery, handmade</v>
      </c>
      <c r="H333" s="21" t="str">
        <f aca="false">IF(Variants!$AD334="Active","TRUE","FALSE")</f>
        <v>TRUE</v>
      </c>
      <c r="I333" s="21" t="str">
        <f aca="false">IF(Variants!$H334="","","Color")</f>
        <v>Color</v>
      </c>
      <c r="J333" s="21" t="str">
        <f aca="false">IF(Variants!$H334="","",Variants!$H334)</f>
        <v>white-golden</v>
      </c>
      <c r="K333" s="21" t="str">
        <f aca="false">IF(Variants!$G334="","","Size")</f>
        <v>Size</v>
      </c>
      <c r="L333" s="21" t="str">
        <f aca="false">IF(Variants!$G334="","",Variants!$G334)</f>
        <v>large</v>
      </c>
      <c r="M333" s="21" t="str">
        <f aca="false">Variants!$A334</f>
        <v>KARNI-EARRNG-MARASH-L-WHITE-GOLDEN</v>
      </c>
      <c r="N333" s="21" t="str">
        <f aca="false">IF(Variants!$X334="","",Variants!$X334)</f>
        <v/>
      </c>
      <c r="O333" s="21" t="n">
        <f aca="false">IF(Variants!$O334="","",Variants!$O334)</f>
        <v>0</v>
      </c>
      <c r="P333" s="18" t="n">
        <f aca="false">IF(Variants!$J334="","",Variants!$J334)</f>
        <v>114.4</v>
      </c>
      <c r="Q333" s="21" t="str">
        <f aca="false">IF(Variants!$U334="","",Variants!$U334)</f>
        <v/>
      </c>
      <c r="R333" s="21" t="str">
        <f aca="false">IF(Variants!$Y334="","",Variants!$Y334)</f>
        <v/>
      </c>
      <c r="S333" s="21" t="n">
        <f aca="false">IFERROR(VLOOKUP(Variants!$B334,Designs!$A$3:$AP$165,37,FALSE()),"")</f>
        <v>0</v>
      </c>
      <c r="T333" s="21" t="str">
        <f aca="false">IFERROR(VLOOKUP(Variants!$B334,Designs!$A$3:$AP$165,38,FALSE()),"")</f>
        <v>No</v>
      </c>
      <c r="U333" s="21" t="str">
        <f aca="false">IF(Variants!$AD334="Active","active","draft")</f>
        <v>active</v>
      </c>
    </row>
    <row r="334" customFormat="false" ht="15.75" hidden="false" customHeight="true" outlineLevel="0" collapsed="false">
      <c r="A334" s="21" t="str">
        <f aca="false">IF(Variants!$B335="","",LOWER(Variants!$B335))</f>
        <v>dsgn-ring-marash-s</v>
      </c>
      <c r="B334" s="21" t="str">
        <f aca="false">IF(Variants!$B335="","",Variants!$C335&amp;IF(Variants!$F335="",""," "&amp;Variants!$F335))</f>
        <v>Marash Ring</v>
      </c>
      <c r="C334" s="21" t="str">
        <f aca="false">IFERROR(IF(Variants!$B335="","","&lt;p&gt;"&amp;VLOOKUP(Variants!$B335,Designs!$A$3:$AP$165,9,FALSE())&amp;"&lt;/p&gt;"),"")</f>
        <v>&lt;p&gt;Marash-work is a distinctive Armenian embroidery style from Cilician Marash, known for its interlaced geometric patterns.&lt;/p&gt;</v>
      </c>
      <c r="D334" s="21" t="str">
        <f aca="false">IF(Variants!$B335="","","Karni Jewellery")</f>
        <v>Karni Jewellery</v>
      </c>
      <c r="E334" s="21" t="str">
        <f aca="false">IF(Variants!$B335="","","Apparel &amp; Accessories &gt; Jewelry")</f>
        <v>Apparel &amp; Accessories &gt; Jewelry</v>
      </c>
      <c r="F334" s="21" t="str">
        <f aca="false">IF(Variants!$D335="","",Variants!$D335)</f>
        <v>Ring</v>
      </c>
      <c r="G334" s="21" t="str">
        <f aca="false">IF(Variants!$E335="","",Variants!$E335&amp;", Armenian jewellery, handmade")</f>
        <v>Marash, Armenian jewellery, handmade</v>
      </c>
      <c r="H334" s="21" t="str">
        <f aca="false">IF(Variants!$AD335="Active","TRUE","FALSE")</f>
        <v>TRUE</v>
      </c>
      <c r="I334" s="21" t="str">
        <f aca="false">IF(Variants!$H335="","","Color")</f>
        <v>Color</v>
      </c>
      <c r="J334" s="21" t="str">
        <f aca="false">IF(Variants!$H335="","",Variants!$H335)</f>
        <v>blue</v>
      </c>
      <c r="K334" s="21" t="str">
        <f aca="false">IF(Variants!$G335="","","Size")</f>
        <v>Size</v>
      </c>
      <c r="L334" s="21" t="str">
        <f aca="false">IF(Variants!$G335="","",Variants!$G335)</f>
        <v>small</v>
      </c>
      <c r="M334" s="21" t="str">
        <f aca="false">Variants!$A335</f>
        <v>KARNI-RING-MARASH-S-BLUE</v>
      </c>
      <c r="N334" s="21" t="str">
        <f aca="false">IF(Variants!$X335="","",Variants!$X335)</f>
        <v/>
      </c>
      <c r="O334" s="21" t="n">
        <f aca="false">IF(Variants!$O335="","",Variants!$O335)</f>
        <v>0</v>
      </c>
      <c r="P334" s="18" t="n">
        <f aca="false">IF(Variants!$J335="","",Variants!$J335)</f>
        <v>33.8</v>
      </c>
      <c r="Q334" s="21" t="str">
        <f aca="false">IF(Variants!$U335="","",Variants!$U335)</f>
        <v/>
      </c>
      <c r="R334" s="21" t="str">
        <f aca="false">IF(Variants!$Y335="","",Variants!$Y335)</f>
        <v/>
      </c>
      <c r="S334" s="21" t="n">
        <f aca="false">IFERROR(VLOOKUP(Variants!$B335,Designs!$A$3:$AP$165,37,FALSE()),"")</f>
        <v>0</v>
      </c>
      <c r="T334" s="21" t="str">
        <f aca="false">IFERROR(VLOOKUP(Variants!$B335,Designs!$A$3:$AP$165,38,FALSE()),"")</f>
        <v>No</v>
      </c>
      <c r="U334" s="21" t="str">
        <f aca="false">IF(Variants!$AD335="Active","active","draft")</f>
        <v>active</v>
      </c>
    </row>
    <row r="335" customFormat="false" ht="15.75" hidden="false" customHeight="true" outlineLevel="0" collapsed="false">
      <c r="A335" s="21" t="str">
        <f aca="false">IF(Variants!$B336="","",LOWER(Variants!$B336))</f>
        <v>dsgn-ring-marash-s</v>
      </c>
      <c r="B335" s="21" t="str">
        <f aca="false">IF(Variants!$B336="","",Variants!$C336&amp;IF(Variants!$F336="",""," "&amp;Variants!$F336))</f>
        <v>Marash Ring</v>
      </c>
      <c r="C335" s="21" t="str">
        <f aca="false">IFERROR(IF(Variants!$B336="","","&lt;p&gt;"&amp;VLOOKUP(Variants!$B336,Designs!$A$3:$AP$165,9,FALSE())&amp;"&lt;/p&gt;"),"")</f>
        <v>&lt;p&gt;Marash-work is a distinctive Armenian embroidery style from Cilician Marash, known for its interlaced geometric patterns.&lt;/p&gt;</v>
      </c>
      <c r="D335" s="21" t="str">
        <f aca="false">IF(Variants!$B336="","","Karni Jewellery")</f>
        <v>Karni Jewellery</v>
      </c>
      <c r="E335" s="21" t="str">
        <f aca="false">IF(Variants!$B336="","","Apparel &amp; Accessories &gt; Jewelry")</f>
        <v>Apparel &amp; Accessories &gt; Jewelry</v>
      </c>
      <c r="F335" s="21" t="str">
        <f aca="false">IF(Variants!$D336="","",Variants!$D336)</f>
        <v>Ring</v>
      </c>
      <c r="G335" s="21" t="str">
        <f aca="false">IF(Variants!$E336="","",Variants!$E336&amp;", Armenian jewellery, handmade")</f>
        <v>Marash, Armenian jewellery, handmade</v>
      </c>
      <c r="H335" s="21" t="str">
        <f aca="false">IF(Variants!$AD336="Active","TRUE","FALSE")</f>
        <v>TRUE</v>
      </c>
      <c r="I335" s="21" t="str">
        <f aca="false">IF(Variants!$H336="","","Color")</f>
        <v>Color</v>
      </c>
      <c r="J335" s="21" t="str">
        <f aca="false">IF(Variants!$H336="","",Variants!$H336)</f>
        <v>white</v>
      </c>
      <c r="K335" s="21" t="str">
        <f aca="false">IF(Variants!$G336="","","Size")</f>
        <v>Size</v>
      </c>
      <c r="L335" s="21" t="str">
        <f aca="false">IF(Variants!$G336="","",Variants!$G336)</f>
        <v>small</v>
      </c>
      <c r="M335" s="21" t="str">
        <f aca="false">Variants!$A336</f>
        <v>KARNI-RING-MARASH-S-WHITE</v>
      </c>
      <c r="N335" s="21" t="str">
        <f aca="false">IF(Variants!$X336="","",Variants!$X336)</f>
        <v/>
      </c>
      <c r="O335" s="21" t="n">
        <f aca="false">IF(Variants!$O336="","",Variants!$O336)</f>
        <v>0</v>
      </c>
      <c r="P335" s="18" t="n">
        <f aca="false">IF(Variants!$J336="","",Variants!$J336)</f>
        <v>33.8</v>
      </c>
      <c r="Q335" s="21" t="str">
        <f aca="false">IF(Variants!$U336="","",Variants!$U336)</f>
        <v/>
      </c>
      <c r="R335" s="21" t="str">
        <f aca="false">IF(Variants!$Y336="","",Variants!$Y336)</f>
        <v/>
      </c>
      <c r="S335" s="21" t="n">
        <f aca="false">IFERROR(VLOOKUP(Variants!$B336,Designs!$A$3:$AP$165,37,FALSE()),"")</f>
        <v>0</v>
      </c>
      <c r="T335" s="21" t="str">
        <f aca="false">IFERROR(VLOOKUP(Variants!$B336,Designs!$A$3:$AP$165,38,FALSE()),"")</f>
        <v>No</v>
      </c>
      <c r="U335" s="21" t="str">
        <f aca="false">IF(Variants!$AD336="Active","active","draft")</f>
        <v>active</v>
      </c>
    </row>
    <row r="336" customFormat="false" ht="15.75" hidden="false" customHeight="true" outlineLevel="0" collapsed="false">
      <c r="A336" s="21" t="str">
        <f aca="false">IF(Variants!$B337="","",LOWER(Variants!$B337))</f>
        <v>dsgn-ring-marash-s</v>
      </c>
      <c r="B336" s="21" t="str">
        <f aca="false">IF(Variants!$B337="","",Variants!$C337&amp;IF(Variants!$F337="",""," "&amp;Variants!$F337))</f>
        <v>Marash Ring</v>
      </c>
      <c r="C336" s="21" t="str">
        <f aca="false">IFERROR(IF(Variants!$B337="","","&lt;p&gt;"&amp;VLOOKUP(Variants!$B337,Designs!$A$3:$AP$165,9,FALSE())&amp;"&lt;/p&gt;"),"")</f>
        <v>&lt;p&gt;Marash-work is a distinctive Armenian embroidery style from Cilician Marash, known for its interlaced geometric patterns.&lt;/p&gt;</v>
      </c>
      <c r="D336" s="21" t="str">
        <f aca="false">IF(Variants!$B337="","","Karni Jewellery")</f>
        <v>Karni Jewellery</v>
      </c>
      <c r="E336" s="21" t="str">
        <f aca="false">IF(Variants!$B337="","","Apparel &amp; Accessories &gt; Jewelry")</f>
        <v>Apparel &amp; Accessories &gt; Jewelry</v>
      </c>
      <c r="F336" s="21" t="str">
        <f aca="false">IF(Variants!$D337="","",Variants!$D337)</f>
        <v>Ring</v>
      </c>
      <c r="G336" s="21" t="str">
        <f aca="false">IF(Variants!$E337="","",Variants!$E337&amp;", Armenian jewellery, handmade")</f>
        <v>Marash, Armenian jewellery, handmade</v>
      </c>
      <c r="H336" s="21" t="str">
        <f aca="false">IF(Variants!$AD337="Active","TRUE","FALSE")</f>
        <v>TRUE</v>
      </c>
      <c r="I336" s="21" t="str">
        <f aca="false">IF(Variants!$H337="","","Color")</f>
        <v>Color</v>
      </c>
      <c r="J336" s="21" t="str">
        <f aca="false">IF(Variants!$H337="","",Variants!$H337)</f>
        <v>bordeaux</v>
      </c>
      <c r="K336" s="21" t="str">
        <f aca="false">IF(Variants!$G337="","","Size")</f>
        <v>Size</v>
      </c>
      <c r="L336" s="21" t="str">
        <f aca="false">IF(Variants!$G337="","",Variants!$G337)</f>
        <v>small</v>
      </c>
      <c r="M336" s="21" t="str">
        <f aca="false">Variants!$A337</f>
        <v>KARNI-RING-MARASH-S-BORDEAUX</v>
      </c>
      <c r="N336" s="21" t="str">
        <f aca="false">IF(Variants!$X337="","",Variants!$X337)</f>
        <v/>
      </c>
      <c r="O336" s="21" t="n">
        <f aca="false">IF(Variants!$O337="","",Variants!$O337)</f>
        <v>0</v>
      </c>
      <c r="P336" s="18" t="n">
        <f aca="false">IF(Variants!$J337="","",Variants!$J337)</f>
        <v>33.8</v>
      </c>
      <c r="Q336" s="21" t="str">
        <f aca="false">IF(Variants!$U337="","",Variants!$U337)</f>
        <v/>
      </c>
      <c r="R336" s="21" t="str">
        <f aca="false">IF(Variants!$Y337="","",Variants!$Y337)</f>
        <v/>
      </c>
      <c r="S336" s="21" t="n">
        <f aca="false">IFERROR(VLOOKUP(Variants!$B337,Designs!$A$3:$AP$165,37,FALSE()),"")</f>
        <v>0</v>
      </c>
      <c r="T336" s="21" t="str">
        <f aca="false">IFERROR(VLOOKUP(Variants!$B337,Designs!$A$3:$AP$165,38,FALSE()),"")</f>
        <v>No</v>
      </c>
      <c r="U336" s="21" t="str">
        <f aca="false">IF(Variants!$AD337="Active","active","draft")</f>
        <v>active</v>
      </c>
    </row>
    <row r="337" customFormat="false" ht="15.75" hidden="false" customHeight="true" outlineLevel="0" collapsed="false">
      <c r="A337" s="21" t="str">
        <f aca="false">IF(Variants!$B338="","",LOWER(Variants!$B338))</f>
        <v>dsgn-ring-marash-s</v>
      </c>
      <c r="B337" s="21" t="str">
        <f aca="false">IF(Variants!$B338="","",Variants!$C338&amp;IF(Variants!$F338="",""," "&amp;Variants!$F338))</f>
        <v>Marash Ring</v>
      </c>
      <c r="C337" s="21" t="str">
        <f aca="false">IFERROR(IF(Variants!$B338="","","&lt;p&gt;"&amp;VLOOKUP(Variants!$B338,Designs!$A$3:$AP$165,9,FALSE())&amp;"&lt;/p&gt;"),"")</f>
        <v>&lt;p&gt;Marash-work is a distinctive Armenian embroidery style from Cilician Marash, known for its interlaced geometric patterns.&lt;/p&gt;</v>
      </c>
      <c r="D337" s="21" t="str">
        <f aca="false">IF(Variants!$B338="","","Karni Jewellery")</f>
        <v>Karni Jewellery</v>
      </c>
      <c r="E337" s="21" t="str">
        <f aca="false">IF(Variants!$B338="","","Apparel &amp; Accessories &gt; Jewelry")</f>
        <v>Apparel &amp; Accessories &gt; Jewelry</v>
      </c>
      <c r="F337" s="21" t="str">
        <f aca="false">IF(Variants!$D338="","",Variants!$D338)</f>
        <v>Ring</v>
      </c>
      <c r="G337" s="21" t="str">
        <f aca="false">IF(Variants!$E338="","",Variants!$E338&amp;", Armenian jewellery, handmade")</f>
        <v>Marash, Armenian jewellery, handmade</v>
      </c>
      <c r="H337" s="21" t="str">
        <f aca="false">IF(Variants!$AD338="Active","TRUE","FALSE")</f>
        <v>TRUE</v>
      </c>
      <c r="I337" s="21" t="str">
        <f aca="false">IF(Variants!$H338="","","Color")</f>
        <v>Color</v>
      </c>
      <c r="J337" s="21" t="str">
        <f aca="false">IF(Variants!$H338="","",Variants!$H338)</f>
        <v>turquoise</v>
      </c>
      <c r="K337" s="21" t="str">
        <f aca="false">IF(Variants!$G338="","","Size")</f>
        <v>Size</v>
      </c>
      <c r="L337" s="21" t="str">
        <f aca="false">IF(Variants!$G338="","",Variants!$G338)</f>
        <v>small</v>
      </c>
      <c r="M337" s="21" t="str">
        <f aca="false">Variants!$A338</f>
        <v>KARNI-RING-MARASH-S-TURQUOISE</v>
      </c>
      <c r="N337" s="21" t="str">
        <f aca="false">IF(Variants!$X338="","",Variants!$X338)</f>
        <v/>
      </c>
      <c r="O337" s="21" t="n">
        <f aca="false">IF(Variants!$O338="","",Variants!$O338)</f>
        <v>0</v>
      </c>
      <c r="P337" s="18" t="n">
        <f aca="false">IF(Variants!$J338="","",Variants!$J338)</f>
        <v>33.8</v>
      </c>
      <c r="Q337" s="21" t="str">
        <f aca="false">IF(Variants!$U338="","",Variants!$U338)</f>
        <v/>
      </c>
      <c r="R337" s="21" t="str">
        <f aca="false">IF(Variants!$Y338="","",Variants!$Y338)</f>
        <v/>
      </c>
      <c r="S337" s="21" t="n">
        <f aca="false">IFERROR(VLOOKUP(Variants!$B338,Designs!$A$3:$AP$165,37,FALSE()),"")</f>
        <v>0</v>
      </c>
      <c r="T337" s="21" t="str">
        <f aca="false">IFERROR(VLOOKUP(Variants!$B338,Designs!$A$3:$AP$165,38,FALSE()),"")</f>
        <v>No</v>
      </c>
      <c r="U337" s="21" t="str">
        <f aca="false">IF(Variants!$AD338="Active","active","draft")</f>
        <v>active</v>
      </c>
    </row>
    <row r="338" customFormat="false" ht="15.75" hidden="false" customHeight="true" outlineLevel="0" collapsed="false">
      <c r="A338" s="21" t="str">
        <f aca="false">IF(Variants!$B339="","",LOWER(Variants!$B339))</f>
        <v>dsgn-ring-marash-s</v>
      </c>
      <c r="B338" s="21" t="str">
        <f aca="false">IF(Variants!$B339="","",Variants!$C339&amp;IF(Variants!$F339="",""," "&amp;Variants!$F339))</f>
        <v>Marash Ring</v>
      </c>
      <c r="C338" s="21" t="str">
        <f aca="false">IFERROR(IF(Variants!$B339="","","&lt;p&gt;"&amp;VLOOKUP(Variants!$B339,Designs!$A$3:$AP$165,9,FALSE())&amp;"&lt;/p&gt;"),"")</f>
        <v>&lt;p&gt;Marash-work is a distinctive Armenian embroidery style from Cilician Marash, known for its interlaced geometric patterns.&lt;/p&gt;</v>
      </c>
      <c r="D338" s="21" t="str">
        <f aca="false">IF(Variants!$B339="","","Karni Jewellery")</f>
        <v>Karni Jewellery</v>
      </c>
      <c r="E338" s="21" t="str">
        <f aca="false">IF(Variants!$B339="","","Apparel &amp; Accessories &gt; Jewelry")</f>
        <v>Apparel &amp; Accessories &gt; Jewelry</v>
      </c>
      <c r="F338" s="21" t="str">
        <f aca="false">IF(Variants!$D339="","",Variants!$D339)</f>
        <v>Ring</v>
      </c>
      <c r="G338" s="21" t="str">
        <f aca="false">IF(Variants!$E339="","",Variants!$E339&amp;", Armenian jewellery, handmade")</f>
        <v>Marash, Armenian jewellery, handmade</v>
      </c>
      <c r="H338" s="21" t="str">
        <f aca="false">IF(Variants!$AD339="Active","TRUE","FALSE")</f>
        <v>TRUE</v>
      </c>
      <c r="I338" s="21" t="str">
        <f aca="false">IF(Variants!$H339="","","Color")</f>
        <v>Color</v>
      </c>
      <c r="J338" s="21" t="str">
        <f aca="false">IF(Variants!$H339="","",Variants!$H339)</f>
        <v>green</v>
      </c>
      <c r="K338" s="21" t="str">
        <f aca="false">IF(Variants!$G339="","","Size")</f>
        <v>Size</v>
      </c>
      <c r="L338" s="21" t="str">
        <f aca="false">IF(Variants!$G339="","",Variants!$G339)</f>
        <v>small</v>
      </c>
      <c r="M338" s="21" t="str">
        <f aca="false">Variants!$A339</f>
        <v>KARNI-RING-MARASH-S-GREEN</v>
      </c>
      <c r="N338" s="21" t="str">
        <f aca="false">IF(Variants!$X339="","",Variants!$X339)</f>
        <v/>
      </c>
      <c r="O338" s="21" t="n">
        <f aca="false">IF(Variants!$O339="","",Variants!$O339)</f>
        <v>0</v>
      </c>
      <c r="P338" s="18" t="n">
        <f aca="false">IF(Variants!$J339="","",Variants!$J339)</f>
        <v>33.8</v>
      </c>
      <c r="Q338" s="21" t="str">
        <f aca="false">IF(Variants!$U339="","",Variants!$U339)</f>
        <v/>
      </c>
      <c r="R338" s="21" t="str">
        <f aca="false">IF(Variants!$Y339="","",Variants!$Y339)</f>
        <v/>
      </c>
      <c r="S338" s="21" t="n">
        <f aca="false">IFERROR(VLOOKUP(Variants!$B339,Designs!$A$3:$AP$165,37,FALSE()),"")</f>
        <v>0</v>
      </c>
      <c r="T338" s="21" t="str">
        <f aca="false">IFERROR(VLOOKUP(Variants!$B339,Designs!$A$3:$AP$165,38,FALSE()),"")</f>
        <v>No</v>
      </c>
      <c r="U338" s="21" t="str">
        <f aca="false">IF(Variants!$AD339="Active","active","draft")</f>
        <v>active</v>
      </c>
    </row>
    <row r="339" customFormat="false" ht="15.75" hidden="false" customHeight="true" outlineLevel="0" collapsed="false">
      <c r="A339" s="21" t="str">
        <f aca="false">IF(Variants!$B340="","",LOWER(Variants!$B340))</f>
        <v>dsgn-ring-van-s</v>
      </c>
      <c r="B339" s="21" t="str">
        <f aca="false">IF(Variants!$B340="","",Variants!$C340&amp;IF(Variants!$F340="",""," "&amp;Variants!$F340))</f>
        <v>Van Ring</v>
      </c>
      <c r="C339" s="21" t="str">
        <f aca="false">IFERROR(IF(Variants!$B340="","","&lt;p&gt;"&amp;VLOOKUP(Variants!$B340,Designs!$A$3:$AP$165,9,FALSE())&amp;"&lt;/p&gt;"),"")</f>
        <v>&lt;p&gt;Motifs from the Van/Vaspurakan region, echoing the ornament of the Lake Van heartland of historic Armenia.&lt;/p&gt;</v>
      </c>
      <c r="D339" s="21" t="str">
        <f aca="false">IF(Variants!$B340="","","Karni Jewellery")</f>
        <v>Karni Jewellery</v>
      </c>
      <c r="E339" s="21" t="str">
        <f aca="false">IF(Variants!$B340="","","Apparel &amp; Accessories &gt; Jewelry")</f>
        <v>Apparel &amp; Accessories &gt; Jewelry</v>
      </c>
      <c r="F339" s="21" t="str">
        <f aca="false">IF(Variants!$D340="","",Variants!$D340)</f>
        <v>Ring</v>
      </c>
      <c r="G339" s="21" t="str">
        <f aca="false">IF(Variants!$E340="","",Variants!$E340&amp;", Armenian jewellery, handmade")</f>
        <v>Van, Armenian jewellery, handmade</v>
      </c>
      <c r="H339" s="21" t="str">
        <f aca="false">IF(Variants!$AD340="Active","TRUE","FALSE")</f>
        <v>TRUE</v>
      </c>
      <c r="I339" s="21" t="str">
        <f aca="false">IF(Variants!$H340="","","Color")</f>
        <v>Color</v>
      </c>
      <c r="J339" s="21" t="str">
        <f aca="false">IF(Variants!$H340="","",Variants!$H340)</f>
        <v>blue</v>
      </c>
      <c r="K339" s="21" t="str">
        <f aca="false">IF(Variants!$G340="","","Size")</f>
        <v>Size</v>
      </c>
      <c r="L339" s="21" t="str">
        <f aca="false">IF(Variants!$G340="","",Variants!$G340)</f>
        <v>small</v>
      </c>
      <c r="M339" s="21" t="str">
        <f aca="false">Variants!$A340</f>
        <v>KARNI-RING-VAN-S-BLUE</v>
      </c>
      <c r="N339" s="21" t="str">
        <f aca="false">IF(Variants!$X340="","",Variants!$X340)</f>
        <v/>
      </c>
      <c r="O339" s="21" t="n">
        <f aca="false">IF(Variants!$O340="","",Variants!$O340)</f>
        <v>0</v>
      </c>
      <c r="P339" s="18" t="n">
        <f aca="false">IF(Variants!$J340="","",Variants!$J340)</f>
        <v>33.8</v>
      </c>
      <c r="Q339" s="21" t="str">
        <f aca="false">IF(Variants!$U340="","",Variants!$U340)</f>
        <v/>
      </c>
      <c r="R339" s="21" t="str">
        <f aca="false">IF(Variants!$Y340="","",Variants!$Y340)</f>
        <v/>
      </c>
      <c r="S339" s="21" t="n">
        <f aca="false">IFERROR(VLOOKUP(Variants!$B340,Designs!$A$3:$AP$165,37,FALSE()),"")</f>
        <v>0</v>
      </c>
      <c r="T339" s="21" t="str">
        <f aca="false">IFERROR(VLOOKUP(Variants!$B340,Designs!$A$3:$AP$165,38,FALSE()),"")</f>
        <v>No</v>
      </c>
      <c r="U339" s="21" t="str">
        <f aca="false">IF(Variants!$AD340="Active","active","draft")</f>
        <v>active</v>
      </c>
    </row>
    <row r="340" customFormat="false" ht="15.75" hidden="false" customHeight="true" outlineLevel="0" collapsed="false">
      <c r="A340" s="21" t="str">
        <f aca="false">IF(Variants!$B341="","",LOWER(Variants!$B341))</f>
        <v>dsgn-ring-van-s</v>
      </c>
      <c r="B340" s="21" t="str">
        <f aca="false">IF(Variants!$B341="","",Variants!$C341&amp;IF(Variants!$F341="",""," "&amp;Variants!$F341))</f>
        <v>Van Ring</v>
      </c>
      <c r="C340" s="21" t="str">
        <f aca="false">IFERROR(IF(Variants!$B341="","","&lt;p&gt;"&amp;VLOOKUP(Variants!$B341,Designs!$A$3:$AP$165,9,FALSE())&amp;"&lt;/p&gt;"),"")</f>
        <v>&lt;p&gt;Motifs from the Van/Vaspurakan region, echoing the ornament of the Lake Van heartland of historic Armenia.&lt;/p&gt;</v>
      </c>
      <c r="D340" s="21" t="str">
        <f aca="false">IF(Variants!$B341="","","Karni Jewellery")</f>
        <v>Karni Jewellery</v>
      </c>
      <c r="E340" s="21" t="str">
        <f aca="false">IF(Variants!$B341="","","Apparel &amp; Accessories &gt; Jewelry")</f>
        <v>Apparel &amp; Accessories &gt; Jewelry</v>
      </c>
      <c r="F340" s="21" t="str">
        <f aca="false">IF(Variants!$D341="","",Variants!$D341)</f>
        <v>Ring</v>
      </c>
      <c r="G340" s="21" t="str">
        <f aca="false">IF(Variants!$E341="","",Variants!$E341&amp;", Armenian jewellery, handmade")</f>
        <v>Van, Armenian jewellery, handmade</v>
      </c>
      <c r="H340" s="21" t="str">
        <f aca="false">IF(Variants!$AD341="Active","TRUE","FALSE")</f>
        <v>TRUE</v>
      </c>
      <c r="I340" s="21" t="str">
        <f aca="false">IF(Variants!$H341="","","Color")</f>
        <v>Color</v>
      </c>
      <c r="J340" s="21" t="str">
        <f aca="false">IF(Variants!$H341="","",Variants!$H341)</f>
        <v>white</v>
      </c>
      <c r="K340" s="21" t="str">
        <f aca="false">IF(Variants!$G341="","","Size")</f>
        <v>Size</v>
      </c>
      <c r="L340" s="21" t="str">
        <f aca="false">IF(Variants!$G341="","",Variants!$G341)</f>
        <v>small</v>
      </c>
      <c r="M340" s="21" t="str">
        <f aca="false">Variants!$A341</f>
        <v>KARNI-RING-VAN-S-WHITE</v>
      </c>
      <c r="N340" s="21" t="str">
        <f aca="false">IF(Variants!$X341="","",Variants!$X341)</f>
        <v/>
      </c>
      <c r="O340" s="21" t="n">
        <f aca="false">IF(Variants!$O341="","",Variants!$O341)</f>
        <v>0</v>
      </c>
      <c r="P340" s="18" t="n">
        <f aca="false">IF(Variants!$J341="","",Variants!$J341)</f>
        <v>33.8</v>
      </c>
      <c r="Q340" s="21" t="str">
        <f aca="false">IF(Variants!$U341="","",Variants!$U341)</f>
        <v/>
      </c>
      <c r="R340" s="21" t="str">
        <f aca="false">IF(Variants!$Y341="","",Variants!$Y341)</f>
        <v/>
      </c>
      <c r="S340" s="21" t="n">
        <f aca="false">IFERROR(VLOOKUP(Variants!$B341,Designs!$A$3:$AP$165,37,FALSE()),"")</f>
        <v>0</v>
      </c>
      <c r="T340" s="21" t="str">
        <f aca="false">IFERROR(VLOOKUP(Variants!$B341,Designs!$A$3:$AP$165,38,FALSE()),"")</f>
        <v>No</v>
      </c>
      <c r="U340" s="21" t="str">
        <f aca="false">IF(Variants!$AD341="Active","active","draft")</f>
        <v>active</v>
      </c>
    </row>
    <row r="341" customFormat="false" ht="15.75" hidden="false" customHeight="true" outlineLevel="0" collapsed="false">
      <c r="A341" s="21" t="str">
        <f aca="false">IF(Variants!$B342="","",LOWER(Variants!$B342))</f>
        <v>dsgn-ring-van-s</v>
      </c>
      <c r="B341" s="21" t="str">
        <f aca="false">IF(Variants!$B342="","",Variants!$C342&amp;IF(Variants!$F342="",""," "&amp;Variants!$F342))</f>
        <v>Van Ring</v>
      </c>
      <c r="C341" s="21" t="str">
        <f aca="false">IFERROR(IF(Variants!$B342="","","&lt;p&gt;"&amp;VLOOKUP(Variants!$B342,Designs!$A$3:$AP$165,9,FALSE())&amp;"&lt;/p&gt;"),"")</f>
        <v>&lt;p&gt;Motifs from the Van/Vaspurakan region, echoing the ornament of the Lake Van heartland of historic Armenia.&lt;/p&gt;</v>
      </c>
      <c r="D341" s="21" t="str">
        <f aca="false">IF(Variants!$B342="","","Karni Jewellery")</f>
        <v>Karni Jewellery</v>
      </c>
      <c r="E341" s="21" t="str">
        <f aca="false">IF(Variants!$B342="","","Apparel &amp; Accessories &gt; Jewelry")</f>
        <v>Apparel &amp; Accessories &gt; Jewelry</v>
      </c>
      <c r="F341" s="21" t="str">
        <f aca="false">IF(Variants!$D342="","",Variants!$D342)</f>
        <v>Ring</v>
      </c>
      <c r="G341" s="21" t="str">
        <f aca="false">IF(Variants!$E342="","",Variants!$E342&amp;", Armenian jewellery, handmade")</f>
        <v>Van, Armenian jewellery, handmade</v>
      </c>
      <c r="H341" s="21" t="str">
        <f aca="false">IF(Variants!$AD342="Active","TRUE","FALSE")</f>
        <v>TRUE</v>
      </c>
      <c r="I341" s="21" t="str">
        <f aca="false">IF(Variants!$H342="","","Color")</f>
        <v>Color</v>
      </c>
      <c r="J341" s="21" t="str">
        <f aca="false">IF(Variants!$H342="","",Variants!$H342)</f>
        <v>bordeaux</v>
      </c>
      <c r="K341" s="21" t="str">
        <f aca="false">IF(Variants!$G342="","","Size")</f>
        <v>Size</v>
      </c>
      <c r="L341" s="21" t="str">
        <f aca="false">IF(Variants!$G342="","",Variants!$G342)</f>
        <v>small</v>
      </c>
      <c r="M341" s="21" t="str">
        <f aca="false">Variants!$A342</f>
        <v>KARNI-RING-VAN-S-BORDEAUX</v>
      </c>
      <c r="N341" s="21" t="str">
        <f aca="false">IF(Variants!$X342="","",Variants!$X342)</f>
        <v/>
      </c>
      <c r="O341" s="21" t="n">
        <f aca="false">IF(Variants!$O342="","",Variants!$O342)</f>
        <v>0</v>
      </c>
      <c r="P341" s="18" t="n">
        <f aca="false">IF(Variants!$J342="","",Variants!$J342)</f>
        <v>33.8</v>
      </c>
      <c r="Q341" s="21" t="str">
        <f aca="false">IF(Variants!$U342="","",Variants!$U342)</f>
        <v/>
      </c>
      <c r="R341" s="21" t="str">
        <f aca="false">IF(Variants!$Y342="","",Variants!$Y342)</f>
        <v/>
      </c>
      <c r="S341" s="21" t="n">
        <f aca="false">IFERROR(VLOOKUP(Variants!$B342,Designs!$A$3:$AP$165,37,FALSE()),"")</f>
        <v>0</v>
      </c>
      <c r="T341" s="21" t="str">
        <f aca="false">IFERROR(VLOOKUP(Variants!$B342,Designs!$A$3:$AP$165,38,FALSE()),"")</f>
        <v>No</v>
      </c>
      <c r="U341" s="21" t="str">
        <f aca="false">IF(Variants!$AD342="Active","active","draft")</f>
        <v>active</v>
      </c>
    </row>
    <row r="342" customFormat="false" ht="15.75" hidden="false" customHeight="true" outlineLevel="0" collapsed="false">
      <c r="A342" s="21" t="str">
        <f aca="false">IF(Variants!$B343="","",LOWER(Variants!$B343))</f>
        <v>dsgn-ring-van-s</v>
      </c>
      <c r="B342" s="21" t="str">
        <f aca="false">IF(Variants!$B343="","",Variants!$C343&amp;IF(Variants!$F343="",""," "&amp;Variants!$F343))</f>
        <v>Van Ring</v>
      </c>
      <c r="C342" s="21" t="str">
        <f aca="false">IFERROR(IF(Variants!$B343="","","&lt;p&gt;"&amp;VLOOKUP(Variants!$B343,Designs!$A$3:$AP$165,9,FALSE())&amp;"&lt;/p&gt;"),"")</f>
        <v>&lt;p&gt;Motifs from the Van/Vaspurakan region, echoing the ornament of the Lake Van heartland of historic Armenia.&lt;/p&gt;</v>
      </c>
      <c r="D342" s="21" t="str">
        <f aca="false">IF(Variants!$B343="","","Karni Jewellery")</f>
        <v>Karni Jewellery</v>
      </c>
      <c r="E342" s="21" t="str">
        <f aca="false">IF(Variants!$B343="","","Apparel &amp; Accessories &gt; Jewelry")</f>
        <v>Apparel &amp; Accessories &gt; Jewelry</v>
      </c>
      <c r="F342" s="21" t="str">
        <f aca="false">IF(Variants!$D343="","",Variants!$D343)</f>
        <v>Ring</v>
      </c>
      <c r="G342" s="21" t="str">
        <f aca="false">IF(Variants!$E343="","",Variants!$E343&amp;", Armenian jewellery, handmade")</f>
        <v>Van, Armenian jewellery, handmade</v>
      </c>
      <c r="H342" s="21" t="str">
        <f aca="false">IF(Variants!$AD343="Active","TRUE","FALSE")</f>
        <v>TRUE</v>
      </c>
      <c r="I342" s="21" t="str">
        <f aca="false">IF(Variants!$H343="","","Color")</f>
        <v>Color</v>
      </c>
      <c r="J342" s="21" t="str">
        <f aca="false">IF(Variants!$H343="","",Variants!$H343)</f>
        <v>turquoise</v>
      </c>
      <c r="K342" s="21" t="str">
        <f aca="false">IF(Variants!$G343="","","Size")</f>
        <v>Size</v>
      </c>
      <c r="L342" s="21" t="str">
        <f aca="false">IF(Variants!$G343="","",Variants!$G343)</f>
        <v>small</v>
      </c>
      <c r="M342" s="21" t="str">
        <f aca="false">Variants!$A343</f>
        <v>KARNI-RING-VAN-S-TURQUOISE</v>
      </c>
      <c r="N342" s="21" t="str">
        <f aca="false">IF(Variants!$X343="","",Variants!$X343)</f>
        <v/>
      </c>
      <c r="O342" s="21" t="n">
        <f aca="false">IF(Variants!$O343="","",Variants!$O343)</f>
        <v>0</v>
      </c>
      <c r="P342" s="18" t="n">
        <f aca="false">IF(Variants!$J343="","",Variants!$J343)</f>
        <v>33.8</v>
      </c>
      <c r="Q342" s="21" t="str">
        <f aca="false">IF(Variants!$U343="","",Variants!$U343)</f>
        <v/>
      </c>
      <c r="R342" s="21" t="str">
        <f aca="false">IF(Variants!$Y343="","",Variants!$Y343)</f>
        <v/>
      </c>
      <c r="S342" s="21" t="n">
        <f aca="false">IFERROR(VLOOKUP(Variants!$B343,Designs!$A$3:$AP$165,37,FALSE()),"")</f>
        <v>0</v>
      </c>
      <c r="T342" s="21" t="str">
        <f aca="false">IFERROR(VLOOKUP(Variants!$B343,Designs!$A$3:$AP$165,38,FALSE()),"")</f>
        <v>No</v>
      </c>
      <c r="U342" s="21" t="str">
        <f aca="false">IF(Variants!$AD343="Active","active","draft")</f>
        <v>active</v>
      </c>
    </row>
    <row r="343" customFormat="false" ht="15.75" hidden="false" customHeight="true" outlineLevel="0" collapsed="false">
      <c r="A343" s="21" t="str">
        <f aca="false">IF(Variants!$B344="","",LOWER(Variants!$B344))</f>
        <v>dsgn-ring-van-s</v>
      </c>
      <c r="B343" s="21" t="str">
        <f aca="false">IF(Variants!$B344="","",Variants!$C344&amp;IF(Variants!$F344="",""," "&amp;Variants!$F344))</f>
        <v>Van Ring</v>
      </c>
      <c r="C343" s="21" t="str">
        <f aca="false">IFERROR(IF(Variants!$B344="","","&lt;p&gt;"&amp;VLOOKUP(Variants!$B344,Designs!$A$3:$AP$165,9,FALSE())&amp;"&lt;/p&gt;"),"")</f>
        <v>&lt;p&gt;Motifs from the Van/Vaspurakan region, echoing the ornament of the Lake Van heartland of historic Armenia.&lt;/p&gt;</v>
      </c>
      <c r="D343" s="21" t="str">
        <f aca="false">IF(Variants!$B344="","","Karni Jewellery")</f>
        <v>Karni Jewellery</v>
      </c>
      <c r="E343" s="21" t="str">
        <f aca="false">IF(Variants!$B344="","","Apparel &amp; Accessories &gt; Jewelry")</f>
        <v>Apparel &amp; Accessories &gt; Jewelry</v>
      </c>
      <c r="F343" s="21" t="str">
        <f aca="false">IF(Variants!$D344="","",Variants!$D344)</f>
        <v>Ring</v>
      </c>
      <c r="G343" s="21" t="str">
        <f aca="false">IF(Variants!$E344="","",Variants!$E344&amp;", Armenian jewellery, handmade")</f>
        <v>Van, Armenian jewellery, handmade</v>
      </c>
      <c r="H343" s="21" t="str">
        <f aca="false">IF(Variants!$AD344="Active","TRUE","FALSE")</f>
        <v>TRUE</v>
      </c>
      <c r="I343" s="21" t="str">
        <f aca="false">IF(Variants!$H344="","","Color")</f>
        <v>Color</v>
      </c>
      <c r="J343" s="21" t="str">
        <f aca="false">IF(Variants!$H344="","",Variants!$H344)</f>
        <v>green</v>
      </c>
      <c r="K343" s="21" t="str">
        <f aca="false">IF(Variants!$G344="","","Size")</f>
        <v>Size</v>
      </c>
      <c r="L343" s="21" t="str">
        <f aca="false">IF(Variants!$G344="","",Variants!$G344)</f>
        <v>small</v>
      </c>
      <c r="M343" s="21" t="str">
        <f aca="false">Variants!$A344</f>
        <v>KARNI-RING-VAN-S-GREEN</v>
      </c>
      <c r="N343" s="21" t="str">
        <f aca="false">IF(Variants!$X344="","",Variants!$X344)</f>
        <v/>
      </c>
      <c r="O343" s="21" t="n">
        <f aca="false">IF(Variants!$O344="","",Variants!$O344)</f>
        <v>0</v>
      </c>
      <c r="P343" s="18" t="n">
        <f aca="false">IF(Variants!$J344="","",Variants!$J344)</f>
        <v>33.8</v>
      </c>
      <c r="Q343" s="21" t="str">
        <f aca="false">IF(Variants!$U344="","",Variants!$U344)</f>
        <v/>
      </c>
      <c r="R343" s="21" t="str">
        <f aca="false">IF(Variants!$Y344="","",Variants!$Y344)</f>
        <v/>
      </c>
      <c r="S343" s="21" t="n">
        <f aca="false">IFERROR(VLOOKUP(Variants!$B344,Designs!$A$3:$AP$165,37,FALSE()),"")</f>
        <v>0</v>
      </c>
      <c r="T343" s="21" t="str">
        <f aca="false">IFERROR(VLOOKUP(Variants!$B344,Designs!$A$3:$AP$165,38,FALSE()),"")</f>
        <v>No</v>
      </c>
      <c r="U343" s="21" t="str">
        <f aca="false">IF(Variants!$AD344="Active","active","draft")</f>
        <v>active</v>
      </c>
    </row>
    <row r="344" customFormat="false" ht="15.75" hidden="false" customHeight="true" outlineLevel="0" collapsed="false">
      <c r="A344" s="21" t="str">
        <f aca="false">IF(Variants!$B345="","",LOWER(Variants!$B345))</f>
        <v>dsgn-ring-vishabarevagorg-s</v>
      </c>
      <c r="B344" s="21" t="str">
        <f aca="false">IF(Variants!$B345="","",Variants!$C345&amp;IF(Variants!$F345="",""," "&amp;Variants!$F345))</f>
        <v>Արեւագորգի Վիշապ</v>
      </c>
      <c r="C344" s="21" t="str">
        <f aca="false">IFERROR(IF(Variants!$B345="","","&lt;p&gt;"&amp;VLOOKUP(Variants!$B345,Designs!$A$3:$AP$165,9,FALSE())&amp;"&lt;/p&gt;"),"")</f>
        <v>&lt;p&gt;Combines the vishap (dragon) motif with the arevagorg (sun-carpet) — an Armenian solar ornament symbolising life and eternity.&lt;/p&gt;</v>
      </c>
      <c r="D344" s="21" t="str">
        <f aca="false">IF(Variants!$B345="","","Karni Jewellery")</f>
        <v>Karni Jewellery</v>
      </c>
      <c r="E344" s="21" t="str">
        <f aca="false">IF(Variants!$B345="","","Apparel &amp; Accessories &gt; Jewelry")</f>
        <v>Apparel &amp; Accessories &gt; Jewelry</v>
      </c>
      <c r="F344" s="21" t="str">
        <f aca="false">IF(Variants!$D345="","",Variants!$D345)</f>
        <v>Ring</v>
      </c>
      <c r="G344" s="21" t="str">
        <f aca="false">IF(Variants!$E345="","",Variants!$E345&amp;", Armenian jewellery, handmade")</f>
        <v>Vishab Arevagorg, Armenian jewellery, handmade</v>
      </c>
      <c r="H344" s="21" t="str">
        <f aca="false">IF(Variants!$AD345="Active","TRUE","FALSE")</f>
        <v>TRUE</v>
      </c>
      <c r="I344" s="21" t="str">
        <f aca="false">IF(Variants!$H345="","","Color")</f>
        <v>Color</v>
      </c>
      <c r="J344" s="21" t="str">
        <f aca="false">IF(Variants!$H345="","",Variants!$H345)</f>
        <v>blue</v>
      </c>
      <c r="K344" s="21" t="str">
        <f aca="false">IF(Variants!$G345="","","Size")</f>
        <v>Size</v>
      </c>
      <c r="L344" s="21" t="str">
        <f aca="false">IF(Variants!$G345="","",Variants!$G345)</f>
        <v>small</v>
      </c>
      <c r="M344" s="21" t="str">
        <f aca="false">Variants!$A345</f>
        <v>KARNI-RING-VISHABAREVAGORG-S-BLUE</v>
      </c>
      <c r="N344" s="21" t="str">
        <f aca="false">IF(Variants!$X345="","",Variants!$X345)</f>
        <v/>
      </c>
      <c r="O344" s="21" t="n">
        <f aca="false">IF(Variants!$O345="","",Variants!$O345)</f>
        <v>0</v>
      </c>
      <c r="P344" s="18" t="n">
        <f aca="false">IF(Variants!$J345="","",Variants!$J345)</f>
        <v>33.8</v>
      </c>
      <c r="Q344" s="21" t="str">
        <f aca="false">IF(Variants!$U345="","",Variants!$U345)</f>
        <v/>
      </c>
      <c r="R344" s="21" t="str">
        <f aca="false">IF(Variants!$Y345="","",Variants!$Y345)</f>
        <v/>
      </c>
      <c r="S344" s="21" t="n">
        <f aca="false">IFERROR(VLOOKUP(Variants!$B345,Designs!$A$3:$AP$165,37,FALSE()),"")</f>
        <v>0</v>
      </c>
      <c r="T344" s="21" t="str">
        <f aca="false">IFERROR(VLOOKUP(Variants!$B345,Designs!$A$3:$AP$165,38,FALSE()),"")</f>
        <v>No</v>
      </c>
      <c r="U344" s="21" t="str">
        <f aca="false">IF(Variants!$AD345="Active","active","draft")</f>
        <v>active</v>
      </c>
    </row>
    <row r="345" customFormat="false" ht="15.75" hidden="false" customHeight="true" outlineLevel="0" collapsed="false">
      <c r="A345" s="21" t="str">
        <f aca="false">IF(Variants!$B346="","",LOWER(Variants!$B346))</f>
        <v>dsgn-ring-vishabarevagorg-s</v>
      </c>
      <c r="B345" s="21" t="str">
        <f aca="false">IF(Variants!$B346="","",Variants!$C346&amp;IF(Variants!$F346="",""," "&amp;Variants!$F346))</f>
        <v>Արեւագորգի Վիշապ</v>
      </c>
      <c r="C345" s="21" t="str">
        <f aca="false">IFERROR(IF(Variants!$B346="","","&lt;p&gt;"&amp;VLOOKUP(Variants!$B346,Designs!$A$3:$AP$165,9,FALSE())&amp;"&lt;/p&gt;"),"")</f>
        <v>&lt;p&gt;Combines the vishap (dragon) motif with the arevagorg (sun-carpet) — an Armenian solar ornament symbolising life and eternity.&lt;/p&gt;</v>
      </c>
      <c r="D345" s="21" t="str">
        <f aca="false">IF(Variants!$B346="","","Karni Jewellery")</f>
        <v>Karni Jewellery</v>
      </c>
      <c r="E345" s="21" t="str">
        <f aca="false">IF(Variants!$B346="","","Apparel &amp; Accessories &gt; Jewelry")</f>
        <v>Apparel &amp; Accessories &gt; Jewelry</v>
      </c>
      <c r="F345" s="21" t="str">
        <f aca="false">IF(Variants!$D346="","",Variants!$D346)</f>
        <v>Ring</v>
      </c>
      <c r="G345" s="21" t="str">
        <f aca="false">IF(Variants!$E346="","",Variants!$E346&amp;", Armenian jewellery, handmade")</f>
        <v>Vishab Arevagorg, Armenian jewellery, handmade</v>
      </c>
      <c r="H345" s="21" t="str">
        <f aca="false">IF(Variants!$AD346="Active","TRUE","FALSE")</f>
        <v>TRUE</v>
      </c>
      <c r="I345" s="21" t="str">
        <f aca="false">IF(Variants!$H346="","","Color")</f>
        <v>Color</v>
      </c>
      <c r="J345" s="21" t="str">
        <f aca="false">IF(Variants!$H346="","",Variants!$H346)</f>
        <v>white</v>
      </c>
      <c r="K345" s="21" t="str">
        <f aca="false">IF(Variants!$G346="","","Size")</f>
        <v>Size</v>
      </c>
      <c r="L345" s="21" t="str">
        <f aca="false">IF(Variants!$G346="","",Variants!$G346)</f>
        <v>small</v>
      </c>
      <c r="M345" s="21" t="str">
        <f aca="false">Variants!$A346</f>
        <v>KARNI-RING-VISHABAREVAGORG-S-WHITE</v>
      </c>
      <c r="N345" s="21" t="str">
        <f aca="false">IF(Variants!$X346="","",Variants!$X346)</f>
        <v/>
      </c>
      <c r="O345" s="21" t="n">
        <f aca="false">IF(Variants!$O346="","",Variants!$O346)</f>
        <v>0</v>
      </c>
      <c r="P345" s="18" t="n">
        <f aca="false">IF(Variants!$J346="","",Variants!$J346)</f>
        <v>33.8</v>
      </c>
      <c r="Q345" s="21" t="str">
        <f aca="false">IF(Variants!$U346="","",Variants!$U346)</f>
        <v/>
      </c>
      <c r="R345" s="21" t="str">
        <f aca="false">IF(Variants!$Y346="","",Variants!$Y346)</f>
        <v/>
      </c>
      <c r="S345" s="21" t="n">
        <f aca="false">IFERROR(VLOOKUP(Variants!$B346,Designs!$A$3:$AP$165,37,FALSE()),"")</f>
        <v>0</v>
      </c>
      <c r="T345" s="21" t="str">
        <f aca="false">IFERROR(VLOOKUP(Variants!$B346,Designs!$A$3:$AP$165,38,FALSE()),"")</f>
        <v>No</v>
      </c>
      <c r="U345" s="21" t="str">
        <f aca="false">IF(Variants!$AD346="Active","active","draft")</f>
        <v>active</v>
      </c>
    </row>
    <row r="346" customFormat="false" ht="15.75" hidden="false" customHeight="true" outlineLevel="0" collapsed="false">
      <c r="A346" s="21" t="str">
        <f aca="false">IF(Variants!$B347="","",LOWER(Variants!$B347))</f>
        <v>dsgn-ring-vishabarevagorg-s</v>
      </c>
      <c r="B346" s="21" t="str">
        <f aca="false">IF(Variants!$B347="","",Variants!$C347&amp;IF(Variants!$F347="",""," "&amp;Variants!$F347))</f>
        <v>Արեւագորգի Վիշապ</v>
      </c>
      <c r="C346" s="21" t="str">
        <f aca="false">IFERROR(IF(Variants!$B347="","","&lt;p&gt;"&amp;VLOOKUP(Variants!$B347,Designs!$A$3:$AP$165,9,FALSE())&amp;"&lt;/p&gt;"),"")</f>
        <v>&lt;p&gt;Combines the vishap (dragon) motif with the arevagorg (sun-carpet) — an Armenian solar ornament symbolising life and eternity.&lt;/p&gt;</v>
      </c>
      <c r="D346" s="21" t="str">
        <f aca="false">IF(Variants!$B347="","","Karni Jewellery")</f>
        <v>Karni Jewellery</v>
      </c>
      <c r="E346" s="21" t="str">
        <f aca="false">IF(Variants!$B347="","","Apparel &amp; Accessories &gt; Jewelry")</f>
        <v>Apparel &amp; Accessories &gt; Jewelry</v>
      </c>
      <c r="F346" s="21" t="str">
        <f aca="false">IF(Variants!$D347="","",Variants!$D347)</f>
        <v>Ring</v>
      </c>
      <c r="G346" s="21" t="str">
        <f aca="false">IF(Variants!$E347="","",Variants!$E347&amp;", Armenian jewellery, handmade")</f>
        <v>Vishab Arevagorg, Armenian jewellery, handmade</v>
      </c>
      <c r="H346" s="21" t="str">
        <f aca="false">IF(Variants!$AD347="Active","TRUE","FALSE")</f>
        <v>TRUE</v>
      </c>
      <c r="I346" s="21" t="str">
        <f aca="false">IF(Variants!$H347="","","Color")</f>
        <v>Color</v>
      </c>
      <c r="J346" s="21" t="str">
        <f aca="false">IF(Variants!$H347="","",Variants!$H347)</f>
        <v>bordeaux</v>
      </c>
      <c r="K346" s="21" t="str">
        <f aca="false">IF(Variants!$G347="","","Size")</f>
        <v>Size</v>
      </c>
      <c r="L346" s="21" t="str">
        <f aca="false">IF(Variants!$G347="","",Variants!$G347)</f>
        <v>small</v>
      </c>
      <c r="M346" s="21" t="str">
        <f aca="false">Variants!$A347</f>
        <v>KARNI-RING-VISHABAREVAGORG-S-BORDEAUX</v>
      </c>
      <c r="N346" s="21" t="str">
        <f aca="false">IF(Variants!$X347="","",Variants!$X347)</f>
        <v/>
      </c>
      <c r="O346" s="21" t="n">
        <f aca="false">IF(Variants!$O347="","",Variants!$O347)</f>
        <v>0</v>
      </c>
      <c r="P346" s="18" t="n">
        <f aca="false">IF(Variants!$J347="","",Variants!$J347)</f>
        <v>33.8</v>
      </c>
      <c r="Q346" s="21" t="str">
        <f aca="false">IF(Variants!$U347="","",Variants!$U347)</f>
        <v/>
      </c>
      <c r="R346" s="21" t="str">
        <f aca="false">IF(Variants!$Y347="","",Variants!$Y347)</f>
        <v/>
      </c>
      <c r="S346" s="21" t="n">
        <f aca="false">IFERROR(VLOOKUP(Variants!$B347,Designs!$A$3:$AP$165,37,FALSE()),"")</f>
        <v>0</v>
      </c>
      <c r="T346" s="21" t="str">
        <f aca="false">IFERROR(VLOOKUP(Variants!$B347,Designs!$A$3:$AP$165,38,FALSE()),"")</f>
        <v>No</v>
      </c>
      <c r="U346" s="21" t="str">
        <f aca="false">IF(Variants!$AD347="Active","active","draft")</f>
        <v>active</v>
      </c>
    </row>
    <row r="347" customFormat="false" ht="15.75" hidden="false" customHeight="true" outlineLevel="0" collapsed="false">
      <c r="A347" s="21" t="str">
        <f aca="false">IF(Variants!$B348="","",LOWER(Variants!$B348))</f>
        <v>dsgn-ring-vishabarevagorg-s</v>
      </c>
      <c r="B347" s="21" t="str">
        <f aca="false">IF(Variants!$B348="","",Variants!$C348&amp;IF(Variants!$F348="",""," "&amp;Variants!$F348))</f>
        <v>Արեւագորգի Վիշապ</v>
      </c>
      <c r="C347" s="21" t="str">
        <f aca="false">IFERROR(IF(Variants!$B348="","","&lt;p&gt;"&amp;VLOOKUP(Variants!$B348,Designs!$A$3:$AP$165,9,FALSE())&amp;"&lt;/p&gt;"),"")</f>
        <v>&lt;p&gt;Combines the vishap (dragon) motif with the arevagorg (sun-carpet) — an Armenian solar ornament symbolising life and eternity.&lt;/p&gt;</v>
      </c>
      <c r="D347" s="21" t="str">
        <f aca="false">IF(Variants!$B348="","","Karni Jewellery")</f>
        <v>Karni Jewellery</v>
      </c>
      <c r="E347" s="21" t="str">
        <f aca="false">IF(Variants!$B348="","","Apparel &amp; Accessories &gt; Jewelry")</f>
        <v>Apparel &amp; Accessories &gt; Jewelry</v>
      </c>
      <c r="F347" s="21" t="str">
        <f aca="false">IF(Variants!$D348="","",Variants!$D348)</f>
        <v>Ring</v>
      </c>
      <c r="G347" s="21" t="str">
        <f aca="false">IF(Variants!$E348="","",Variants!$E348&amp;", Armenian jewellery, handmade")</f>
        <v>Vishab Arevagorg, Armenian jewellery, handmade</v>
      </c>
      <c r="H347" s="21" t="str">
        <f aca="false">IF(Variants!$AD348="Active","TRUE","FALSE")</f>
        <v>TRUE</v>
      </c>
      <c r="I347" s="21" t="str">
        <f aca="false">IF(Variants!$H348="","","Color")</f>
        <v>Color</v>
      </c>
      <c r="J347" s="21" t="str">
        <f aca="false">IF(Variants!$H348="","",Variants!$H348)</f>
        <v>turquoise</v>
      </c>
      <c r="K347" s="21" t="str">
        <f aca="false">IF(Variants!$G348="","","Size")</f>
        <v>Size</v>
      </c>
      <c r="L347" s="21" t="str">
        <f aca="false">IF(Variants!$G348="","",Variants!$G348)</f>
        <v>small</v>
      </c>
      <c r="M347" s="21" t="str">
        <f aca="false">Variants!$A348</f>
        <v>KARNI-RING-VISHABAREVAGORG-S-TURQUOISE</v>
      </c>
      <c r="N347" s="21" t="str">
        <f aca="false">IF(Variants!$X348="","",Variants!$X348)</f>
        <v/>
      </c>
      <c r="O347" s="21" t="n">
        <f aca="false">IF(Variants!$O348="","",Variants!$O348)</f>
        <v>0</v>
      </c>
      <c r="P347" s="18" t="n">
        <f aca="false">IF(Variants!$J348="","",Variants!$J348)</f>
        <v>33.8</v>
      </c>
      <c r="Q347" s="21" t="str">
        <f aca="false">IF(Variants!$U348="","",Variants!$U348)</f>
        <v/>
      </c>
      <c r="R347" s="21" t="str">
        <f aca="false">IF(Variants!$Y348="","",Variants!$Y348)</f>
        <v/>
      </c>
      <c r="S347" s="21" t="n">
        <f aca="false">IFERROR(VLOOKUP(Variants!$B348,Designs!$A$3:$AP$165,37,FALSE()),"")</f>
        <v>0</v>
      </c>
      <c r="T347" s="21" t="str">
        <f aca="false">IFERROR(VLOOKUP(Variants!$B348,Designs!$A$3:$AP$165,38,FALSE()),"")</f>
        <v>No</v>
      </c>
      <c r="U347" s="21" t="str">
        <f aca="false">IF(Variants!$AD348="Active","active","draft")</f>
        <v>active</v>
      </c>
    </row>
    <row r="348" customFormat="false" ht="15.75" hidden="false" customHeight="true" outlineLevel="0" collapsed="false">
      <c r="A348" s="21" t="str">
        <f aca="false">IF(Variants!$B349="","",LOWER(Variants!$B349))</f>
        <v>dsgn-ring-vishabarevagorg-s</v>
      </c>
      <c r="B348" s="21" t="str">
        <f aca="false">IF(Variants!$B349="","",Variants!$C349&amp;IF(Variants!$F349="",""," "&amp;Variants!$F349))</f>
        <v>Արեւագորգի Վիշապ</v>
      </c>
      <c r="C348" s="21" t="str">
        <f aca="false">IFERROR(IF(Variants!$B349="","","&lt;p&gt;"&amp;VLOOKUP(Variants!$B349,Designs!$A$3:$AP$165,9,FALSE())&amp;"&lt;/p&gt;"),"")</f>
        <v>&lt;p&gt;Combines the vishap (dragon) motif with the arevagorg (sun-carpet) — an Armenian solar ornament symbolising life and eternity.&lt;/p&gt;</v>
      </c>
      <c r="D348" s="21" t="str">
        <f aca="false">IF(Variants!$B349="","","Karni Jewellery")</f>
        <v>Karni Jewellery</v>
      </c>
      <c r="E348" s="21" t="str">
        <f aca="false">IF(Variants!$B349="","","Apparel &amp; Accessories &gt; Jewelry")</f>
        <v>Apparel &amp; Accessories &gt; Jewelry</v>
      </c>
      <c r="F348" s="21" t="str">
        <f aca="false">IF(Variants!$D349="","",Variants!$D349)</f>
        <v>Ring</v>
      </c>
      <c r="G348" s="21" t="str">
        <f aca="false">IF(Variants!$E349="","",Variants!$E349&amp;", Armenian jewellery, handmade")</f>
        <v>Vishab Arevagorg, Armenian jewellery, handmade</v>
      </c>
      <c r="H348" s="21" t="str">
        <f aca="false">IF(Variants!$AD349="Active","TRUE","FALSE")</f>
        <v>TRUE</v>
      </c>
      <c r="I348" s="21" t="str">
        <f aca="false">IF(Variants!$H349="","","Color")</f>
        <v>Color</v>
      </c>
      <c r="J348" s="21" t="str">
        <f aca="false">IF(Variants!$H349="","",Variants!$H349)</f>
        <v>green</v>
      </c>
      <c r="K348" s="21" t="str">
        <f aca="false">IF(Variants!$G349="","","Size")</f>
        <v>Size</v>
      </c>
      <c r="L348" s="21" t="str">
        <f aca="false">IF(Variants!$G349="","",Variants!$G349)</f>
        <v>small</v>
      </c>
      <c r="M348" s="21" t="str">
        <f aca="false">Variants!$A349</f>
        <v>KARNI-RING-VISHABAREVAGORG-S-GREEN</v>
      </c>
      <c r="N348" s="21" t="str">
        <f aca="false">IF(Variants!$X349="","",Variants!$X349)</f>
        <v/>
      </c>
      <c r="O348" s="21" t="n">
        <f aca="false">IF(Variants!$O349="","",Variants!$O349)</f>
        <v>0</v>
      </c>
      <c r="P348" s="18" t="n">
        <f aca="false">IF(Variants!$J349="","",Variants!$J349)</f>
        <v>33.8</v>
      </c>
      <c r="Q348" s="21" t="str">
        <f aca="false">IF(Variants!$U349="","",Variants!$U349)</f>
        <v/>
      </c>
      <c r="R348" s="21" t="str">
        <f aca="false">IF(Variants!$Y349="","",Variants!$Y349)</f>
        <v/>
      </c>
      <c r="S348" s="21" t="n">
        <f aca="false">IFERROR(VLOOKUP(Variants!$B349,Designs!$A$3:$AP$165,37,FALSE()),"")</f>
        <v>0</v>
      </c>
      <c r="T348" s="21" t="str">
        <f aca="false">IFERROR(VLOOKUP(Variants!$B349,Designs!$A$3:$AP$165,38,FALSE()),"")</f>
        <v>No</v>
      </c>
      <c r="U348" s="21" t="str">
        <f aca="false">IF(Variants!$AD349="Active","active","draft")</f>
        <v>active</v>
      </c>
    </row>
    <row r="349" customFormat="false" ht="15.75" hidden="false" customHeight="true" outlineLevel="0" collapsed="false">
      <c r="A349" s="21" t="str">
        <f aca="false">IF(Variants!$B350="","",LOWER(Variants!$B350))</f>
        <v>dsgn-ring-vishab-s</v>
      </c>
      <c r="B349" s="21" t="str">
        <f aca="false">IF(Variants!$B350="","",Variants!$C350&amp;IF(Variants!$F350="",""," "&amp;Variants!$F350))</f>
        <v>Vishab Ring</v>
      </c>
      <c r="C349" s="21" t="str">
        <f aca="false">IFERROR(IF(Variants!$B350="","","&lt;p&gt;"&amp;VLOOKUP(Variants!$B350,Designs!$A$3:$AP$165,9,FALSE())&amp;"&lt;/p&gt;"),"")</f>
        <v>&lt;p&gt;Vishaps are ancient Armenian dragon-stones (vishapakar) found in the highlands, among the oldest carved monuments in the region.&lt;/p&gt;</v>
      </c>
      <c r="D349" s="21" t="str">
        <f aca="false">IF(Variants!$B350="","","Karni Jewellery")</f>
        <v>Karni Jewellery</v>
      </c>
      <c r="E349" s="21" t="str">
        <f aca="false">IF(Variants!$B350="","","Apparel &amp; Accessories &gt; Jewelry")</f>
        <v>Apparel &amp; Accessories &gt; Jewelry</v>
      </c>
      <c r="F349" s="21" t="str">
        <f aca="false">IF(Variants!$D350="","",Variants!$D350)</f>
        <v>Ring</v>
      </c>
      <c r="G349" s="21" t="str">
        <f aca="false">IF(Variants!$E350="","",Variants!$E350&amp;", Armenian jewellery, handmade")</f>
        <v>Vishab, Armenian jewellery, handmade</v>
      </c>
      <c r="H349" s="21" t="str">
        <f aca="false">IF(Variants!$AD350="Active","TRUE","FALSE")</f>
        <v>TRUE</v>
      </c>
      <c r="I349" s="21" t="str">
        <f aca="false">IF(Variants!$H350="","","Color")</f>
        <v>Color</v>
      </c>
      <c r="J349" s="21" t="str">
        <f aca="false">IF(Variants!$H350="","",Variants!$H350)</f>
        <v>blue</v>
      </c>
      <c r="K349" s="21" t="str">
        <f aca="false">IF(Variants!$G350="","","Size")</f>
        <v>Size</v>
      </c>
      <c r="L349" s="21" t="str">
        <f aca="false">IF(Variants!$G350="","",Variants!$G350)</f>
        <v>small</v>
      </c>
      <c r="M349" s="21" t="str">
        <f aca="false">Variants!$A350</f>
        <v>KARNI-RING-VISHAB-S-BLUE</v>
      </c>
      <c r="N349" s="21" t="str">
        <f aca="false">IF(Variants!$X350="","",Variants!$X350)</f>
        <v/>
      </c>
      <c r="O349" s="21" t="n">
        <f aca="false">IF(Variants!$O350="","",Variants!$O350)</f>
        <v>0</v>
      </c>
      <c r="P349" s="18" t="n">
        <f aca="false">IF(Variants!$J350="","",Variants!$J350)</f>
        <v>33.8</v>
      </c>
      <c r="Q349" s="21" t="str">
        <f aca="false">IF(Variants!$U350="","",Variants!$U350)</f>
        <v/>
      </c>
      <c r="R349" s="21" t="str">
        <f aca="false">IF(Variants!$Y350="","",Variants!$Y350)</f>
        <v/>
      </c>
      <c r="S349" s="21" t="n">
        <f aca="false">IFERROR(VLOOKUP(Variants!$B350,Designs!$A$3:$AP$165,37,FALSE()),"")</f>
        <v>0</v>
      </c>
      <c r="T349" s="21" t="str">
        <f aca="false">IFERROR(VLOOKUP(Variants!$B350,Designs!$A$3:$AP$165,38,FALSE()),"")</f>
        <v>No</v>
      </c>
      <c r="U349" s="21" t="str">
        <f aca="false">IF(Variants!$AD350="Active","active","draft")</f>
        <v>active</v>
      </c>
    </row>
    <row r="350" customFormat="false" ht="15.75" hidden="false" customHeight="true" outlineLevel="0" collapsed="false">
      <c r="A350" s="21" t="str">
        <f aca="false">IF(Variants!$B351="","",LOWER(Variants!$B351))</f>
        <v>dsgn-ring-vishab-s</v>
      </c>
      <c r="B350" s="21" t="str">
        <f aca="false">IF(Variants!$B351="","",Variants!$C351&amp;IF(Variants!$F351="",""," "&amp;Variants!$F351))</f>
        <v>Vishab Ring</v>
      </c>
      <c r="C350" s="21" t="str">
        <f aca="false">IFERROR(IF(Variants!$B351="","","&lt;p&gt;"&amp;VLOOKUP(Variants!$B351,Designs!$A$3:$AP$165,9,FALSE())&amp;"&lt;/p&gt;"),"")</f>
        <v>&lt;p&gt;Vishaps are ancient Armenian dragon-stones (vishapakar) found in the highlands, among the oldest carved monuments in the region.&lt;/p&gt;</v>
      </c>
      <c r="D350" s="21" t="str">
        <f aca="false">IF(Variants!$B351="","","Karni Jewellery")</f>
        <v>Karni Jewellery</v>
      </c>
      <c r="E350" s="21" t="str">
        <f aca="false">IF(Variants!$B351="","","Apparel &amp; Accessories &gt; Jewelry")</f>
        <v>Apparel &amp; Accessories &gt; Jewelry</v>
      </c>
      <c r="F350" s="21" t="str">
        <f aca="false">IF(Variants!$D351="","",Variants!$D351)</f>
        <v>Ring</v>
      </c>
      <c r="G350" s="21" t="str">
        <f aca="false">IF(Variants!$E351="","",Variants!$E351&amp;", Armenian jewellery, handmade")</f>
        <v>Vishab, Armenian jewellery, handmade</v>
      </c>
      <c r="H350" s="21" t="str">
        <f aca="false">IF(Variants!$AD351="Active","TRUE","FALSE")</f>
        <v>TRUE</v>
      </c>
      <c r="I350" s="21" t="str">
        <f aca="false">IF(Variants!$H351="","","Color")</f>
        <v>Color</v>
      </c>
      <c r="J350" s="21" t="str">
        <f aca="false">IF(Variants!$H351="","",Variants!$H351)</f>
        <v>white</v>
      </c>
      <c r="K350" s="21" t="str">
        <f aca="false">IF(Variants!$G351="","","Size")</f>
        <v>Size</v>
      </c>
      <c r="L350" s="21" t="str">
        <f aca="false">IF(Variants!$G351="","",Variants!$G351)</f>
        <v>small</v>
      </c>
      <c r="M350" s="21" t="str">
        <f aca="false">Variants!$A351</f>
        <v>KARNI-RING-VISHAB-S-WHITE</v>
      </c>
      <c r="N350" s="21" t="str">
        <f aca="false">IF(Variants!$X351="","",Variants!$X351)</f>
        <v/>
      </c>
      <c r="O350" s="21" t="n">
        <f aca="false">IF(Variants!$O351="","",Variants!$O351)</f>
        <v>0</v>
      </c>
      <c r="P350" s="18" t="n">
        <f aca="false">IF(Variants!$J351="","",Variants!$J351)</f>
        <v>33.8</v>
      </c>
      <c r="Q350" s="21" t="str">
        <f aca="false">IF(Variants!$U351="","",Variants!$U351)</f>
        <v/>
      </c>
      <c r="R350" s="21" t="str">
        <f aca="false">IF(Variants!$Y351="","",Variants!$Y351)</f>
        <v/>
      </c>
      <c r="S350" s="21" t="n">
        <f aca="false">IFERROR(VLOOKUP(Variants!$B351,Designs!$A$3:$AP$165,37,FALSE()),"")</f>
        <v>0</v>
      </c>
      <c r="T350" s="21" t="str">
        <f aca="false">IFERROR(VLOOKUP(Variants!$B351,Designs!$A$3:$AP$165,38,FALSE()),"")</f>
        <v>No</v>
      </c>
      <c r="U350" s="21" t="str">
        <f aca="false">IF(Variants!$AD351="Active","active","draft")</f>
        <v>active</v>
      </c>
    </row>
    <row r="351" customFormat="false" ht="15.75" hidden="false" customHeight="true" outlineLevel="0" collapsed="false">
      <c r="A351" s="21" t="str">
        <f aca="false">IF(Variants!$B352="","",LOWER(Variants!$B352))</f>
        <v>dsgn-ring-vishab-s</v>
      </c>
      <c r="B351" s="21" t="str">
        <f aca="false">IF(Variants!$B352="","",Variants!$C352&amp;IF(Variants!$F352="",""," "&amp;Variants!$F352))</f>
        <v>Vishab Ring</v>
      </c>
      <c r="C351" s="21" t="str">
        <f aca="false">IFERROR(IF(Variants!$B352="","","&lt;p&gt;"&amp;VLOOKUP(Variants!$B352,Designs!$A$3:$AP$165,9,FALSE())&amp;"&lt;/p&gt;"),"")</f>
        <v>&lt;p&gt;Vishaps are ancient Armenian dragon-stones (vishapakar) found in the highlands, among the oldest carved monuments in the region.&lt;/p&gt;</v>
      </c>
      <c r="D351" s="21" t="str">
        <f aca="false">IF(Variants!$B352="","","Karni Jewellery")</f>
        <v>Karni Jewellery</v>
      </c>
      <c r="E351" s="21" t="str">
        <f aca="false">IF(Variants!$B352="","","Apparel &amp; Accessories &gt; Jewelry")</f>
        <v>Apparel &amp; Accessories &gt; Jewelry</v>
      </c>
      <c r="F351" s="21" t="str">
        <f aca="false">IF(Variants!$D352="","",Variants!$D352)</f>
        <v>Ring</v>
      </c>
      <c r="G351" s="21" t="str">
        <f aca="false">IF(Variants!$E352="","",Variants!$E352&amp;", Armenian jewellery, handmade")</f>
        <v>Vishab, Armenian jewellery, handmade</v>
      </c>
      <c r="H351" s="21" t="str">
        <f aca="false">IF(Variants!$AD352="Active","TRUE","FALSE")</f>
        <v>TRUE</v>
      </c>
      <c r="I351" s="21" t="str">
        <f aca="false">IF(Variants!$H352="","","Color")</f>
        <v>Color</v>
      </c>
      <c r="J351" s="21" t="str">
        <f aca="false">IF(Variants!$H352="","",Variants!$H352)</f>
        <v>bordeaux</v>
      </c>
      <c r="K351" s="21" t="str">
        <f aca="false">IF(Variants!$G352="","","Size")</f>
        <v>Size</v>
      </c>
      <c r="L351" s="21" t="str">
        <f aca="false">IF(Variants!$G352="","",Variants!$G352)</f>
        <v>small</v>
      </c>
      <c r="M351" s="21" t="str">
        <f aca="false">Variants!$A352</f>
        <v>KARNI-RING-VISHAB-S-BORDEAUX</v>
      </c>
      <c r="N351" s="21" t="str">
        <f aca="false">IF(Variants!$X352="","",Variants!$X352)</f>
        <v/>
      </c>
      <c r="O351" s="21" t="n">
        <f aca="false">IF(Variants!$O352="","",Variants!$O352)</f>
        <v>0</v>
      </c>
      <c r="P351" s="18" t="n">
        <f aca="false">IF(Variants!$J352="","",Variants!$J352)</f>
        <v>33.8</v>
      </c>
      <c r="Q351" s="21" t="str">
        <f aca="false">IF(Variants!$U352="","",Variants!$U352)</f>
        <v/>
      </c>
      <c r="R351" s="21" t="str">
        <f aca="false">IF(Variants!$Y352="","",Variants!$Y352)</f>
        <v/>
      </c>
      <c r="S351" s="21" t="n">
        <f aca="false">IFERROR(VLOOKUP(Variants!$B352,Designs!$A$3:$AP$165,37,FALSE()),"")</f>
        <v>0</v>
      </c>
      <c r="T351" s="21" t="str">
        <f aca="false">IFERROR(VLOOKUP(Variants!$B352,Designs!$A$3:$AP$165,38,FALSE()),"")</f>
        <v>No</v>
      </c>
      <c r="U351" s="21" t="str">
        <f aca="false">IF(Variants!$AD352="Active","active","draft")</f>
        <v>active</v>
      </c>
    </row>
    <row r="352" customFormat="false" ht="15.75" hidden="false" customHeight="true" outlineLevel="0" collapsed="false">
      <c r="A352" s="21" t="str">
        <f aca="false">IF(Variants!$B353="","",LOWER(Variants!$B353))</f>
        <v>dsgn-ring-vishab-s</v>
      </c>
      <c r="B352" s="21" t="str">
        <f aca="false">IF(Variants!$B353="","",Variants!$C353&amp;IF(Variants!$F353="",""," "&amp;Variants!$F353))</f>
        <v>Vishab Ring</v>
      </c>
      <c r="C352" s="21" t="str">
        <f aca="false">IFERROR(IF(Variants!$B353="","","&lt;p&gt;"&amp;VLOOKUP(Variants!$B353,Designs!$A$3:$AP$165,9,FALSE())&amp;"&lt;/p&gt;"),"")</f>
        <v>&lt;p&gt;Vishaps are ancient Armenian dragon-stones (vishapakar) found in the highlands, among the oldest carved monuments in the region.&lt;/p&gt;</v>
      </c>
      <c r="D352" s="21" t="str">
        <f aca="false">IF(Variants!$B353="","","Karni Jewellery")</f>
        <v>Karni Jewellery</v>
      </c>
      <c r="E352" s="21" t="str">
        <f aca="false">IF(Variants!$B353="","","Apparel &amp; Accessories &gt; Jewelry")</f>
        <v>Apparel &amp; Accessories &gt; Jewelry</v>
      </c>
      <c r="F352" s="21" t="str">
        <f aca="false">IF(Variants!$D353="","",Variants!$D353)</f>
        <v>Ring</v>
      </c>
      <c r="G352" s="21" t="str">
        <f aca="false">IF(Variants!$E353="","",Variants!$E353&amp;", Armenian jewellery, handmade")</f>
        <v>Vishab, Armenian jewellery, handmade</v>
      </c>
      <c r="H352" s="21" t="str">
        <f aca="false">IF(Variants!$AD353="Active","TRUE","FALSE")</f>
        <v>TRUE</v>
      </c>
      <c r="I352" s="21" t="str">
        <f aca="false">IF(Variants!$H353="","","Color")</f>
        <v>Color</v>
      </c>
      <c r="J352" s="21" t="str">
        <f aca="false">IF(Variants!$H353="","",Variants!$H353)</f>
        <v>turquoise</v>
      </c>
      <c r="K352" s="21" t="str">
        <f aca="false">IF(Variants!$G353="","","Size")</f>
        <v>Size</v>
      </c>
      <c r="L352" s="21" t="str">
        <f aca="false">IF(Variants!$G353="","",Variants!$G353)</f>
        <v>small</v>
      </c>
      <c r="M352" s="21" t="str">
        <f aca="false">Variants!$A353</f>
        <v>KARNI-RING-VISHAB-S-TURQUOISE</v>
      </c>
      <c r="N352" s="21" t="str">
        <f aca="false">IF(Variants!$X353="","",Variants!$X353)</f>
        <v/>
      </c>
      <c r="O352" s="21" t="n">
        <f aca="false">IF(Variants!$O353="","",Variants!$O353)</f>
        <v>0</v>
      </c>
      <c r="P352" s="18" t="n">
        <f aca="false">IF(Variants!$J353="","",Variants!$J353)</f>
        <v>33.8</v>
      </c>
      <c r="Q352" s="21" t="str">
        <f aca="false">IF(Variants!$U353="","",Variants!$U353)</f>
        <v/>
      </c>
      <c r="R352" s="21" t="str">
        <f aca="false">IF(Variants!$Y353="","",Variants!$Y353)</f>
        <v/>
      </c>
      <c r="S352" s="21" t="n">
        <f aca="false">IFERROR(VLOOKUP(Variants!$B353,Designs!$A$3:$AP$165,37,FALSE()),"")</f>
        <v>0</v>
      </c>
      <c r="T352" s="21" t="str">
        <f aca="false">IFERROR(VLOOKUP(Variants!$B353,Designs!$A$3:$AP$165,38,FALSE()),"")</f>
        <v>No</v>
      </c>
      <c r="U352" s="21" t="str">
        <f aca="false">IF(Variants!$AD353="Active","active","draft")</f>
        <v>active</v>
      </c>
    </row>
    <row r="353" customFormat="false" ht="15.75" hidden="false" customHeight="true" outlineLevel="0" collapsed="false">
      <c r="A353" s="21" t="str">
        <f aca="false">IF(Variants!$B354="","",LOWER(Variants!$B354))</f>
        <v>dsgn-ring-vishab-s</v>
      </c>
      <c r="B353" s="21" t="str">
        <f aca="false">IF(Variants!$B354="","",Variants!$C354&amp;IF(Variants!$F354="",""," "&amp;Variants!$F354))</f>
        <v>Vishab Ring</v>
      </c>
      <c r="C353" s="21" t="str">
        <f aca="false">IFERROR(IF(Variants!$B354="","","&lt;p&gt;"&amp;VLOOKUP(Variants!$B354,Designs!$A$3:$AP$165,9,FALSE())&amp;"&lt;/p&gt;"),"")</f>
        <v>&lt;p&gt;Vishaps are ancient Armenian dragon-stones (vishapakar) found in the highlands, among the oldest carved monuments in the region.&lt;/p&gt;</v>
      </c>
      <c r="D353" s="21" t="str">
        <f aca="false">IF(Variants!$B354="","","Karni Jewellery")</f>
        <v>Karni Jewellery</v>
      </c>
      <c r="E353" s="21" t="str">
        <f aca="false">IF(Variants!$B354="","","Apparel &amp; Accessories &gt; Jewelry")</f>
        <v>Apparel &amp; Accessories &gt; Jewelry</v>
      </c>
      <c r="F353" s="21" t="str">
        <f aca="false">IF(Variants!$D354="","",Variants!$D354)</f>
        <v>Ring</v>
      </c>
      <c r="G353" s="21" t="str">
        <f aca="false">IF(Variants!$E354="","",Variants!$E354&amp;", Armenian jewellery, handmade")</f>
        <v>Vishab, Armenian jewellery, handmade</v>
      </c>
      <c r="H353" s="21" t="str">
        <f aca="false">IF(Variants!$AD354="Active","TRUE","FALSE")</f>
        <v>TRUE</v>
      </c>
      <c r="I353" s="21" t="str">
        <f aca="false">IF(Variants!$H354="","","Color")</f>
        <v>Color</v>
      </c>
      <c r="J353" s="21" t="str">
        <f aca="false">IF(Variants!$H354="","",Variants!$H354)</f>
        <v>green</v>
      </c>
      <c r="K353" s="21" t="str">
        <f aca="false">IF(Variants!$G354="","","Size")</f>
        <v>Size</v>
      </c>
      <c r="L353" s="21" t="str">
        <f aca="false">IF(Variants!$G354="","",Variants!$G354)</f>
        <v>small</v>
      </c>
      <c r="M353" s="21" t="str">
        <f aca="false">Variants!$A354</f>
        <v>KARNI-RING-VISHAB-S-GREEN</v>
      </c>
      <c r="N353" s="21" t="str">
        <f aca="false">IF(Variants!$X354="","",Variants!$X354)</f>
        <v/>
      </c>
      <c r="O353" s="21" t="n">
        <f aca="false">IF(Variants!$O354="","",Variants!$O354)</f>
        <v>0</v>
      </c>
      <c r="P353" s="18" t="n">
        <f aca="false">IF(Variants!$J354="","",Variants!$J354)</f>
        <v>33.8</v>
      </c>
      <c r="Q353" s="21" t="str">
        <f aca="false">IF(Variants!$U354="","",Variants!$U354)</f>
        <v/>
      </c>
      <c r="R353" s="21" t="str">
        <f aca="false">IF(Variants!$Y354="","",Variants!$Y354)</f>
        <v/>
      </c>
      <c r="S353" s="21" t="n">
        <f aca="false">IFERROR(VLOOKUP(Variants!$B354,Designs!$A$3:$AP$165,37,FALSE()),"")</f>
        <v>0</v>
      </c>
      <c r="T353" s="21" t="str">
        <f aca="false">IFERROR(VLOOKUP(Variants!$B354,Designs!$A$3:$AP$165,38,FALSE()),"")</f>
        <v>No</v>
      </c>
      <c r="U353" s="21" t="str">
        <f aca="false">IF(Variants!$AD354="Active","active","draft")</f>
        <v>active</v>
      </c>
    </row>
    <row r="354" customFormat="false" ht="15.75" hidden="false" customHeight="true" outlineLevel="0" collapsed="false">
      <c r="A354" s="21" t="str">
        <f aca="false">IF(Variants!$B355="","",LOWER(Variants!$B355))</f>
        <v>dsgn-ring-artsakhikhachanakhsh-s</v>
      </c>
      <c r="B354" s="21" t="str">
        <f aca="false">IF(Variants!$B355="","",Variants!$C355&amp;IF(Variants!$F355="",""," "&amp;Variants!$F355))</f>
        <v>Artsakhi Khachanakhsh Ring</v>
      </c>
      <c r="C354" s="21" t="str">
        <f aca="false">IFERROR(IF(Variants!$B355="","","&lt;p&gt;"&amp;VLOOKUP(Variants!$B355,Designs!$A$3:$AP$165,9,FALSE())&amp;"&lt;/p&gt;"),"")</f>
        <v>&lt;p&gt;Cross-ornament patterns from Artsakh, carrying the carved cross-stone heritage of the region.&lt;/p&gt;</v>
      </c>
      <c r="D354" s="21" t="str">
        <f aca="false">IF(Variants!$B355="","","Karni Jewellery")</f>
        <v>Karni Jewellery</v>
      </c>
      <c r="E354" s="21" t="str">
        <f aca="false">IF(Variants!$B355="","","Apparel &amp; Accessories &gt; Jewelry")</f>
        <v>Apparel &amp; Accessories &gt; Jewelry</v>
      </c>
      <c r="F354" s="21" t="str">
        <f aca="false">IF(Variants!$D355="","",Variants!$D355)</f>
        <v>Ring</v>
      </c>
      <c r="G354" s="21" t="str">
        <f aca="false">IF(Variants!$E355="","",Variants!$E355&amp;", Armenian jewellery, handmade")</f>
        <v>Artsakhi Khachanakhsh, Armenian jewellery, handmade</v>
      </c>
      <c r="H354" s="21" t="str">
        <f aca="false">IF(Variants!$AD355="Active","TRUE","FALSE")</f>
        <v>TRUE</v>
      </c>
      <c r="I354" s="21" t="str">
        <f aca="false">IF(Variants!$H355="","","Color")</f>
        <v>Color</v>
      </c>
      <c r="J354" s="21" t="str">
        <f aca="false">IF(Variants!$H355="","",Variants!$H355)</f>
        <v>blue</v>
      </c>
      <c r="K354" s="21" t="str">
        <f aca="false">IF(Variants!$G355="","","Size")</f>
        <v>Size</v>
      </c>
      <c r="L354" s="21" t="str">
        <f aca="false">IF(Variants!$G355="","",Variants!$G355)</f>
        <v>small</v>
      </c>
      <c r="M354" s="21" t="str">
        <f aca="false">Variants!$A355</f>
        <v>KARNI-RING-ARTSAKHIKHACHANAKHSH-S-BLUE</v>
      </c>
      <c r="N354" s="21" t="str">
        <f aca="false">IF(Variants!$X355="","",Variants!$X355)</f>
        <v/>
      </c>
      <c r="O354" s="21" t="n">
        <f aca="false">IF(Variants!$O355="","",Variants!$O355)</f>
        <v>0</v>
      </c>
      <c r="P354" s="18" t="n">
        <f aca="false">IF(Variants!$J355="","",Variants!$J355)</f>
        <v>33.8</v>
      </c>
      <c r="Q354" s="21" t="str">
        <f aca="false">IF(Variants!$U355="","",Variants!$U355)</f>
        <v/>
      </c>
      <c r="R354" s="21" t="str">
        <f aca="false">IF(Variants!$Y355="","",Variants!$Y355)</f>
        <v/>
      </c>
      <c r="S354" s="21" t="n">
        <f aca="false">IFERROR(VLOOKUP(Variants!$B355,Designs!$A$3:$AP$165,37,FALSE()),"")</f>
        <v>0</v>
      </c>
      <c r="T354" s="21" t="str">
        <f aca="false">IFERROR(VLOOKUP(Variants!$B355,Designs!$A$3:$AP$165,38,FALSE()),"")</f>
        <v>No</v>
      </c>
      <c r="U354" s="21" t="str">
        <f aca="false">IF(Variants!$AD355="Active","active","draft")</f>
        <v>active</v>
      </c>
    </row>
    <row r="355" customFormat="false" ht="15.75" hidden="false" customHeight="true" outlineLevel="0" collapsed="false">
      <c r="A355" s="21" t="str">
        <f aca="false">IF(Variants!$B356="","",LOWER(Variants!$B356))</f>
        <v>dsgn-ring-artsakhikhachanakhsh-s</v>
      </c>
      <c r="B355" s="21" t="str">
        <f aca="false">IF(Variants!$B356="","",Variants!$C356&amp;IF(Variants!$F356="",""," "&amp;Variants!$F356))</f>
        <v>Artsakhi Khachanakhsh Ring</v>
      </c>
      <c r="C355" s="21" t="str">
        <f aca="false">IFERROR(IF(Variants!$B356="","","&lt;p&gt;"&amp;VLOOKUP(Variants!$B356,Designs!$A$3:$AP$165,9,FALSE())&amp;"&lt;/p&gt;"),"")</f>
        <v>&lt;p&gt;Cross-ornament patterns from Artsakh, carrying the carved cross-stone heritage of the region.&lt;/p&gt;</v>
      </c>
      <c r="D355" s="21" t="str">
        <f aca="false">IF(Variants!$B356="","","Karni Jewellery")</f>
        <v>Karni Jewellery</v>
      </c>
      <c r="E355" s="21" t="str">
        <f aca="false">IF(Variants!$B356="","","Apparel &amp; Accessories &gt; Jewelry")</f>
        <v>Apparel &amp; Accessories &gt; Jewelry</v>
      </c>
      <c r="F355" s="21" t="str">
        <f aca="false">IF(Variants!$D356="","",Variants!$D356)</f>
        <v>Ring</v>
      </c>
      <c r="G355" s="21" t="str">
        <f aca="false">IF(Variants!$E356="","",Variants!$E356&amp;", Armenian jewellery, handmade")</f>
        <v>Artsakhi Khachanakhsh, Armenian jewellery, handmade</v>
      </c>
      <c r="H355" s="21" t="str">
        <f aca="false">IF(Variants!$AD356="Active","TRUE","FALSE")</f>
        <v>TRUE</v>
      </c>
      <c r="I355" s="21" t="str">
        <f aca="false">IF(Variants!$H356="","","Color")</f>
        <v>Color</v>
      </c>
      <c r="J355" s="21" t="str">
        <f aca="false">IF(Variants!$H356="","",Variants!$H356)</f>
        <v>white</v>
      </c>
      <c r="K355" s="21" t="str">
        <f aca="false">IF(Variants!$G356="","","Size")</f>
        <v>Size</v>
      </c>
      <c r="L355" s="21" t="str">
        <f aca="false">IF(Variants!$G356="","",Variants!$G356)</f>
        <v>small</v>
      </c>
      <c r="M355" s="21" t="str">
        <f aca="false">Variants!$A356</f>
        <v>KARNI-RING-ARTSAKHIKHACHANAKHSH-S-WHITE</v>
      </c>
      <c r="N355" s="21" t="str">
        <f aca="false">IF(Variants!$X356="","",Variants!$X356)</f>
        <v/>
      </c>
      <c r="O355" s="21" t="n">
        <f aca="false">IF(Variants!$O356="","",Variants!$O356)</f>
        <v>0</v>
      </c>
      <c r="P355" s="18" t="n">
        <f aca="false">IF(Variants!$J356="","",Variants!$J356)</f>
        <v>33.8</v>
      </c>
      <c r="Q355" s="21" t="str">
        <f aca="false">IF(Variants!$U356="","",Variants!$U356)</f>
        <v/>
      </c>
      <c r="R355" s="21" t="str">
        <f aca="false">IF(Variants!$Y356="","",Variants!$Y356)</f>
        <v/>
      </c>
      <c r="S355" s="21" t="n">
        <f aca="false">IFERROR(VLOOKUP(Variants!$B356,Designs!$A$3:$AP$165,37,FALSE()),"")</f>
        <v>0</v>
      </c>
      <c r="T355" s="21" t="str">
        <f aca="false">IFERROR(VLOOKUP(Variants!$B356,Designs!$A$3:$AP$165,38,FALSE()),"")</f>
        <v>No</v>
      </c>
      <c r="U355" s="21" t="str">
        <f aca="false">IF(Variants!$AD356="Active","active","draft")</f>
        <v>active</v>
      </c>
    </row>
    <row r="356" customFormat="false" ht="15.75" hidden="false" customHeight="true" outlineLevel="0" collapsed="false">
      <c r="A356" s="21" t="str">
        <f aca="false">IF(Variants!$B357="","",LOWER(Variants!$B357))</f>
        <v>dsgn-ring-artsakhikhachanakhsh-s</v>
      </c>
      <c r="B356" s="21" t="str">
        <f aca="false">IF(Variants!$B357="","",Variants!$C357&amp;IF(Variants!$F357="",""," "&amp;Variants!$F357))</f>
        <v>Artsakhi Khachanakhsh Ring</v>
      </c>
      <c r="C356" s="21" t="str">
        <f aca="false">IFERROR(IF(Variants!$B357="","","&lt;p&gt;"&amp;VLOOKUP(Variants!$B357,Designs!$A$3:$AP$165,9,FALSE())&amp;"&lt;/p&gt;"),"")</f>
        <v>&lt;p&gt;Cross-ornament patterns from Artsakh, carrying the carved cross-stone heritage of the region.&lt;/p&gt;</v>
      </c>
      <c r="D356" s="21" t="str">
        <f aca="false">IF(Variants!$B357="","","Karni Jewellery")</f>
        <v>Karni Jewellery</v>
      </c>
      <c r="E356" s="21" t="str">
        <f aca="false">IF(Variants!$B357="","","Apparel &amp; Accessories &gt; Jewelry")</f>
        <v>Apparel &amp; Accessories &gt; Jewelry</v>
      </c>
      <c r="F356" s="21" t="str">
        <f aca="false">IF(Variants!$D357="","",Variants!$D357)</f>
        <v>Ring</v>
      </c>
      <c r="G356" s="21" t="str">
        <f aca="false">IF(Variants!$E357="","",Variants!$E357&amp;", Armenian jewellery, handmade")</f>
        <v>Artsakhi Khachanakhsh, Armenian jewellery, handmade</v>
      </c>
      <c r="H356" s="21" t="str">
        <f aca="false">IF(Variants!$AD357="Active","TRUE","FALSE")</f>
        <v>TRUE</v>
      </c>
      <c r="I356" s="21" t="str">
        <f aca="false">IF(Variants!$H357="","","Color")</f>
        <v>Color</v>
      </c>
      <c r="J356" s="21" t="str">
        <f aca="false">IF(Variants!$H357="","",Variants!$H357)</f>
        <v>bordeaux</v>
      </c>
      <c r="K356" s="21" t="str">
        <f aca="false">IF(Variants!$G357="","","Size")</f>
        <v>Size</v>
      </c>
      <c r="L356" s="21" t="str">
        <f aca="false">IF(Variants!$G357="","",Variants!$G357)</f>
        <v>small</v>
      </c>
      <c r="M356" s="21" t="str">
        <f aca="false">Variants!$A357</f>
        <v>KARNI-RING-ARTSAKHIKHACHANAKHSH-S-BORDEAUX</v>
      </c>
      <c r="N356" s="21" t="str">
        <f aca="false">IF(Variants!$X357="","",Variants!$X357)</f>
        <v/>
      </c>
      <c r="O356" s="21" t="n">
        <f aca="false">IF(Variants!$O357="","",Variants!$O357)</f>
        <v>0</v>
      </c>
      <c r="P356" s="18" t="n">
        <f aca="false">IF(Variants!$J357="","",Variants!$J357)</f>
        <v>33.8</v>
      </c>
      <c r="Q356" s="21" t="str">
        <f aca="false">IF(Variants!$U357="","",Variants!$U357)</f>
        <v/>
      </c>
      <c r="R356" s="21" t="str">
        <f aca="false">IF(Variants!$Y357="","",Variants!$Y357)</f>
        <v/>
      </c>
      <c r="S356" s="21" t="n">
        <f aca="false">IFERROR(VLOOKUP(Variants!$B357,Designs!$A$3:$AP$165,37,FALSE()),"")</f>
        <v>0</v>
      </c>
      <c r="T356" s="21" t="str">
        <f aca="false">IFERROR(VLOOKUP(Variants!$B357,Designs!$A$3:$AP$165,38,FALSE()),"")</f>
        <v>No</v>
      </c>
      <c r="U356" s="21" t="str">
        <f aca="false">IF(Variants!$AD357="Active","active","draft")</f>
        <v>active</v>
      </c>
    </row>
    <row r="357" customFormat="false" ht="15.75" hidden="false" customHeight="true" outlineLevel="0" collapsed="false">
      <c r="A357" s="21" t="str">
        <f aca="false">IF(Variants!$B358="","",LOWER(Variants!$B358))</f>
        <v>dsgn-ring-artsakhikhachanakhsh-s</v>
      </c>
      <c r="B357" s="21" t="str">
        <f aca="false">IF(Variants!$B358="","",Variants!$C358&amp;IF(Variants!$F358="",""," "&amp;Variants!$F358))</f>
        <v>Artsakhi Khachanakhsh Ring</v>
      </c>
      <c r="C357" s="21" t="str">
        <f aca="false">IFERROR(IF(Variants!$B358="","","&lt;p&gt;"&amp;VLOOKUP(Variants!$B358,Designs!$A$3:$AP$165,9,FALSE())&amp;"&lt;/p&gt;"),"")</f>
        <v>&lt;p&gt;Cross-ornament patterns from Artsakh, carrying the carved cross-stone heritage of the region.&lt;/p&gt;</v>
      </c>
      <c r="D357" s="21" t="str">
        <f aca="false">IF(Variants!$B358="","","Karni Jewellery")</f>
        <v>Karni Jewellery</v>
      </c>
      <c r="E357" s="21" t="str">
        <f aca="false">IF(Variants!$B358="","","Apparel &amp; Accessories &gt; Jewelry")</f>
        <v>Apparel &amp; Accessories &gt; Jewelry</v>
      </c>
      <c r="F357" s="21" t="str">
        <f aca="false">IF(Variants!$D358="","",Variants!$D358)</f>
        <v>Ring</v>
      </c>
      <c r="G357" s="21" t="str">
        <f aca="false">IF(Variants!$E358="","",Variants!$E358&amp;", Armenian jewellery, handmade")</f>
        <v>Artsakhi Khachanakhsh, Armenian jewellery, handmade</v>
      </c>
      <c r="H357" s="21" t="str">
        <f aca="false">IF(Variants!$AD358="Active","TRUE","FALSE")</f>
        <v>TRUE</v>
      </c>
      <c r="I357" s="21" t="str">
        <f aca="false">IF(Variants!$H358="","","Color")</f>
        <v>Color</v>
      </c>
      <c r="J357" s="21" t="str">
        <f aca="false">IF(Variants!$H358="","",Variants!$H358)</f>
        <v>turquoise</v>
      </c>
      <c r="K357" s="21" t="str">
        <f aca="false">IF(Variants!$G358="","","Size")</f>
        <v>Size</v>
      </c>
      <c r="L357" s="21" t="str">
        <f aca="false">IF(Variants!$G358="","",Variants!$G358)</f>
        <v>small</v>
      </c>
      <c r="M357" s="21" t="str">
        <f aca="false">Variants!$A358</f>
        <v>KARNI-RING-ARTSAKHIKHACHANAKHSH-S-TURQUOISE</v>
      </c>
      <c r="N357" s="21" t="str">
        <f aca="false">IF(Variants!$X358="","",Variants!$X358)</f>
        <v/>
      </c>
      <c r="O357" s="21" t="n">
        <f aca="false">IF(Variants!$O358="","",Variants!$O358)</f>
        <v>0</v>
      </c>
      <c r="P357" s="18" t="n">
        <f aca="false">IF(Variants!$J358="","",Variants!$J358)</f>
        <v>33.8</v>
      </c>
      <c r="Q357" s="21" t="str">
        <f aca="false">IF(Variants!$U358="","",Variants!$U358)</f>
        <v/>
      </c>
      <c r="R357" s="21" t="str">
        <f aca="false">IF(Variants!$Y358="","",Variants!$Y358)</f>
        <v/>
      </c>
      <c r="S357" s="21" t="n">
        <f aca="false">IFERROR(VLOOKUP(Variants!$B358,Designs!$A$3:$AP$165,37,FALSE()),"")</f>
        <v>0</v>
      </c>
      <c r="T357" s="21" t="str">
        <f aca="false">IFERROR(VLOOKUP(Variants!$B358,Designs!$A$3:$AP$165,38,FALSE()),"")</f>
        <v>No</v>
      </c>
      <c r="U357" s="21" t="str">
        <f aca="false">IF(Variants!$AD358="Active","active","draft")</f>
        <v>active</v>
      </c>
    </row>
    <row r="358" customFormat="false" ht="15.75" hidden="false" customHeight="true" outlineLevel="0" collapsed="false">
      <c r="A358" s="21" t="str">
        <f aca="false">IF(Variants!$B359="","",LOWER(Variants!$B359))</f>
        <v>dsgn-ring-artsakhikhachanakhsh-s</v>
      </c>
      <c r="B358" s="21" t="str">
        <f aca="false">IF(Variants!$B359="","",Variants!$C359&amp;IF(Variants!$F359="",""," "&amp;Variants!$F359))</f>
        <v>Artsakhi Khachanakhsh Ring</v>
      </c>
      <c r="C358" s="21" t="str">
        <f aca="false">IFERROR(IF(Variants!$B359="","","&lt;p&gt;"&amp;VLOOKUP(Variants!$B359,Designs!$A$3:$AP$165,9,FALSE())&amp;"&lt;/p&gt;"),"")</f>
        <v>&lt;p&gt;Cross-ornament patterns from Artsakh, carrying the carved cross-stone heritage of the region.&lt;/p&gt;</v>
      </c>
      <c r="D358" s="21" t="str">
        <f aca="false">IF(Variants!$B359="","","Karni Jewellery")</f>
        <v>Karni Jewellery</v>
      </c>
      <c r="E358" s="21" t="str">
        <f aca="false">IF(Variants!$B359="","","Apparel &amp; Accessories &gt; Jewelry")</f>
        <v>Apparel &amp; Accessories &gt; Jewelry</v>
      </c>
      <c r="F358" s="21" t="str">
        <f aca="false">IF(Variants!$D359="","",Variants!$D359)</f>
        <v>Ring</v>
      </c>
      <c r="G358" s="21" t="str">
        <f aca="false">IF(Variants!$E359="","",Variants!$E359&amp;", Armenian jewellery, handmade")</f>
        <v>Artsakhi Khachanakhsh, Armenian jewellery, handmade</v>
      </c>
      <c r="H358" s="21" t="str">
        <f aca="false">IF(Variants!$AD359="Active","TRUE","FALSE")</f>
        <v>TRUE</v>
      </c>
      <c r="I358" s="21" t="str">
        <f aca="false">IF(Variants!$H359="","","Color")</f>
        <v>Color</v>
      </c>
      <c r="J358" s="21" t="str">
        <f aca="false">IF(Variants!$H359="","",Variants!$H359)</f>
        <v>green</v>
      </c>
      <c r="K358" s="21" t="str">
        <f aca="false">IF(Variants!$G359="","","Size")</f>
        <v>Size</v>
      </c>
      <c r="L358" s="21" t="str">
        <f aca="false">IF(Variants!$G359="","",Variants!$G359)</f>
        <v>small</v>
      </c>
      <c r="M358" s="21" t="str">
        <f aca="false">Variants!$A359</f>
        <v>KARNI-RING-ARTSAKHIKHACHANAKHSH-S-GREEN</v>
      </c>
      <c r="N358" s="21" t="str">
        <f aca="false">IF(Variants!$X359="","",Variants!$X359)</f>
        <v/>
      </c>
      <c r="O358" s="21" t="n">
        <f aca="false">IF(Variants!$O359="","",Variants!$O359)</f>
        <v>0</v>
      </c>
      <c r="P358" s="18" t="n">
        <f aca="false">IF(Variants!$J359="","",Variants!$J359)</f>
        <v>33.8</v>
      </c>
      <c r="Q358" s="21" t="str">
        <f aca="false">IF(Variants!$U359="","",Variants!$U359)</f>
        <v/>
      </c>
      <c r="R358" s="21" t="str">
        <f aca="false">IF(Variants!$Y359="","",Variants!$Y359)</f>
        <v/>
      </c>
      <c r="S358" s="21" t="n">
        <f aca="false">IFERROR(VLOOKUP(Variants!$B359,Designs!$A$3:$AP$165,37,FALSE()),"")</f>
        <v>0</v>
      </c>
      <c r="T358" s="21" t="str">
        <f aca="false">IFERROR(VLOOKUP(Variants!$B359,Designs!$A$3:$AP$165,38,FALSE()),"")</f>
        <v>No</v>
      </c>
      <c r="U358" s="21" t="str">
        <f aca="false">IF(Variants!$AD359="Active","active","draft")</f>
        <v>active</v>
      </c>
    </row>
    <row r="359" customFormat="false" ht="15.75" hidden="false" customHeight="true" outlineLevel="0" collapsed="false">
      <c r="A359" s="21" t="str">
        <f aca="false">IF(Variants!$B360="","",LOWER(Variants!$B360))</f>
        <v>dsgn-ring-artsakhikhachanakhsh-s</v>
      </c>
      <c r="B359" s="21" t="str">
        <f aca="false">IF(Variants!$B360="","",Variants!$C360&amp;IF(Variants!$F360="",""," "&amp;Variants!$F360))</f>
        <v>Artsakhi Khachanakhsh Ring</v>
      </c>
      <c r="C359" s="21" t="str">
        <f aca="false">IFERROR(IF(Variants!$B360="","","&lt;p&gt;"&amp;VLOOKUP(Variants!$B360,Designs!$A$3:$AP$165,9,FALSE())&amp;"&lt;/p&gt;"),"")</f>
        <v>&lt;p&gt;Cross-ornament patterns from Artsakh, carrying the carved cross-stone heritage of the region.&lt;/p&gt;</v>
      </c>
      <c r="D359" s="21" t="str">
        <f aca="false">IF(Variants!$B360="","","Karni Jewellery")</f>
        <v>Karni Jewellery</v>
      </c>
      <c r="E359" s="21" t="str">
        <f aca="false">IF(Variants!$B360="","","Apparel &amp; Accessories &gt; Jewelry")</f>
        <v>Apparel &amp; Accessories &gt; Jewelry</v>
      </c>
      <c r="F359" s="21" t="str">
        <f aca="false">IF(Variants!$D360="","",Variants!$D360)</f>
        <v>Ring</v>
      </c>
      <c r="G359" s="21" t="str">
        <f aca="false">IF(Variants!$E360="","",Variants!$E360&amp;", Armenian jewellery, handmade")</f>
        <v>Artsakhi Khachanakhsh, Armenian jewellery, handmade</v>
      </c>
      <c r="H359" s="21" t="str">
        <f aca="false">IF(Variants!$AD360="Active","TRUE","FALSE")</f>
        <v>TRUE</v>
      </c>
      <c r="I359" s="21" t="str">
        <f aca="false">IF(Variants!$H360="","","Color")</f>
        <v>Color</v>
      </c>
      <c r="J359" s="21" t="str">
        <f aca="false">IF(Variants!$H360="","",Variants!$H360)</f>
        <v>white-red</v>
      </c>
      <c r="K359" s="21" t="str">
        <f aca="false">IF(Variants!$G360="","","Size")</f>
        <v>Size</v>
      </c>
      <c r="L359" s="21" t="str">
        <f aca="false">IF(Variants!$G360="","",Variants!$G360)</f>
        <v>small</v>
      </c>
      <c r="M359" s="21" t="str">
        <f aca="false">Variants!$A360</f>
        <v>KARNI-RING-ARTSAKHIKHACHANAKHSH-S-WHITE-RED</v>
      </c>
      <c r="N359" s="21" t="str">
        <f aca="false">IF(Variants!$X360="","",Variants!$X360)</f>
        <v/>
      </c>
      <c r="O359" s="21" t="n">
        <f aca="false">IF(Variants!$O360="","",Variants!$O360)</f>
        <v>0</v>
      </c>
      <c r="P359" s="18" t="n">
        <f aca="false">IF(Variants!$J360="","",Variants!$J360)</f>
        <v>33.8</v>
      </c>
      <c r="Q359" s="21" t="str">
        <f aca="false">IF(Variants!$U360="","",Variants!$U360)</f>
        <v/>
      </c>
      <c r="R359" s="21" t="str">
        <f aca="false">IF(Variants!$Y360="","",Variants!$Y360)</f>
        <v/>
      </c>
      <c r="S359" s="21" t="n">
        <f aca="false">IFERROR(VLOOKUP(Variants!$B360,Designs!$A$3:$AP$165,37,FALSE()),"")</f>
        <v>0</v>
      </c>
      <c r="T359" s="21" t="str">
        <f aca="false">IFERROR(VLOOKUP(Variants!$B360,Designs!$A$3:$AP$165,38,FALSE()),"")</f>
        <v>No</v>
      </c>
      <c r="U359" s="21" t="str">
        <f aca="false">IF(Variants!$AD360="Active","active","draft")</f>
        <v>active</v>
      </c>
    </row>
    <row r="360" customFormat="false" ht="15.75" hidden="false" customHeight="true" outlineLevel="0" collapsed="false">
      <c r="A360" s="21" t="str">
        <f aca="false">IF(Variants!$B361="","",LOWER(Variants!$B361))</f>
        <v>dsgn-ring-artsakhikhachanakhsh-s</v>
      </c>
      <c r="B360" s="21" t="str">
        <f aca="false">IF(Variants!$B361="","",Variants!$C361&amp;IF(Variants!$F361="",""," "&amp;Variants!$F361))</f>
        <v>Artsakhi Khachanakhsh Ring</v>
      </c>
      <c r="C360" s="21" t="str">
        <f aca="false">IFERROR(IF(Variants!$B361="","","&lt;p&gt;"&amp;VLOOKUP(Variants!$B361,Designs!$A$3:$AP$165,9,FALSE())&amp;"&lt;/p&gt;"),"")</f>
        <v>&lt;p&gt;Cross-ornament patterns from Artsakh, carrying the carved cross-stone heritage of the region.&lt;/p&gt;</v>
      </c>
      <c r="D360" s="21" t="str">
        <f aca="false">IF(Variants!$B361="","","Karni Jewellery")</f>
        <v>Karni Jewellery</v>
      </c>
      <c r="E360" s="21" t="str">
        <f aca="false">IF(Variants!$B361="","","Apparel &amp; Accessories &gt; Jewelry")</f>
        <v>Apparel &amp; Accessories &gt; Jewelry</v>
      </c>
      <c r="F360" s="21" t="str">
        <f aca="false">IF(Variants!$D361="","",Variants!$D361)</f>
        <v>Ring</v>
      </c>
      <c r="G360" s="21" t="str">
        <f aca="false">IF(Variants!$E361="","",Variants!$E361&amp;", Armenian jewellery, handmade")</f>
        <v>Artsakhi Khachanakhsh, Armenian jewellery, handmade</v>
      </c>
      <c r="H360" s="21" t="str">
        <f aca="false">IF(Variants!$AD361="Active","TRUE","FALSE")</f>
        <v>TRUE</v>
      </c>
      <c r="I360" s="21" t="str">
        <f aca="false">IF(Variants!$H361="","","Color")</f>
        <v>Color</v>
      </c>
      <c r="J360" s="21" t="str">
        <f aca="false">IF(Variants!$H361="","",Variants!$H361)</f>
        <v>white-blue</v>
      </c>
      <c r="K360" s="21" t="str">
        <f aca="false">IF(Variants!$G361="","","Size")</f>
        <v>Size</v>
      </c>
      <c r="L360" s="21" t="str">
        <f aca="false">IF(Variants!$G361="","",Variants!$G361)</f>
        <v>small</v>
      </c>
      <c r="M360" s="21" t="str">
        <f aca="false">Variants!$A361</f>
        <v>KARNI-RING-ARTSAKHIKHACHANAKHSH-S-WHITE-BLUE</v>
      </c>
      <c r="N360" s="21" t="str">
        <f aca="false">IF(Variants!$X361="","",Variants!$X361)</f>
        <v/>
      </c>
      <c r="O360" s="21" t="n">
        <f aca="false">IF(Variants!$O361="","",Variants!$O361)</f>
        <v>0</v>
      </c>
      <c r="P360" s="18" t="n">
        <f aca="false">IF(Variants!$J361="","",Variants!$J361)</f>
        <v>33.8</v>
      </c>
      <c r="Q360" s="21" t="str">
        <f aca="false">IF(Variants!$U361="","",Variants!$U361)</f>
        <v/>
      </c>
      <c r="R360" s="21" t="str">
        <f aca="false">IF(Variants!$Y361="","",Variants!$Y361)</f>
        <v/>
      </c>
      <c r="S360" s="21" t="n">
        <f aca="false">IFERROR(VLOOKUP(Variants!$B361,Designs!$A$3:$AP$165,37,FALSE()),"")</f>
        <v>0</v>
      </c>
      <c r="T360" s="21" t="str">
        <f aca="false">IFERROR(VLOOKUP(Variants!$B361,Designs!$A$3:$AP$165,38,FALSE()),"")</f>
        <v>No</v>
      </c>
      <c r="U360" s="21" t="str">
        <f aca="false">IF(Variants!$AD361="Active","active","draft")</f>
        <v>active</v>
      </c>
    </row>
    <row r="361" customFormat="false" ht="15.75" hidden="false" customHeight="true" outlineLevel="0" collapsed="false">
      <c r="A361" s="21" t="str">
        <f aca="false">IF(Variants!$B362="","",LOWER(Variants!$B362))</f>
        <v>dsgn-ringtwin-marash</v>
      </c>
      <c r="B361" s="21" t="str">
        <f aca="false">IF(Variants!$B362="","",Variants!$C362&amp;IF(Variants!$F362="",""," "&amp;Variants!$F362))</f>
        <v>Marash Twin Ring</v>
      </c>
      <c r="C361" s="21" t="str">
        <f aca="false">IFERROR(IF(Variants!$B362="","","&lt;p&gt;"&amp;VLOOKUP(Variants!$B362,Designs!$A$3:$AP$165,9,FALSE())&amp;"&lt;/p&gt;"),"")</f>
        <v>&lt;p&gt;Marash-work is a distinctive Armenian embroidery style from Cilician Marash, known for its interlaced geometric patterns.&lt;/p&gt;</v>
      </c>
      <c r="D361" s="21" t="str">
        <f aca="false">IF(Variants!$B362="","","Karni Jewellery")</f>
        <v>Karni Jewellery</v>
      </c>
      <c r="E361" s="21" t="str">
        <f aca="false">IF(Variants!$B362="","","Apparel &amp; Accessories &gt; Jewelry")</f>
        <v>Apparel &amp; Accessories &gt; Jewelry</v>
      </c>
      <c r="F361" s="21" t="str">
        <f aca="false">IF(Variants!$D362="","",Variants!$D362)</f>
        <v>ring twin</v>
      </c>
      <c r="G361" s="21" t="str">
        <f aca="false">IF(Variants!$E362="","",Variants!$E362&amp;", Armenian jewellery, handmade")</f>
        <v>Marash, Armenian jewellery, handmade</v>
      </c>
      <c r="H361" s="21" t="str">
        <f aca="false">IF(Variants!$AD362="Active","TRUE","FALSE")</f>
        <v>TRUE</v>
      </c>
      <c r="I361" s="21" t="str">
        <f aca="false">IF(Variants!$H362="","","Color")</f>
        <v>Color</v>
      </c>
      <c r="J361" s="21" t="str">
        <f aca="false">IF(Variants!$H362="","",Variants!$H362)</f>
        <v>white-blue</v>
      </c>
      <c r="K361" s="21" t="str">
        <f aca="false">IF(Variants!$G362="","","Size")</f>
        <v/>
      </c>
      <c r="L361" s="21" t="str">
        <f aca="false">IF(Variants!$G362="","",Variants!$G362)</f>
        <v/>
      </c>
      <c r="M361" s="21" t="str">
        <f aca="false">Variants!$A362</f>
        <v>KARNI-RINGTWIN-MARASH-WHITE-BLUE</v>
      </c>
      <c r="N361" s="21" t="str">
        <f aca="false">IF(Variants!$X362="","",Variants!$X362)</f>
        <v/>
      </c>
      <c r="O361" s="21" t="n">
        <f aca="false">IF(Variants!$O362="","",Variants!$O362)</f>
        <v>0</v>
      </c>
      <c r="P361" s="18" t="n">
        <f aca="false">IF(Variants!$J362="","",Variants!$J362)</f>
        <v>52</v>
      </c>
      <c r="Q361" s="21" t="str">
        <f aca="false">IF(Variants!$U362="","",Variants!$U362)</f>
        <v/>
      </c>
      <c r="R361" s="21" t="str">
        <f aca="false">IF(Variants!$Y362="","",Variants!$Y362)</f>
        <v/>
      </c>
      <c r="S361" s="21" t="n">
        <f aca="false">IFERROR(VLOOKUP(Variants!$B362,Designs!$A$3:$AP$165,37,FALSE()),"")</f>
        <v>0</v>
      </c>
      <c r="T361" s="21" t="str">
        <f aca="false">IFERROR(VLOOKUP(Variants!$B362,Designs!$A$3:$AP$165,38,FALSE()),"")</f>
        <v>No</v>
      </c>
      <c r="U361" s="21" t="str">
        <f aca="false">IF(Variants!$AD362="Active","active","draft")</f>
        <v>active</v>
      </c>
    </row>
    <row r="362" customFormat="false" ht="15.75" hidden="false" customHeight="true" outlineLevel="0" collapsed="false">
      <c r="A362" s="21" t="str">
        <f aca="false">IF(Variants!$B363="","",LOWER(Variants!$B363))</f>
        <v>dsgn-ringtwin-marash</v>
      </c>
      <c r="B362" s="21" t="str">
        <f aca="false">IF(Variants!$B363="","",Variants!$C363&amp;IF(Variants!$F363="",""," "&amp;Variants!$F363))</f>
        <v>Marash Twin Ring</v>
      </c>
      <c r="C362" s="21" t="str">
        <f aca="false">IFERROR(IF(Variants!$B363="","","&lt;p&gt;"&amp;VLOOKUP(Variants!$B363,Designs!$A$3:$AP$165,9,FALSE())&amp;"&lt;/p&gt;"),"")</f>
        <v>&lt;p&gt;Marash-work is a distinctive Armenian embroidery style from Cilician Marash, known for its interlaced geometric patterns.&lt;/p&gt;</v>
      </c>
      <c r="D362" s="21" t="str">
        <f aca="false">IF(Variants!$B363="","","Karni Jewellery")</f>
        <v>Karni Jewellery</v>
      </c>
      <c r="E362" s="21" t="str">
        <f aca="false">IF(Variants!$B363="","","Apparel &amp; Accessories &gt; Jewelry")</f>
        <v>Apparel &amp; Accessories &gt; Jewelry</v>
      </c>
      <c r="F362" s="21" t="str">
        <f aca="false">IF(Variants!$D363="","",Variants!$D363)</f>
        <v>ring twin</v>
      </c>
      <c r="G362" s="21" t="str">
        <f aca="false">IF(Variants!$E363="","",Variants!$E363&amp;", Armenian jewellery, handmade")</f>
        <v>Marash, Armenian jewellery, handmade</v>
      </c>
      <c r="H362" s="21" t="str">
        <f aca="false">IF(Variants!$AD363="Active","TRUE","FALSE")</f>
        <v>TRUE</v>
      </c>
      <c r="I362" s="21" t="str">
        <f aca="false">IF(Variants!$H363="","","Color")</f>
        <v>Color</v>
      </c>
      <c r="J362" s="21" t="str">
        <f aca="false">IF(Variants!$H363="","",Variants!$H363)</f>
        <v>white-bordeaux</v>
      </c>
      <c r="K362" s="21" t="str">
        <f aca="false">IF(Variants!$G363="","","Size")</f>
        <v/>
      </c>
      <c r="L362" s="21" t="str">
        <f aca="false">IF(Variants!$G363="","",Variants!$G363)</f>
        <v/>
      </c>
      <c r="M362" s="21" t="str">
        <f aca="false">Variants!$A363</f>
        <v>KARNI-RINGTWIN-MARASH-WHITE-BORDEAUX</v>
      </c>
      <c r="N362" s="21" t="str">
        <f aca="false">IF(Variants!$X363="","",Variants!$X363)</f>
        <v/>
      </c>
      <c r="O362" s="21" t="n">
        <f aca="false">IF(Variants!$O363="","",Variants!$O363)</f>
        <v>0</v>
      </c>
      <c r="P362" s="18" t="n">
        <f aca="false">IF(Variants!$J363="","",Variants!$J363)</f>
        <v>52</v>
      </c>
      <c r="Q362" s="21" t="str">
        <f aca="false">IF(Variants!$U363="","",Variants!$U363)</f>
        <v/>
      </c>
      <c r="R362" s="21" t="str">
        <f aca="false">IF(Variants!$Y363="","",Variants!$Y363)</f>
        <v/>
      </c>
      <c r="S362" s="21" t="n">
        <f aca="false">IFERROR(VLOOKUP(Variants!$B363,Designs!$A$3:$AP$165,37,FALSE()),"")</f>
        <v>0</v>
      </c>
      <c r="T362" s="21" t="str">
        <f aca="false">IFERROR(VLOOKUP(Variants!$B363,Designs!$A$3:$AP$165,38,FALSE()),"")</f>
        <v>No</v>
      </c>
      <c r="U362" s="21" t="str">
        <f aca="false">IF(Variants!$AD363="Active","active","draft")</f>
        <v>active</v>
      </c>
    </row>
    <row r="363" customFormat="false" ht="15.75" hidden="false" customHeight="true" outlineLevel="0" collapsed="false">
      <c r="A363" s="21" t="str">
        <f aca="false">IF(Variants!$B364="","",LOWER(Variants!$B364))</f>
        <v>dsgn-ringtwin-marash</v>
      </c>
      <c r="B363" s="21" t="str">
        <f aca="false">IF(Variants!$B364="","",Variants!$C364&amp;IF(Variants!$F364="",""," "&amp;Variants!$F364))</f>
        <v>Marash Twin Ring</v>
      </c>
      <c r="C363" s="21" t="str">
        <f aca="false">IFERROR(IF(Variants!$B364="","","&lt;p&gt;"&amp;VLOOKUP(Variants!$B364,Designs!$A$3:$AP$165,9,FALSE())&amp;"&lt;/p&gt;"),"")</f>
        <v>&lt;p&gt;Marash-work is a distinctive Armenian embroidery style from Cilician Marash, known for its interlaced geometric patterns.&lt;/p&gt;</v>
      </c>
      <c r="D363" s="21" t="str">
        <f aca="false">IF(Variants!$B364="","","Karni Jewellery")</f>
        <v>Karni Jewellery</v>
      </c>
      <c r="E363" s="21" t="str">
        <f aca="false">IF(Variants!$B364="","","Apparel &amp; Accessories &gt; Jewelry")</f>
        <v>Apparel &amp; Accessories &gt; Jewelry</v>
      </c>
      <c r="F363" s="21" t="str">
        <f aca="false">IF(Variants!$D364="","",Variants!$D364)</f>
        <v>ring twin</v>
      </c>
      <c r="G363" s="21" t="str">
        <f aca="false">IF(Variants!$E364="","",Variants!$E364&amp;", Armenian jewellery, handmade")</f>
        <v>Marash, Armenian jewellery, handmade</v>
      </c>
      <c r="H363" s="21" t="str">
        <f aca="false">IF(Variants!$AD364="Active","TRUE","FALSE")</f>
        <v>TRUE</v>
      </c>
      <c r="I363" s="21" t="str">
        <f aca="false">IF(Variants!$H364="","","Color")</f>
        <v>Color</v>
      </c>
      <c r="J363" s="21" t="str">
        <f aca="false">IF(Variants!$H364="","",Variants!$H364)</f>
        <v>white-turquoise</v>
      </c>
      <c r="K363" s="21" t="str">
        <f aca="false">IF(Variants!$G364="","","Size")</f>
        <v/>
      </c>
      <c r="L363" s="21" t="str">
        <f aca="false">IF(Variants!$G364="","",Variants!$G364)</f>
        <v/>
      </c>
      <c r="M363" s="21" t="str">
        <f aca="false">Variants!$A364</f>
        <v>KARNI-RINGTWIN-MARASH-WHITE-TURQUOISE</v>
      </c>
      <c r="N363" s="21" t="str">
        <f aca="false">IF(Variants!$X364="","",Variants!$X364)</f>
        <v/>
      </c>
      <c r="O363" s="21" t="n">
        <f aca="false">IF(Variants!$O364="","",Variants!$O364)</f>
        <v>0</v>
      </c>
      <c r="P363" s="18" t="n">
        <f aca="false">IF(Variants!$J364="","",Variants!$J364)</f>
        <v>52</v>
      </c>
      <c r="Q363" s="21" t="str">
        <f aca="false">IF(Variants!$U364="","",Variants!$U364)</f>
        <v/>
      </c>
      <c r="R363" s="21" t="str">
        <f aca="false">IF(Variants!$Y364="","",Variants!$Y364)</f>
        <v/>
      </c>
      <c r="S363" s="21" t="n">
        <f aca="false">IFERROR(VLOOKUP(Variants!$B364,Designs!$A$3:$AP$165,37,FALSE()),"")</f>
        <v>0</v>
      </c>
      <c r="T363" s="21" t="str">
        <f aca="false">IFERROR(VLOOKUP(Variants!$B364,Designs!$A$3:$AP$165,38,FALSE()),"")</f>
        <v>No</v>
      </c>
      <c r="U363" s="21" t="str">
        <f aca="false">IF(Variants!$AD364="Active","active","draft")</f>
        <v>active</v>
      </c>
    </row>
    <row r="364" customFormat="false" ht="15.75" hidden="false" customHeight="true" outlineLevel="0" collapsed="false">
      <c r="A364" s="21" t="str">
        <f aca="false">IF(Variants!$B365="","",LOWER(Variants!$B365))</f>
        <v>dsgn-ringtwin-marash</v>
      </c>
      <c r="B364" s="21" t="str">
        <f aca="false">IF(Variants!$B365="","",Variants!$C365&amp;IF(Variants!$F365="",""," "&amp;Variants!$F365))</f>
        <v>Marash Twin Ring</v>
      </c>
      <c r="C364" s="21" t="str">
        <f aca="false">IFERROR(IF(Variants!$B365="","","&lt;p&gt;"&amp;VLOOKUP(Variants!$B365,Designs!$A$3:$AP$165,9,FALSE())&amp;"&lt;/p&gt;"),"")</f>
        <v>&lt;p&gt;Marash-work is a distinctive Armenian embroidery style from Cilician Marash, known for its interlaced geometric patterns.&lt;/p&gt;</v>
      </c>
      <c r="D364" s="21" t="str">
        <f aca="false">IF(Variants!$B365="","","Karni Jewellery")</f>
        <v>Karni Jewellery</v>
      </c>
      <c r="E364" s="21" t="str">
        <f aca="false">IF(Variants!$B365="","","Apparel &amp; Accessories &gt; Jewelry")</f>
        <v>Apparel &amp; Accessories &gt; Jewelry</v>
      </c>
      <c r="F364" s="21" t="str">
        <f aca="false">IF(Variants!$D365="","",Variants!$D365)</f>
        <v>ring twin</v>
      </c>
      <c r="G364" s="21" t="str">
        <f aca="false">IF(Variants!$E365="","",Variants!$E365&amp;", Armenian jewellery, handmade")</f>
        <v>Marash, Armenian jewellery, handmade</v>
      </c>
      <c r="H364" s="21" t="str">
        <f aca="false">IF(Variants!$AD365="Active","TRUE","FALSE")</f>
        <v>TRUE</v>
      </c>
      <c r="I364" s="21" t="str">
        <f aca="false">IF(Variants!$H365="","","Color")</f>
        <v>Color</v>
      </c>
      <c r="J364" s="21" t="str">
        <f aca="false">IF(Variants!$H365="","",Variants!$H365)</f>
        <v>white-green</v>
      </c>
      <c r="K364" s="21" t="str">
        <f aca="false">IF(Variants!$G365="","","Size")</f>
        <v/>
      </c>
      <c r="L364" s="21" t="str">
        <f aca="false">IF(Variants!$G365="","",Variants!$G365)</f>
        <v/>
      </c>
      <c r="M364" s="21" t="str">
        <f aca="false">Variants!$A365</f>
        <v>KARNI-RINGTWIN-MARASH-WHITE-GREEN</v>
      </c>
      <c r="N364" s="21" t="str">
        <f aca="false">IF(Variants!$X365="","",Variants!$X365)</f>
        <v/>
      </c>
      <c r="O364" s="21" t="n">
        <f aca="false">IF(Variants!$O365="","",Variants!$O365)</f>
        <v>0</v>
      </c>
      <c r="P364" s="18" t="n">
        <f aca="false">IF(Variants!$J365="","",Variants!$J365)</f>
        <v>52</v>
      </c>
      <c r="Q364" s="21" t="str">
        <f aca="false">IF(Variants!$U365="","",Variants!$U365)</f>
        <v/>
      </c>
      <c r="R364" s="21" t="str">
        <f aca="false">IF(Variants!$Y365="","",Variants!$Y365)</f>
        <v/>
      </c>
      <c r="S364" s="21" t="n">
        <f aca="false">IFERROR(VLOOKUP(Variants!$B365,Designs!$A$3:$AP$165,37,FALSE()),"")</f>
        <v>0</v>
      </c>
      <c r="T364" s="21" t="str">
        <f aca="false">IFERROR(VLOOKUP(Variants!$B365,Designs!$A$3:$AP$165,38,FALSE()),"")</f>
        <v>No</v>
      </c>
      <c r="U364" s="21" t="str">
        <f aca="false">IF(Variants!$AD365="Active","active","draft")</f>
        <v>active</v>
      </c>
    </row>
    <row r="365" customFormat="false" ht="15.75" hidden="false" customHeight="true" outlineLevel="0" collapsed="false">
      <c r="A365" s="21" t="str">
        <f aca="false">IF(Variants!$B366="","",LOWER(Variants!$B366))</f>
        <v>dsgn-ringtwin-van</v>
      </c>
      <c r="B365" s="21" t="str">
        <f aca="false">IF(Variants!$B366="","",Variants!$C366&amp;IF(Variants!$F366="",""," "&amp;Variants!$F366))</f>
        <v>Van Twin Ring</v>
      </c>
      <c r="C365" s="21" t="str">
        <f aca="false">IFERROR(IF(Variants!$B366="","","&lt;p&gt;"&amp;VLOOKUP(Variants!$B366,Designs!$A$3:$AP$165,9,FALSE())&amp;"&lt;/p&gt;"),"")</f>
        <v>&lt;p&gt;Motifs from the Van/Vaspurakan region, echoing the ornament of the Lake Van heartland of historic Armenia.&lt;/p&gt;</v>
      </c>
      <c r="D365" s="21" t="str">
        <f aca="false">IF(Variants!$B366="","","Karni Jewellery")</f>
        <v>Karni Jewellery</v>
      </c>
      <c r="E365" s="21" t="str">
        <f aca="false">IF(Variants!$B366="","","Apparel &amp; Accessories &gt; Jewelry")</f>
        <v>Apparel &amp; Accessories &gt; Jewelry</v>
      </c>
      <c r="F365" s="21" t="str">
        <f aca="false">IF(Variants!$D366="","",Variants!$D366)</f>
        <v>ring twin</v>
      </c>
      <c r="G365" s="21" t="str">
        <f aca="false">IF(Variants!$E366="","",Variants!$E366&amp;", Armenian jewellery, handmade")</f>
        <v>Van, Armenian jewellery, handmade</v>
      </c>
      <c r="H365" s="21" t="str">
        <f aca="false">IF(Variants!$AD366="Active","TRUE","FALSE")</f>
        <v>TRUE</v>
      </c>
      <c r="I365" s="21" t="str">
        <f aca="false">IF(Variants!$H366="","","Color")</f>
        <v>Color</v>
      </c>
      <c r="J365" s="21" t="str">
        <f aca="false">IF(Variants!$H366="","",Variants!$H366)</f>
        <v>white-blue</v>
      </c>
      <c r="K365" s="21" t="str">
        <f aca="false">IF(Variants!$G366="","","Size")</f>
        <v/>
      </c>
      <c r="L365" s="21" t="str">
        <f aca="false">IF(Variants!$G366="","",Variants!$G366)</f>
        <v/>
      </c>
      <c r="M365" s="21" t="str">
        <f aca="false">Variants!$A366</f>
        <v>KARNI-RINGTWIN-VAN-WHITE-BLUE</v>
      </c>
      <c r="N365" s="21" t="str">
        <f aca="false">IF(Variants!$X366="","",Variants!$X366)</f>
        <v/>
      </c>
      <c r="O365" s="21" t="n">
        <f aca="false">IF(Variants!$O366="","",Variants!$O366)</f>
        <v>0</v>
      </c>
      <c r="P365" s="18" t="n">
        <f aca="false">IF(Variants!$J366="","",Variants!$J366)</f>
        <v>52</v>
      </c>
      <c r="Q365" s="21" t="str">
        <f aca="false">IF(Variants!$U366="","",Variants!$U366)</f>
        <v/>
      </c>
      <c r="R365" s="21" t="str">
        <f aca="false">IF(Variants!$Y366="","",Variants!$Y366)</f>
        <v/>
      </c>
      <c r="S365" s="21" t="n">
        <f aca="false">IFERROR(VLOOKUP(Variants!$B366,Designs!$A$3:$AP$165,37,FALSE()),"")</f>
        <v>0</v>
      </c>
      <c r="T365" s="21" t="str">
        <f aca="false">IFERROR(VLOOKUP(Variants!$B366,Designs!$A$3:$AP$165,38,FALSE()),"")</f>
        <v>No</v>
      </c>
      <c r="U365" s="21" t="str">
        <f aca="false">IF(Variants!$AD366="Active","active","draft")</f>
        <v>active</v>
      </c>
    </row>
    <row r="366" customFormat="false" ht="15.75" hidden="false" customHeight="true" outlineLevel="0" collapsed="false">
      <c r="A366" s="21" t="str">
        <f aca="false">IF(Variants!$B367="","",LOWER(Variants!$B367))</f>
        <v>dsgn-ringtwin-van</v>
      </c>
      <c r="B366" s="21" t="str">
        <f aca="false">IF(Variants!$B367="","",Variants!$C367&amp;IF(Variants!$F367="",""," "&amp;Variants!$F367))</f>
        <v>Van Twin Ring</v>
      </c>
      <c r="C366" s="21" t="str">
        <f aca="false">IFERROR(IF(Variants!$B367="","","&lt;p&gt;"&amp;VLOOKUP(Variants!$B367,Designs!$A$3:$AP$165,9,FALSE())&amp;"&lt;/p&gt;"),"")</f>
        <v>&lt;p&gt;Motifs from the Van/Vaspurakan region, echoing the ornament of the Lake Van heartland of historic Armenia.&lt;/p&gt;</v>
      </c>
      <c r="D366" s="21" t="str">
        <f aca="false">IF(Variants!$B367="","","Karni Jewellery")</f>
        <v>Karni Jewellery</v>
      </c>
      <c r="E366" s="21" t="str">
        <f aca="false">IF(Variants!$B367="","","Apparel &amp; Accessories &gt; Jewelry")</f>
        <v>Apparel &amp; Accessories &gt; Jewelry</v>
      </c>
      <c r="F366" s="21" t="str">
        <f aca="false">IF(Variants!$D367="","",Variants!$D367)</f>
        <v>ring twin</v>
      </c>
      <c r="G366" s="21" t="str">
        <f aca="false">IF(Variants!$E367="","",Variants!$E367&amp;", Armenian jewellery, handmade")</f>
        <v>Van, Armenian jewellery, handmade</v>
      </c>
      <c r="H366" s="21" t="str">
        <f aca="false">IF(Variants!$AD367="Active","TRUE","FALSE")</f>
        <v>TRUE</v>
      </c>
      <c r="I366" s="21" t="str">
        <f aca="false">IF(Variants!$H367="","","Color")</f>
        <v>Color</v>
      </c>
      <c r="J366" s="21" t="str">
        <f aca="false">IF(Variants!$H367="","",Variants!$H367)</f>
        <v>white-bordeaux</v>
      </c>
      <c r="K366" s="21" t="str">
        <f aca="false">IF(Variants!$G367="","","Size")</f>
        <v/>
      </c>
      <c r="L366" s="21" t="str">
        <f aca="false">IF(Variants!$G367="","",Variants!$G367)</f>
        <v/>
      </c>
      <c r="M366" s="21" t="str">
        <f aca="false">Variants!$A367</f>
        <v>KARNI-RINGTWIN-VAN-WHITE-BORDEAUX</v>
      </c>
      <c r="N366" s="21" t="str">
        <f aca="false">IF(Variants!$X367="","",Variants!$X367)</f>
        <v/>
      </c>
      <c r="O366" s="21" t="n">
        <f aca="false">IF(Variants!$O367="","",Variants!$O367)</f>
        <v>0</v>
      </c>
      <c r="P366" s="18" t="n">
        <f aca="false">IF(Variants!$J367="","",Variants!$J367)</f>
        <v>52</v>
      </c>
      <c r="Q366" s="21" t="str">
        <f aca="false">IF(Variants!$U367="","",Variants!$U367)</f>
        <v/>
      </c>
      <c r="R366" s="21" t="str">
        <f aca="false">IF(Variants!$Y367="","",Variants!$Y367)</f>
        <v/>
      </c>
      <c r="S366" s="21" t="n">
        <f aca="false">IFERROR(VLOOKUP(Variants!$B367,Designs!$A$3:$AP$165,37,FALSE()),"")</f>
        <v>0</v>
      </c>
      <c r="T366" s="21" t="str">
        <f aca="false">IFERROR(VLOOKUP(Variants!$B367,Designs!$A$3:$AP$165,38,FALSE()),"")</f>
        <v>No</v>
      </c>
      <c r="U366" s="21" t="str">
        <f aca="false">IF(Variants!$AD367="Active","active","draft")</f>
        <v>active</v>
      </c>
    </row>
    <row r="367" customFormat="false" ht="15.75" hidden="false" customHeight="true" outlineLevel="0" collapsed="false">
      <c r="A367" s="21" t="str">
        <f aca="false">IF(Variants!$B368="","",LOWER(Variants!$B368))</f>
        <v>dsgn-ringtwin-van</v>
      </c>
      <c r="B367" s="21" t="str">
        <f aca="false">IF(Variants!$B368="","",Variants!$C368&amp;IF(Variants!$F368="",""," "&amp;Variants!$F368))</f>
        <v>Van Twin Ring</v>
      </c>
      <c r="C367" s="21" t="str">
        <f aca="false">IFERROR(IF(Variants!$B368="","","&lt;p&gt;"&amp;VLOOKUP(Variants!$B368,Designs!$A$3:$AP$165,9,FALSE())&amp;"&lt;/p&gt;"),"")</f>
        <v>&lt;p&gt;Motifs from the Van/Vaspurakan region, echoing the ornament of the Lake Van heartland of historic Armenia.&lt;/p&gt;</v>
      </c>
      <c r="D367" s="21" t="str">
        <f aca="false">IF(Variants!$B368="","","Karni Jewellery")</f>
        <v>Karni Jewellery</v>
      </c>
      <c r="E367" s="21" t="str">
        <f aca="false">IF(Variants!$B368="","","Apparel &amp; Accessories &gt; Jewelry")</f>
        <v>Apparel &amp; Accessories &gt; Jewelry</v>
      </c>
      <c r="F367" s="21" t="str">
        <f aca="false">IF(Variants!$D368="","",Variants!$D368)</f>
        <v>ring twin</v>
      </c>
      <c r="G367" s="21" t="str">
        <f aca="false">IF(Variants!$E368="","",Variants!$E368&amp;", Armenian jewellery, handmade")</f>
        <v>Van, Armenian jewellery, handmade</v>
      </c>
      <c r="H367" s="21" t="str">
        <f aca="false">IF(Variants!$AD368="Active","TRUE","FALSE")</f>
        <v>TRUE</v>
      </c>
      <c r="I367" s="21" t="str">
        <f aca="false">IF(Variants!$H368="","","Color")</f>
        <v>Color</v>
      </c>
      <c r="J367" s="21" t="str">
        <f aca="false">IF(Variants!$H368="","",Variants!$H368)</f>
        <v>white-turquoise</v>
      </c>
      <c r="K367" s="21" t="str">
        <f aca="false">IF(Variants!$G368="","","Size")</f>
        <v/>
      </c>
      <c r="L367" s="21" t="str">
        <f aca="false">IF(Variants!$G368="","",Variants!$G368)</f>
        <v/>
      </c>
      <c r="M367" s="21" t="str">
        <f aca="false">Variants!$A368</f>
        <v>KARNI-RINGTWIN-VAN-WHITE-TURQUOISE</v>
      </c>
      <c r="N367" s="21" t="str">
        <f aca="false">IF(Variants!$X368="","",Variants!$X368)</f>
        <v/>
      </c>
      <c r="O367" s="21" t="n">
        <f aca="false">IF(Variants!$O368="","",Variants!$O368)</f>
        <v>0</v>
      </c>
      <c r="P367" s="18" t="n">
        <f aca="false">IF(Variants!$J368="","",Variants!$J368)</f>
        <v>52</v>
      </c>
      <c r="Q367" s="21" t="str">
        <f aca="false">IF(Variants!$U368="","",Variants!$U368)</f>
        <v/>
      </c>
      <c r="R367" s="21" t="str">
        <f aca="false">IF(Variants!$Y368="","",Variants!$Y368)</f>
        <v/>
      </c>
      <c r="S367" s="21" t="n">
        <f aca="false">IFERROR(VLOOKUP(Variants!$B368,Designs!$A$3:$AP$165,37,FALSE()),"")</f>
        <v>0</v>
      </c>
      <c r="T367" s="21" t="str">
        <f aca="false">IFERROR(VLOOKUP(Variants!$B368,Designs!$A$3:$AP$165,38,FALSE()),"")</f>
        <v>No</v>
      </c>
      <c r="U367" s="21" t="str">
        <f aca="false">IF(Variants!$AD368="Active","active","draft")</f>
        <v>active</v>
      </c>
    </row>
    <row r="368" customFormat="false" ht="15.75" hidden="false" customHeight="true" outlineLevel="0" collapsed="false">
      <c r="A368" s="21" t="str">
        <f aca="false">IF(Variants!$B369="","",LOWER(Variants!$B369))</f>
        <v>dsgn-ringtwin-van</v>
      </c>
      <c r="B368" s="21" t="str">
        <f aca="false">IF(Variants!$B369="","",Variants!$C369&amp;IF(Variants!$F369="",""," "&amp;Variants!$F369))</f>
        <v>Van Twin Ring</v>
      </c>
      <c r="C368" s="21" t="str">
        <f aca="false">IFERROR(IF(Variants!$B369="","","&lt;p&gt;"&amp;VLOOKUP(Variants!$B369,Designs!$A$3:$AP$165,9,FALSE())&amp;"&lt;/p&gt;"),"")</f>
        <v>&lt;p&gt;Motifs from the Van/Vaspurakan region, echoing the ornament of the Lake Van heartland of historic Armenia.&lt;/p&gt;</v>
      </c>
      <c r="D368" s="21" t="str">
        <f aca="false">IF(Variants!$B369="","","Karni Jewellery")</f>
        <v>Karni Jewellery</v>
      </c>
      <c r="E368" s="21" t="str">
        <f aca="false">IF(Variants!$B369="","","Apparel &amp; Accessories &gt; Jewelry")</f>
        <v>Apparel &amp; Accessories &gt; Jewelry</v>
      </c>
      <c r="F368" s="21" t="str">
        <f aca="false">IF(Variants!$D369="","",Variants!$D369)</f>
        <v>ring twin</v>
      </c>
      <c r="G368" s="21" t="str">
        <f aca="false">IF(Variants!$E369="","",Variants!$E369&amp;", Armenian jewellery, handmade")</f>
        <v>Van, Armenian jewellery, handmade</v>
      </c>
      <c r="H368" s="21" t="str">
        <f aca="false">IF(Variants!$AD369="Active","TRUE","FALSE")</f>
        <v>TRUE</v>
      </c>
      <c r="I368" s="21" t="str">
        <f aca="false">IF(Variants!$H369="","","Color")</f>
        <v>Color</v>
      </c>
      <c r="J368" s="21" t="str">
        <f aca="false">IF(Variants!$H369="","",Variants!$H369)</f>
        <v>white-green</v>
      </c>
      <c r="K368" s="21" t="str">
        <f aca="false">IF(Variants!$G369="","","Size")</f>
        <v/>
      </c>
      <c r="L368" s="21" t="str">
        <f aca="false">IF(Variants!$G369="","",Variants!$G369)</f>
        <v/>
      </c>
      <c r="M368" s="21" t="str">
        <f aca="false">Variants!$A369</f>
        <v>KARNI-RINGTWIN-VAN-WHITE-GREEN</v>
      </c>
      <c r="N368" s="21" t="str">
        <f aca="false">IF(Variants!$X369="","",Variants!$X369)</f>
        <v/>
      </c>
      <c r="O368" s="21" t="n">
        <f aca="false">IF(Variants!$O369="","",Variants!$O369)</f>
        <v>0</v>
      </c>
      <c r="P368" s="18" t="n">
        <f aca="false">IF(Variants!$J369="","",Variants!$J369)</f>
        <v>52</v>
      </c>
      <c r="Q368" s="21" t="str">
        <f aca="false">IF(Variants!$U369="","",Variants!$U369)</f>
        <v/>
      </c>
      <c r="R368" s="21" t="str">
        <f aca="false">IF(Variants!$Y369="","",Variants!$Y369)</f>
        <v/>
      </c>
      <c r="S368" s="21" t="n">
        <f aca="false">IFERROR(VLOOKUP(Variants!$B369,Designs!$A$3:$AP$165,37,FALSE()),"")</f>
        <v>0</v>
      </c>
      <c r="T368" s="21" t="str">
        <f aca="false">IFERROR(VLOOKUP(Variants!$B369,Designs!$A$3:$AP$165,38,FALSE()),"")</f>
        <v>No</v>
      </c>
      <c r="U368" s="21" t="str">
        <f aca="false">IF(Variants!$AD369="Active","active","draft")</f>
        <v>active</v>
      </c>
    </row>
    <row r="369" customFormat="false" ht="15.75" hidden="false" customHeight="true" outlineLevel="0" collapsed="false">
      <c r="A369" s="21" t="str">
        <f aca="false">IF(Variants!$B370="","",LOWER(Variants!$B370))</f>
        <v>dsgn-ringtwin-vishab</v>
      </c>
      <c r="B369" s="21" t="str">
        <f aca="false">IF(Variants!$B370="","",Variants!$C370&amp;IF(Variants!$F370="",""," "&amp;Variants!$F370))</f>
        <v>Vishab Twin Ring</v>
      </c>
      <c r="C369" s="21" t="str">
        <f aca="false">IFERROR(IF(Variants!$B370="","","&lt;p&gt;"&amp;VLOOKUP(Variants!$B370,Designs!$A$3:$AP$165,9,FALSE())&amp;"&lt;/p&gt;"),"")</f>
        <v>&lt;p&gt;Vishaps are ancient Armenian dragon-stones (vishapakar) found in the highlands, among the oldest carved monuments in the region.&lt;/p&gt;</v>
      </c>
      <c r="D369" s="21" t="str">
        <f aca="false">IF(Variants!$B370="","","Karni Jewellery")</f>
        <v>Karni Jewellery</v>
      </c>
      <c r="E369" s="21" t="str">
        <f aca="false">IF(Variants!$B370="","","Apparel &amp; Accessories &gt; Jewelry")</f>
        <v>Apparel &amp; Accessories &gt; Jewelry</v>
      </c>
      <c r="F369" s="21" t="str">
        <f aca="false">IF(Variants!$D370="","",Variants!$D370)</f>
        <v>ring twin</v>
      </c>
      <c r="G369" s="21" t="str">
        <f aca="false">IF(Variants!$E370="","",Variants!$E370&amp;", Armenian jewellery, handmade")</f>
        <v>Vishab, Armenian jewellery, handmade</v>
      </c>
      <c r="H369" s="21" t="str">
        <f aca="false">IF(Variants!$AD370="Active","TRUE","FALSE")</f>
        <v>TRUE</v>
      </c>
      <c r="I369" s="21" t="str">
        <f aca="false">IF(Variants!$H370="","","Color")</f>
        <v>Color</v>
      </c>
      <c r="J369" s="21" t="str">
        <f aca="false">IF(Variants!$H370="","",Variants!$H370)</f>
        <v>white-blue</v>
      </c>
      <c r="K369" s="21" t="str">
        <f aca="false">IF(Variants!$G370="","","Size")</f>
        <v/>
      </c>
      <c r="L369" s="21" t="str">
        <f aca="false">IF(Variants!$G370="","",Variants!$G370)</f>
        <v/>
      </c>
      <c r="M369" s="21" t="str">
        <f aca="false">Variants!$A370</f>
        <v>KARNI-RINGTWIN-VISHAB-WHITE-BLUE</v>
      </c>
      <c r="N369" s="21" t="str">
        <f aca="false">IF(Variants!$X370="","",Variants!$X370)</f>
        <v/>
      </c>
      <c r="O369" s="21" t="n">
        <f aca="false">IF(Variants!$O370="","",Variants!$O370)</f>
        <v>0</v>
      </c>
      <c r="P369" s="18" t="n">
        <f aca="false">IF(Variants!$J370="","",Variants!$J370)</f>
        <v>52</v>
      </c>
      <c r="Q369" s="21" t="str">
        <f aca="false">IF(Variants!$U370="","",Variants!$U370)</f>
        <v/>
      </c>
      <c r="R369" s="21" t="str">
        <f aca="false">IF(Variants!$Y370="","",Variants!$Y370)</f>
        <v/>
      </c>
      <c r="S369" s="21" t="n">
        <f aca="false">IFERROR(VLOOKUP(Variants!$B370,Designs!$A$3:$AP$165,37,FALSE()),"")</f>
        <v>0</v>
      </c>
      <c r="T369" s="21" t="str">
        <f aca="false">IFERROR(VLOOKUP(Variants!$B370,Designs!$A$3:$AP$165,38,FALSE()),"")</f>
        <v>No</v>
      </c>
      <c r="U369" s="21" t="str">
        <f aca="false">IF(Variants!$AD370="Active","active","draft")</f>
        <v>active</v>
      </c>
    </row>
    <row r="370" customFormat="false" ht="15.75" hidden="false" customHeight="true" outlineLevel="0" collapsed="false">
      <c r="A370" s="21" t="str">
        <f aca="false">IF(Variants!$B371="","",LOWER(Variants!$B371))</f>
        <v>dsgn-ringtwin-vishab</v>
      </c>
      <c r="B370" s="21" t="str">
        <f aca="false">IF(Variants!$B371="","",Variants!$C371&amp;IF(Variants!$F371="",""," "&amp;Variants!$F371))</f>
        <v>Vishab Twin Ring</v>
      </c>
      <c r="C370" s="21" t="str">
        <f aca="false">IFERROR(IF(Variants!$B371="","","&lt;p&gt;"&amp;VLOOKUP(Variants!$B371,Designs!$A$3:$AP$165,9,FALSE())&amp;"&lt;/p&gt;"),"")</f>
        <v>&lt;p&gt;Vishaps are ancient Armenian dragon-stones (vishapakar) found in the highlands, among the oldest carved monuments in the region.&lt;/p&gt;</v>
      </c>
      <c r="D370" s="21" t="str">
        <f aca="false">IF(Variants!$B371="","","Karni Jewellery")</f>
        <v>Karni Jewellery</v>
      </c>
      <c r="E370" s="21" t="str">
        <f aca="false">IF(Variants!$B371="","","Apparel &amp; Accessories &gt; Jewelry")</f>
        <v>Apparel &amp; Accessories &gt; Jewelry</v>
      </c>
      <c r="F370" s="21" t="str">
        <f aca="false">IF(Variants!$D371="","",Variants!$D371)</f>
        <v>ring twin</v>
      </c>
      <c r="G370" s="21" t="str">
        <f aca="false">IF(Variants!$E371="","",Variants!$E371&amp;", Armenian jewellery, handmade")</f>
        <v>Vishab, Armenian jewellery, handmade</v>
      </c>
      <c r="H370" s="21" t="str">
        <f aca="false">IF(Variants!$AD371="Active","TRUE","FALSE")</f>
        <v>TRUE</v>
      </c>
      <c r="I370" s="21" t="str">
        <f aca="false">IF(Variants!$H371="","","Color")</f>
        <v>Color</v>
      </c>
      <c r="J370" s="21" t="str">
        <f aca="false">IF(Variants!$H371="","",Variants!$H371)</f>
        <v>white-bordeaux</v>
      </c>
      <c r="K370" s="21" t="str">
        <f aca="false">IF(Variants!$G371="","","Size")</f>
        <v/>
      </c>
      <c r="L370" s="21" t="str">
        <f aca="false">IF(Variants!$G371="","",Variants!$G371)</f>
        <v/>
      </c>
      <c r="M370" s="21" t="str">
        <f aca="false">Variants!$A371</f>
        <v>KARNI-RINGTWIN-VISHAB-WHITE-BORDEAUX</v>
      </c>
      <c r="N370" s="21" t="str">
        <f aca="false">IF(Variants!$X371="","",Variants!$X371)</f>
        <v/>
      </c>
      <c r="O370" s="21" t="n">
        <f aca="false">IF(Variants!$O371="","",Variants!$O371)</f>
        <v>0</v>
      </c>
      <c r="P370" s="18" t="n">
        <f aca="false">IF(Variants!$J371="","",Variants!$J371)</f>
        <v>52</v>
      </c>
      <c r="Q370" s="21" t="str">
        <f aca="false">IF(Variants!$U371="","",Variants!$U371)</f>
        <v/>
      </c>
      <c r="R370" s="21" t="str">
        <f aca="false">IF(Variants!$Y371="","",Variants!$Y371)</f>
        <v/>
      </c>
      <c r="S370" s="21" t="n">
        <f aca="false">IFERROR(VLOOKUP(Variants!$B371,Designs!$A$3:$AP$165,37,FALSE()),"")</f>
        <v>0</v>
      </c>
      <c r="T370" s="21" t="str">
        <f aca="false">IFERROR(VLOOKUP(Variants!$B371,Designs!$A$3:$AP$165,38,FALSE()),"")</f>
        <v>No</v>
      </c>
      <c r="U370" s="21" t="str">
        <f aca="false">IF(Variants!$AD371="Active","active","draft")</f>
        <v>active</v>
      </c>
    </row>
    <row r="371" customFormat="false" ht="15.75" hidden="false" customHeight="true" outlineLevel="0" collapsed="false">
      <c r="A371" s="21" t="str">
        <f aca="false">IF(Variants!$B372="","",LOWER(Variants!$B372))</f>
        <v>dsgn-ringtwin-vishab</v>
      </c>
      <c r="B371" s="21" t="str">
        <f aca="false">IF(Variants!$B372="","",Variants!$C372&amp;IF(Variants!$F372="",""," "&amp;Variants!$F372))</f>
        <v>Vishab Twin Ring</v>
      </c>
      <c r="C371" s="21" t="str">
        <f aca="false">IFERROR(IF(Variants!$B372="","","&lt;p&gt;"&amp;VLOOKUP(Variants!$B372,Designs!$A$3:$AP$165,9,FALSE())&amp;"&lt;/p&gt;"),"")</f>
        <v>&lt;p&gt;Vishaps are ancient Armenian dragon-stones (vishapakar) found in the highlands, among the oldest carved monuments in the region.&lt;/p&gt;</v>
      </c>
      <c r="D371" s="21" t="str">
        <f aca="false">IF(Variants!$B372="","","Karni Jewellery")</f>
        <v>Karni Jewellery</v>
      </c>
      <c r="E371" s="21" t="str">
        <f aca="false">IF(Variants!$B372="","","Apparel &amp; Accessories &gt; Jewelry")</f>
        <v>Apparel &amp; Accessories &gt; Jewelry</v>
      </c>
      <c r="F371" s="21" t="str">
        <f aca="false">IF(Variants!$D372="","",Variants!$D372)</f>
        <v>ring twin</v>
      </c>
      <c r="G371" s="21" t="str">
        <f aca="false">IF(Variants!$E372="","",Variants!$E372&amp;", Armenian jewellery, handmade")</f>
        <v>Vishab, Armenian jewellery, handmade</v>
      </c>
      <c r="H371" s="21" t="str">
        <f aca="false">IF(Variants!$AD372="Active","TRUE","FALSE")</f>
        <v>TRUE</v>
      </c>
      <c r="I371" s="21" t="str">
        <f aca="false">IF(Variants!$H372="","","Color")</f>
        <v>Color</v>
      </c>
      <c r="J371" s="21" t="str">
        <f aca="false">IF(Variants!$H372="","",Variants!$H372)</f>
        <v>white-turquoise</v>
      </c>
      <c r="K371" s="21" t="str">
        <f aca="false">IF(Variants!$G372="","","Size")</f>
        <v/>
      </c>
      <c r="L371" s="21" t="str">
        <f aca="false">IF(Variants!$G372="","",Variants!$G372)</f>
        <v/>
      </c>
      <c r="M371" s="21" t="str">
        <f aca="false">Variants!$A372</f>
        <v>KARNI-RINGTWIN-VISHAB-WHITE-TURQUOISE</v>
      </c>
      <c r="N371" s="21" t="str">
        <f aca="false">IF(Variants!$X372="","",Variants!$X372)</f>
        <v/>
      </c>
      <c r="O371" s="21" t="n">
        <f aca="false">IF(Variants!$O372="","",Variants!$O372)</f>
        <v>0</v>
      </c>
      <c r="P371" s="18" t="n">
        <f aca="false">IF(Variants!$J372="","",Variants!$J372)</f>
        <v>52</v>
      </c>
      <c r="Q371" s="21" t="str">
        <f aca="false">IF(Variants!$U372="","",Variants!$U372)</f>
        <v/>
      </c>
      <c r="R371" s="21" t="str">
        <f aca="false">IF(Variants!$Y372="","",Variants!$Y372)</f>
        <v/>
      </c>
      <c r="S371" s="21" t="n">
        <f aca="false">IFERROR(VLOOKUP(Variants!$B372,Designs!$A$3:$AP$165,37,FALSE()),"")</f>
        <v>0</v>
      </c>
      <c r="T371" s="21" t="str">
        <f aca="false">IFERROR(VLOOKUP(Variants!$B372,Designs!$A$3:$AP$165,38,FALSE()),"")</f>
        <v>No</v>
      </c>
      <c r="U371" s="21" t="str">
        <f aca="false">IF(Variants!$AD372="Active","active","draft")</f>
        <v>active</v>
      </c>
    </row>
    <row r="372" customFormat="false" ht="15.75" hidden="false" customHeight="true" outlineLevel="0" collapsed="false">
      <c r="A372" s="21" t="str">
        <f aca="false">IF(Variants!$B373="","",LOWER(Variants!$B373))</f>
        <v>dsgn-ringtwin-vishab</v>
      </c>
      <c r="B372" s="21" t="str">
        <f aca="false">IF(Variants!$B373="","",Variants!$C373&amp;IF(Variants!$F373="",""," "&amp;Variants!$F373))</f>
        <v>Vishab Twin Ring</v>
      </c>
      <c r="C372" s="21" t="str">
        <f aca="false">IFERROR(IF(Variants!$B373="","","&lt;p&gt;"&amp;VLOOKUP(Variants!$B373,Designs!$A$3:$AP$165,9,FALSE())&amp;"&lt;/p&gt;"),"")</f>
        <v>&lt;p&gt;Vishaps are ancient Armenian dragon-stones (vishapakar) found in the highlands, among the oldest carved monuments in the region.&lt;/p&gt;</v>
      </c>
      <c r="D372" s="21" t="str">
        <f aca="false">IF(Variants!$B373="","","Karni Jewellery")</f>
        <v>Karni Jewellery</v>
      </c>
      <c r="E372" s="21" t="str">
        <f aca="false">IF(Variants!$B373="","","Apparel &amp; Accessories &gt; Jewelry")</f>
        <v>Apparel &amp; Accessories &gt; Jewelry</v>
      </c>
      <c r="F372" s="21" t="str">
        <f aca="false">IF(Variants!$D373="","",Variants!$D373)</f>
        <v>ring twin</v>
      </c>
      <c r="G372" s="21" t="str">
        <f aca="false">IF(Variants!$E373="","",Variants!$E373&amp;", Armenian jewellery, handmade")</f>
        <v>Vishab, Armenian jewellery, handmade</v>
      </c>
      <c r="H372" s="21" t="str">
        <f aca="false">IF(Variants!$AD373="Active","TRUE","FALSE")</f>
        <v>TRUE</v>
      </c>
      <c r="I372" s="21" t="str">
        <f aca="false">IF(Variants!$H373="","","Color")</f>
        <v>Color</v>
      </c>
      <c r="J372" s="21" t="str">
        <f aca="false">IF(Variants!$H373="","",Variants!$H373)</f>
        <v>white-green</v>
      </c>
      <c r="K372" s="21" t="str">
        <f aca="false">IF(Variants!$G373="","","Size")</f>
        <v/>
      </c>
      <c r="L372" s="21" t="str">
        <f aca="false">IF(Variants!$G373="","",Variants!$G373)</f>
        <v/>
      </c>
      <c r="M372" s="21" t="str">
        <f aca="false">Variants!$A373</f>
        <v>KARNI-RINGTWIN-VISHAB-WHITE-GREEN</v>
      </c>
      <c r="N372" s="21" t="str">
        <f aca="false">IF(Variants!$X373="","",Variants!$X373)</f>
        <v/>
      </c>
      <c r="O372" s="21" t="n">
        <f aca="false">IF(Variants!$O373="","",Variants!$O373)</f>
        <v>0</v>
      </c>
      <c r="P372" s="18" t="n">
        <f aca="false">IF(Variants!$J373="","",Variants!$J373)</f>
        <v>52</v>
      </c>
      <c r="Q372" s="21" t="str">
        <f aca="false">IF(Variants!$U373="","",Variants!$U373)</f>
        <v/>
      </c>
      <c r="R372" s="21" t="str">
        <f aca="false">IF(Variants!$Y373="","",Variants!$Y373)</f>
        <v/>
      </c>
      <c r="S372" s="21" t="n">
        <f aca="false">IFERROR(VLOOKUP(Variants!$B373,Designs!$A$3:$AP$165,37,FALSE()),"")</f>
        <v>0</v>
      </c>
      <c r="T372" s="21" t="str">
        <f aca="false">IFERROR(VLOOKUP(Variants!$B373,Designs!$A$3:$AP$165,38,FALSE()),"")</f>
        <v>No</v>
      </c>
      <c r="U372" s="21" t="str">
        <f aca="false">IF(Variants!$AD373="Active","active","draft")</f>
        <v>active</v>
      </c>
    </row>
    <row r="373" customFormat="false" ht="15.75" hidden="false" customHeight="true" outlineLevel="0" collapsed="false">
      <c r="A373" s="21" t="str">
        <f aca="false">IF(Variants!$B374="","",LOWER(Variants!$B374))</f>
        <v>dsgn-ring-van-m</v>
      </c>
      <c r="B373" s="21" t="str">
        <f aca="false">IF(Variants!$B374="","",Variants!$C374&amp;IF(Variants!$F374="",""," "&amp;Variants!$F374))</f>
        <v>Van Ring</v>
      </c>
      <c r="C373" s="21" t="str">
        <f aca="false">IFERROR(IF(Variants!$B374="","","&lt;p&gt;"&amp;VLOOKUP(Variants!$B374,Designs!$A$3:$AP$165,9,FALSE())&amp;"&lt;/p&gt;"),"")</f>
        <v>&lt;p&gt;Motifs from the Van/Vaspurakan region, echoing the ornament of the Lake Van heartland of historic Armenia.&lt;/p&gt;</v>
      </c>
      <c r="D373" s="21" t="str">
        <f aca="false">IF(Variants!$B374="","","Karni Jewellery")</f>
        <v>Karni Jewellery</v>
      </c>
      <c r="E373" s="21" t="str">
        <f aca="false">IF(Variants!$B374="","","Apparel &amp; Accessories &gt; Jewelry")</f>
        <v>Apparel &amp; Accessories &gt; Jewelry</v>
      </c>
      <c r="F373" s="21" t="str">
        <f aca="false">IF(Variants!$D374="","",Variants!$D374)</f>
        <v>Ring</v>
      </c>
      <c r="G373" s="21" t="str">
        <f aca="false">IF(Variants!$E374="","",Variants!$E374&amp;", Armenian jewellery, handmade")</f>
        <v>Van, Armenian jewellery, handmade</v>
      </c>
      <c r="H373" s="21" t="str">
        <f aca="false">IF(Variants!$AD374="Active","TRUE","FALSE")</f>
        <v>TRUE</v>
      </c>
      <c r="I373" s="21" t="str">
        <f aca="false">IF(Variants!$H374="","","Color")</f>
        <v>Color</v>
      </c>
      <c r="J373" s="21" t="str">
        <f aca="false">IF(Variants!$H374="","",Variants!$H374)</f>
        <v>blue</v>
      </c>
      <c r="K373" s="21" t="str">
        <f aca="false">IF(Variants!$G374="","","Size")</f>
        <v>Size</v>
      </c>
      <c r="L373" s="21" t="str">
        <f aca="false">IF(Variants!$G374="","",Variants!$G374)</f>
        <v>medium</v>
      </c>
      <c r="M373" s="21" t="str">
        <f aca="false">Variants!$A374</f>
        <v>KARNI-RING-VAN-M-BLUE</v>
      </c>
      <c r="N373" s="21" t="str">
        <f aca="false">IF(Variants!$X374="","",Variants!$X374)</f>
        <v/>
      </c>
      <c r="O373" s="21" t="n">
        <f aca="false">IF(Variants!$O374="","",Variants!$O374)</f>
        <v>0</v>
      </c>
      <c r="P373" s="18" t="n">
        <f aca="false">IF(Variants!$J374="","",Variants!$J374)</f>
        <v>52</v>
      </c>
      <c r="Q373" s="21" t="str">
        <f aca="false">IF(Variants!$U374="","",Variants!$U374)</f>
        <v/>
      </c>
      <c r="R373" s="21" t="str">
        <f aca="false">IF(Variants!$Y374="","",Variants!$Y374)</f>
        <v/>
      </c>
      <c r="S373" s="21" t="n">
        <f aca="false">IFERROR(VLOOKUP(Variants!$B374,Designs!$A$3:$AP$165,37,FALSE()),"")</f>
        <v>0</v>
      </c>
      <c r="T373" s="21" t="str">
        <f aca="false">IFERROR(VLOOKUP(Variants!$B374,Designs!$A$3:$AP$165,38,FALSE()),"")</f>
        <v>No</v>
      </c>
      <c r="U373" s="21" t="str">
        <f aca="false">IF(Variants!$AD374="Active","active","draft")</f>
        <v>active</v>
      </c>
    </row>
    <row r="374" customFormat="false" ht="15.75" hidden="false" customHeight="true" outlineLevel="0" collapsed="false">
      <c r="A374" s="21" t="str">
        <f aca="false">IF(Variants!$B375="","",LOWER(Variants!$B375))</f>
        <v>dsgn-ring-van-m</v>
      </c>
      <c r="B374" s="21" t="str">
        <f aca="false">IF(Variants!$B375="","",Variants!$C375&amp;IF(Variants!$F375="",""," "&amp;Variants!$F375))</f>
        <v>Van Ring</v>
      </c>
      <c r="C374" s="21" t="str">
        <f aca="false">IFERROR(IF(Variants!$B375="","","&lt;p&gt;"&amp;VLOOKUP(Variants!$B375,Designs!$A$3:$AP$165,9,FALSE())&amp;"&lt;/p&gt;"),"")</f>
        <v>&lt;p&gt;Motifs from the Van/Vaspurakan region, echoing the ornament of the Lake Van heartland of historic Armenia.&lt;/p&gt;</v>
      </c>
      <c r="D374" s="21" t="str">
        <f aca="false">IF(Variants!$B375="","","Karni Jewellery")</f>
        <v>Karni Jewellery</v>
      </c>
      <c r="E374" s="21" t="str">
        <f aca="false">IF(Variants!$B375="","","Apparel &amp; Accessories &gt; Jewelry")</f>
        <v>Apparel &amp; Accessories &gt; Jewelry</v>
      </c>
      <c r="F374" s="21" t="str">
        <f aca="false">IF(Variants!$D375="","",Variants!$D375)</f>
        <v>Ring</v>
      </c>
      <c r="G374" s="21" t="str">
        <f aca="false">IF(Variants!$E375="","",Variants!$E375&amp;", Armenian jewellery, handmade")</f>
        <v>Van, Armenian jewellery, handmade</v>
      </c>
      <c r="H374" s="21" t="str">
        <f aca="false">IF(Variants!$AD375="Active","TRUE","FALSE")</f>
        <v>TRUE</v>
      </c>
      <c r="I374" s="21" t="str">
        <f aca="false">IF(Variants!$H375="","","Color")</f>
        <v>Color</v>
      </c>
      <c r="J374" s="21" t="str">
        <f aca="false">IF(Variants!$H375="","",Variants!$H375)</f>
        <v>white</v>
      </c>
      <c r="K374" s="21" t="str">
        <f aca="false">IF(Variants!$G375="","","Size")</f>
        <v>Size</v>
      </c>
      <c r="L374" s="21" t="str">
        <f aca="false">IF(Variants!$G375="","",Variants!$G375)</f>
        <v>medium</v>
      </c>
      <c r="M374" s="21" t="str">
        <f aca="false">Variants!$A375</f>
        <v>KARNI-RING-VAN-M-WHITE</v>
      </c>
      <c r="N374" s="21" t="str">
        <f aca="false">IF(Variants!$X375="","",Variants!$X375)</f>
        <v/>
      </c>
      <c r="O374" s="21" t="n">
        <f aca="false">IF(Variants!$O375="","",Variants!$O375)</f>
        <v>0</v>
      </c>
      <c r="P374" s="18" t="n">
        <f aca="false">IF(Variants!$J375="","",Variants!$J375)</f>
        <v>52</v>
      </c>
      <c r="Q374" s="21" t="str">
        <f aca="false">IF(Variants!$U375="","",Variants!$U375)</f>
        <v/>
      </c>
      <c r="R374" s="21" t="str">
        <f aca="false">IF(Variants!$Y375="","",Variants!$Y375)</f>
        <v/>
      </c>
      <c r="S374" s="21" t="n">
        <f aca="false">IFERROR(VLOOKUP(Variants!$B375,Designs!$A$3:$AP$165,37,FALSE()),"")</f>
        <v>0</v>
      </c>
      <c r="T374" s="21" t="str">
        <f aca="false">IFERROR(VLOOKUP(Variants!$B375,Designs!$A$3:$AP$165,38,FALSE()),"")</f>
        <v>No</v>
      </c>
      <c r="U374" s="21" t="str">
        <f aca="false">IF(Variants!$AD375="Active","active","draft")</f>
        <v>active</v>
      </c>
    </row>
    <row r="375" customFormat="false" ht="15.75" hidden="false" customHeight="true" outlineLevel="0" collapsed="false">
      <c r="A375" s="21" t="str">
        <f aca="false">IF(Variants!$B376="","",LOWER(Variants!$B376))</f>
        <v>dsgn-ring-van-m</v>
      </c>
      <c r="B375" s="21" t="str">
        <f aca="false">IF(Variants!$B376="","",Variants!$C376&amp;IF(Variants!$F376="",""," "&amp;Variants!$F376))</f>
        <v>Van Ring</v>
      </c>
      <c r="C375" s="21" t="str">
        <f aca="false">IFERROR(IF(Variants!$B376="","","&lt;p&gt;"&amp;VLOOKUP(Variants!$B376,Designs!$A$3:$AP$165,9,FALSE())&amp;"&lt;/p&gt;"),"")</f>
        <v>&lt;p&gt;Motifs from the Van/Vaspurakan region, echoing the ornament of the Lake Van heartland of historic Armenia.&lt;/p&gt;</v>
      </c>
      <c r="D375" s="21" t="str">
        <f aca="false">IF(Variants!$B376="","","Karni Jewellery")</f>
        <v>Karni Jewellery</v>
      </c>
      <c r="E375" s="21" t="str">
        <f aca="false">IF(Variants!$B376="","","Apparel &amp; Accessories &gt; Jewelry")</f>
        <v>Apparel &amp; Accessories &gt; Jewelry</v>
      </c>
      <c r="F375" s="21" t="str">
        <f aca="false">IF(Variants!$D376="","",Variants!$D376)</f>
        <v>Ring</v>
      </c>
      <c r="G375" s="21" t="str">
        <f aca="false">IF(Variants!$E376="","",Variants!$E376&amp;", Armenian jewellery, handmade")</f>
        <v>Van, Armenian jewellery, handmade</v>
      </c>
      <c r="H375" s="21" t="str">
        <f aca="false">IF(Variants!$AD376="Active","TRUE","FALSE")</f>
        <v>TRUE</v>
      </c>
      <c r="I375" s="21" t="str">
        <f aca="false">IF(Variants!$H376="","","Color")</f>
        <v>Color</v>
      </c>
      <c r="J375" s="21" t="str">
        <f aca="false">IF(Variants!$H376="","",Variants!$H376)</f>
        <v>camel</v>
      </c>
      <c r="K375" s="21" t="str">
        <f aca="false">IF(Variants!$G376="","","Size")</f>
        <v>Size</v>
      </c>
      <c r="L375" s="21" t="str">
        <f aca="false">IF(Variants!$G376="","",Variants!$G376)</f>
        <v>medium</v>
      </c>
      <c r="M375" s="21" t="str">
        <f aca="false">Variants!$A376</f>
        <v>KARNI-RING-VAN-M-CAMEL</v>
      </c>
      <c r="N375" s="21" t="str">
        <f aca="false">IF(Variants!$X376="","",Variants!$X376)</f>
        <v/>
      </c>
      <c r="O375" s="21" t="n">
        <f aca="false">IF(Variants!$O376="","",Variants!$O376)</f>
        <v>0</v>
      </c>
      <c r="P375" s="18" t="n">
        <f aca="false">IF(Variants!$J376="","",Variants!$J376)</f>
        <v>52</v>
      </c>
      <c r="Q375" s="21" t="str">
        <f aca="false">IF(Variants!$U376="","",Variants!$U376)</f>
        <v/>
      </c>
      <c r="R375" s="21" t="str">
        <f aca="false">IF(Variants!$Y376="","",Variants!$Y376)</f>
        <v/>
      </c>
      <c r="S375" s="21" t="n">
        <f aca="false">IFERROR(VLOOKUP(Variants!$B376,Designs!$A$3:$AP$165,37,FALSE()),"")</f>
        <v>0</v>
      </c>
      <c r="T375" s="21" t="str">
        <f aca="false">IFERROR(VLOOKUP(Variants!$B376,Designs!$A$3:$AP$165,38,FALSE()),"")</f>
        <v>No</v>
      </c>
      <c r="U375" s="21" t="str">
        <f aca="false">IF(Variants!$AD376="Active","active","draft")</f>
        <v>active</v>
      </c>
    </row>
    <row r="376" customFormat="false" ht="15.75" hidden="false" customHeight="true" outlineLevel="0" collapsed="false">
      <c r="A376" s="21" t="str">
        <f aca="false">IF(Variants!$B377="","",LOWER(Variants!$B377))</f>
        <v>dsgn-ring-van-m</v>
      </c>
      <c r="B376" s="21" t="str">
        <f aca="false">IF(Variants!$B377="","",Variants!$C377&amp;IF(Variants!$F377="",""," "&amp;Variants!$F377))</f>
        <v>Van Ring</v>
      </c>
      <c r="C376" s="21" t="str">
        <f aca="false">IFERROR(IF(Variants!$B377="","","&lt;p&gt;"&amp;VLOOKUP(Variants!$B377,Designs!$A$3:$AP$165,9,FALSE())&amp;"&lt;/p&gt;"),"")</f>
        <v>&lt;p&gt;Motifs from the Van/Vaspurakan region, echoing the ornament of the Lake Van heartland of historic Armenia.&lt;/p&gt;</v>
      </c>
      <c r="D376" s="21" t="str">
        <f aca="false">IF(Variants!$B377="","","Karni Jewellery")</f>
        <v>Karni Jewellery</v>
      </c>
      <c r="E376" s="21" t="str">
        <f aca="false">IF(Variants!$B377="","","Apparel &amp; Accessories &gt; Jewelry")</f>
        <v>Apparel &amp; Accessories &gt; Jewelry</v>
      </c>
      <c r="F376" s="21" t="str">
        <f aca="false">IF(Variants!$D377="","",Variants!$D377)</f>
        <v>Ring</v>
      </c>
      <c r="G376" s="21" t="str">
        <f aca="false">IF(Variants!$E377="","",Variants!$E377&amp;", Armenian jewellery, handmade")</f>
        <v>Van, Armenian jewellery, handmade</v>
      </c>
      <c r="H376" s="21" t="str">
        <f aca="false">IF(Variants!$AD377="Active","TRUE","FALSE")</f>
        <v>TRUE</v>
      </c>
      <c r="I376" s="21" t="str">
        <f aca="false">IF(Variants!$H377="","","Color")</f>
        <v>Color</v>
      </c>
      <c r="J376" s="21" t="str">
        <f aca="false">IF(Variants!$H377="","",Variants!$H377)</f>
        <v>turquoise</v>
      </c>
      <c r="K376" s="21" t="str">
        <f aca="false">IF(Variants!$G377="","","Size")</f>
        <v>Size</v>
      </c>
      <c r="L376" s="21" t="str">
        <f aca="false">IF(Variants!$G377="","",Variants!$G377)</f>
        <v>medium</v>
      </c>
      <c r="M376" s="21" t="str">
        <f aca="false">Variants!$A377</f>
        <v>KARNI-RING-VAN-M-TURQUOISE</v>
      </c>
      <c r="N376" s="21" t="str">
        <f aca="false">IF(Variants!$X377="","",Variants!$X377)</f>
        <v/>
      </c>
      <c r="O376" s="21" t="n">
        <f aca="false">IF(Variants!$O377="","",Variants!$O377)</f>
        <v>0</v>
      </c>
      <c r="P376" s="18" t="n">
        <f aca="false">IF(Variants!$J377="","",Variants!$J377)</f>
        <v>52</v>
      </c>
      <c r="Q376" s="21" t="str">
        <f aca="false">IF(Variants!$U377="","",Variants!$U377)</f>
        <v/>
      </c>
      <c r="R376" s="21" t="str">
        <f aca="false">IF(Variants!$Y377="","",Variants!$Y377)</f>
        <v/>
      </c>
      <c r="S376" s="21" t="n">
        <f aca="false">IFERROR(VLOOKUP(Variants!$B377,Designs!$A$3:$AP$165,37,FALSE()),"")</f>
        <v>0</v>
      </c>
      <c r="T376" s="21" t="str">
        <f aca="false">IFERROR(VLOOKUP(Variants!$B377,Designs!$A$3:$AP$165,38,FALSE()),"")</f>
        <v>No</v>
      </c>
      <c r="U376" s="21" t="str">
        <f aca="false">IF(Variants!$AD377="Active","active","draft")</f>
        <v>active</v>
      </c>
    </row>
    <row r="377" customFormat="false" ht="15.75" hidden="false" customHeight="true" outlineLevel="0" collapsed="false">
      <c r="A377" s="21" t="str">
        <f aca="false">IF(Variants!$B378="","",LOWER(Variants!$B378))</f>
        <v>dsgn-ring-marash-m</v>
      </c>
      <c r="B377" s="21" t="str">
        <f aca="false">IF(Variants!$B378="","",Variants!$C378&amp;IF(Variants!$F378="",""," "&amp;Variants!$F378))</f>
        <v>Marash Ring</v>
      </c>
      <c r="C377" s="21" t="str">
        <f aca="false">IFERROR(IF(Variants!$B378="","","&lt;p&gt;"&amp;VLOOKUP(Variants!$B378,Designs!$A$3:$AP$165,9,FALSE())&amp;"&lt;/p&gt;"),"")</f>
        <v>&lt;p&gt;Marash-work is a distinctive Armenian embroidery style from Cilician Marash, known for its interlaced geometric patterns.&lt;/p&gt;</v>
      </c>
      <c r="D377" s="21" t="str">
        <f aca="false">IF(Variants!$B378="","","Karni Jewellery")</f>
        <v>Karni Jewellery</v>
      </c>
      <c r="E377" s="21" t="str">
        <f aca="false">IF(Variants!$B378="","","Apparel &amp; Accessories &gt; Jewelry")</f>
        <v>Apparel &amp; Accessories &gt; Jewelry</v>
      </c>
      <c r="F377" s="21" t="str">
        <f aca="false">IF(Variants!$D378="","",Variants!$D378)</f>
        <v>Ring</v>
      </c>
      <c r="G377" s="21" t="str">
        <f aca="false">IF(Variants!$E378="","",Variants!$E378&amp;", Armenian jewellery, handmade")</f>
        <v>Marash, Armenian jewellery, handmade</v>
      </c>
      <c r="H377" s="21" t="str">
        <f aca="false">IF(Variants!$AD378="Active","TRUE","FALSE")</f>
        <v>TRUE</v>
      </c>
      <c r="I377" s="21" t="str">
        <f aca="false">IF(Variants!$H378="","","Color")</f>
        <v>Color</v>
      </c>
      <c r="J377" s="21" t="str">
        <f aca="false">IF(Variants!$H378="","",Variants!$H378)</f>
        <v>blue-white</v>
      </c>
      <c r="K377" s="21" t="str">
        <f aca="false">IF(Variants!$G378="","","Size")</f>
        <v>Size</v>
      </c>
      <c r="L377" s="21" t="str">
        <f aca="false">IF(Variants!$G378="","",Variants!$G378)</f>
        <v>medium</v>
      </c>
      <c r="M377" s="21" t="str">
        <f aca="false">Variants!$A378</f>
        <v>KARNI-RING-MARASH-M-BLUE-WHITE</v>
      </c>
      <c r="N377" s="21" t="str">
        <f aca="false">IF(Variants!$X378="","",Variants!$X378)</f>
        <v/>
      </c>
      <c r="O377" s="21" t="n">
        <f aca="false">IF(Variants!$O378="","",Variants!$O378)</f>
        <v>0</v>
      </c>
      <c r="P377" s="18" t="n">
        <f aca="false">IF(Variants!$J378="","",Variants!$J378)</f>
        <v>52</v>
      </c>
      <c r="Q377" s="21" t="str">
        <f aca="false">IF(Variants!$U378="","",Variants!$U378)</f>
        <v/>
      </c>
      <c r="R377" s="21" t="str">
        <f aca="false">IF(Variants!$Y378="","",Variants!$Y378)</f>
        <v/>
      </c>
      <c r="S377" s="21" t="n">
        <f aca="false">IFERROR(VLOOKUP(Variants!$B378,Designs!$A$3:$AP$165,37,FALSE()),"")</f>
        <v>0</v>
      </c>
      <c r="T377" s="21" t="str">
        <f aca="false">IFERROR(VLOOKUP(Variants!$B378,Designs!$A$3:$AP$165,38,FALSE()),"")</f>
        <v>No</v>
      </c>
      <c r="U377" s="21" t="str">
        <f aca="false">IF(Variants!$AD378="Active","active","draft")</f>
        <v>active</v>
      </c>
    </row>
    <row r="378" customFormat="false" ht="15.75" hidden="false" customHeight="true" outlineLevel="0" collapsed="false">
      <c r="A378" s="21" t="str">
        <f aca="false">IF(Variants!$B379="","",LOWER(Variants!$B379))</f>
        <v>dsgn-ring-marash-m</v>
      </c>
      <c r="B378" s="21" t="str">
        <f aca="false">IF(Variants!$B379="","",Variants!$C379&amp;IF(Variants!$F379="",""," "&amp;Variants!$F379))</f>
        <v>Marash Ring</v>
      </c>
      <c r="C378" s="21" t="str">
        <f aca="false">IFERROR(IF(Variants!$B379="","","&lt;p&gt;"&amp;VLOOKUP(Variants!$B379,Designs!$A$3:$AP$165,9,FALSE())&amp;"&lt;/p&gt;"),"")</f>
        <v>&lt;p&gt;Marash-work is a distinctive Armenian embroidery style from Cilician Marash, known for its interlaced geometric patterns.&lt;/p&gt;</v>
      </c>
      <c r="D378" s="21" t="str">
        <f aca="false">IF(Variants!$B379="","","Karni Jewellery")</f>
        <v>Karni Jewellery</v>
      </c>
      <c r="E378" s="21" t="str">
        <f aca="false">IF(Variants!$B379="","","Apparel &amp; Accessories &gt; Jewelry")</f>
        <v>Apparel &amp; Accessories &gt; Jewelry</v>
      </c>
      <c r="F378" s="21" t="str">
        <f aca="false">IF(Variants!$D379="","",Variants!$D379)</f>
        <v>Ring</v>
      </c>
      <c r="G378" s="21" t="str">
        <f aca="false">IF(Variants!$E379="","",Variants!$E379&amp;", Armenian jewellery, handmade")</f>
        <v>Marash, Armenian jewellery, handmade</v>
      </c>
      <c r="H378" s="21" t="str">
        <f aca="false">IF(Variants!$AD379="Active","TRUE","FALSE")</f>
        <v>TRUE</v>
      </c>
      <c r="I378" s="21" t="str">
        <f aca="false">IF(Variants!$H379="","","Color")</f>
        <v>Color</v>
      </c>
      <c r="J378" s="21" t="str">
        <f aca="false">IF(Variants!$H379="","",Variants!$H379)</f>
        <v>white-blue</v>
      </c>
      <c r="K378" s="21" t="str">
        <f aca="false">IF(Variants!$G379="","","Size")</f>
        <v>Size</v>
      </c>
      <c r="L378" s="21" t="str">
        <f aca="false">IF(Variants!$G379="","",Variants!$G379)</f>
        <v>medium</v>
      </c>
      <c r="M378" s="21" t="str">
        <f aca="false">Variants!$A379</f>
        <v>KARNI-RING-MARASH-M-WHITE-BLUE</v>
      </c>
      <c r="N378" s="21" t="str">
        <f aca="false">IF(Variants!$X379="","",Variants!$X379)</f>
        <v/>
      </c>
      <c r="O378" s="21" t="n">
        <f aca="false">IF(Variants!$O379="","",Variants!$O379)</f>
        <v>0</v>
      </c>
      <c r="P378" s="18" t="n">
        <f aca="false">IF(Variants!$J379="","",Variants!$J379)</f>
        <v>52</v>
      </c>
      <c r="Q378" s="21" t="str">
        <f aca="false">IF(Variants!$U379="","",Variants!$U379)</f>
        <v/>
      </c>
      <c r="R378" s="21" t="str">
        <f aca="false">IF(Variants!$Y379="","",Variants!$Y379)</f>
        <v/>
      </c>
      <c r="S378" s="21" t="n">
        <f aca="false">IFERROR(VLOOKUP(Variants!$B379,Designs!$A$3:$AP$165,37,FALSE()),"")</f>
        <v>0</v>
      </c>
      <c r="T378" s="21" t="str">
        <f aca="false">IFERROR(VLOOKUP(Variants!$B379,Designs!$A$3:$AP$165,38,FALSE()),"")</f>
        <v>No</v>
      </c>
      <c r="U378" s="21" t="str">
        <f aca="false">IF(Variants!$AD379="Active","active","draft")</f>
        <v>active</v>
      </c>
    </row>
    <row r="379" customFormat="false" ht="15.75" hidden="false" customHeight="true" outlineLevel="0" collapsed="false">
      <c r="A379" s="21" t="str">
        <f aca="false">IF(Variants!$B380="","",LOWER(Variants!$B380))</f>
        <v>dsgn-ring-marash-m</v>
      </c>
      <c r="B379" s="21" t="str">
        <f aca="false">IF(Variants!$B380="","",Variants!$C380&amp;IF(Variants!$F380="",""," "&amp;Variants!$F380))</f>
        <v>Marash Ring</v>
      </c>
      <c r="C379" s="21" t="str">
        <f aca="false">IFERROR(IF(Variants!$B380="","","&lt;p&gt;"&amp;VLOOKUP(Variants!$B380,Designs!$A$3:$AP$165,9,FALSE())&amp;"&lt;/p&gt;"),"")</f>
        <v>&lt;p&gt;Marash-work is a distinctive Armenian embroidery style from Cilician Marash, known for its interlaced geometric patterns.&lt;/p&gt;</v>
      </c>
      <c r="D379" s="21" t="str">
        <f aca="false">IF(Variants!$B380="","","Karni Jewellery")</f>
        <v>Karni Jewellery</v>
      </c>
      <c r="E379" s="21" t="str">
        <f aca="false">IF(Variants!$B380="","","Apparel &amp; Accessories &gt; Jewelry")</f>
        <v>Apparel &amp; Accessories &gt; Jewelry</v>
      </c>
      <c r="F379" s="21" t="str">
        <f aca="false">IF(Variants!$D380="","",Variants!$D380)</f>
        <v>Ring</v>
      </c>
      <c r="G379" s="21" t="str">
        <f aca="false">IF(Variants!$E380="","",Variants!$E380&amp;", Armenian jewellery, handmade")</f>
        <v>Marash, Armenian jewellery, handmade</v>
      </c>
      <c r="H379" s="21" t="str">
        <f aca="false">IF(Variants!$AD380="Active","TRUE","FALSE")</f>
        <v>TRUE</v>
      </c>
      <c r="I379" s="21" t="str">
        <f aca="false">IF(Variants!$H380="","","Color")</f>
        <v>Color</v>
      </c>
      <c r="J379" s="21" t="str">
        <f aca="false">IF(Variants!$H380="","",Variants!$H380)</f>
        <v>white-bordeaux</v>
      </c>
      <c r="K379" s="21" t="str">
        <f aca="false">IF(Variants!$G380="","","Size")</f>
        <v>Size</v>
      </c>
      <c r="L379" s="21" t="str">
        <f aca="false">IF(Variants!$G380="","",Variants!$G380)</f>
        <v>medium</v>
      </c>
      <c r="M379" s="21" t="str">
        <f aca="false">Variants!$A380</f>
        <v>KARNI-RING-MARASH-M-WHITE-BORDEAUX</v>
      </c>
      <c r="N379" s="21" t="str">
        <f aca="false">IF(Variants!$X380="","",Variants!$X380)</f>
        <v/>
      </c>
      <c r="O379" s="21" t="n">
        <f aca="false">IF(Variants!$O380="","",Variants!$O380)</f>
        <v>0</v>
      </c>
      <c r="P379" s="18" t="n">
        <f aca="false">IF(Variants!$J380="","",Variants!$J380)</f>
        <v>52</v>
      </c>
      <c r="Q379" s="21" t="str">
        <f aca="false">IF(Variants!$U380="","",Variants!$U380)</f>
        <v/>
      </c>
      <c r="R379" s="21" t="str">
        <f aca="false">IF(Variants!$Y380="","",Variants!$Y380)</f>
        <v/>
      </c>
      <c r="S379" s="21" t="n">
        <f aca="false">IFERROR(VLOOKUP(Variants!$B380,Designs!$A$3:$AP$165,37,FALSE()),"")</f>
        <v>0</v>
      </c>
      <c r="T379" s="21" t="str">
        <f aca="false">IFERROR(VLOOKUP(Variants!$B380,Designs!$A$3:$AP$165,38,FALSE()),"")</f>
        <v>No</v>
      </c>
      <c r="U379" s="21" t="str">
        <f aca="false">IF(Variants!$AD380="Active","active","draft")</f>
        <v>active</v>
      </c>
    </row>
    <row r="380" customFormat="false" ht="15.75" hidden="false" customHeight="true" outlineLevel="0" collapsed="false">
      <c r="A380" s="21" t="str">
        <f aca="false">IF(Variants!$B381="","",LOWER(Variants!$B381))</f>
        <v>dsgn-ring-marash-m</v>
      </c>
      <c r="B380" s="21" t="str">
        <f aca="false">IF(Variants!$B381="","",Variants!$C381&amp;IF(Variants!$F381="",""," "&amp;Variants!$F381))</f>
        <v>Marash Ring</v>
      </c>
      <c r="C380" s="21" t="str">
        <f aca="false">IFERROR(IF(Variants!$B381="","","&lt;p&gt;"&amp;VLOOKUP(Variants!$B381,Designs!$A$3:$AP$165,9,FALSE())&amp;"&lt;/p&gt;"),"")</f>
        <v>&lt;p&gt;Marash-work is a distinctive Armenian embroidery style from Cilician Marash, known for its interlaced geometric patterns.&lt;/p&gt;</v>
      </c>
      <c r="D380" s="21" t="str">
        <f aca="false">IF(Variants!$B381="","","Karni Jewellery")</f>
        <v>Karni Jewellery</v>
      </c>
      <c r="E380" s="21" t="str">
        <f aca="false">IF(Variants!$B381="","","Apparel &amp; Accessories &gt; Jewelry")</f>
        <v>Apparel &amp; Accessories &gt; Jewelry</v>
      </c>
      <c r="F380" s="21" t="str">
        <f aca="false">IF(Variants!$D381="","",Variants!$D381)</f>
        <v>Ring</v>
      </c>
      <c r="G380" s="21" t="str">
        <f aca="false">IF(Variants!$E381="","",Variants!$E381&amp;", Armenian jewellery, handmade")</f>
        <v>Marash, Armenian jewellery, handmade</v>
      </c>
      <c r="H380" s="21" t="str">
        <f aca="false">IF(Variants!$AD381="Active","TRUE","FALSE")</f>
        <v>TRUE</v>
      </c>
      <c r="I380" s="21" t="str">
        <f aca="false">IF(Variants!$H381="","","Color")</f>
        <v>Color</v>
      </c>
      <c r="J380" s="21" t="str">
        <f aca="false">IF(Variants!$H381="","",Variants!$H381)</f>
        <v>turquoise-blue</v>
      </c>
      <c r="K380" s="21" t="str">
        <f aca="false">IF(Variants!$G381="","","Size")</f>
        <v>Size</v>
      </c>
      <c r="L380" s="21" t="str">
        <f aca="false">IF(Variants!$G381="","",Variants!$G381)</f>
        <v>medium</v>
      </c>
      <c r="M380" s="21" t="str">
        <f aca="false">Variants!$A381</f>
        <v>KARNI-RING-MARASH-M-TURQUOISE-BLUE</v>
      </c>
      <c r="N380" s="21" t="str">
        <f aca="false">IF(Variants!$X381="","",Variants!$X381)</f>
        <v/>
      </c>
      <c r="O380" s="21" t="n">
        <f aca="false">IF(Variants!$O381="","",Variants!$O381)</f>
        <v>0</v>
      </c>
      <c r="P380" s="18" t="n">
        <f aca="false">IF(Variants!$J381="","",Variants!$J381)</f>
        <v>52</v>
      </c>
      <c r="Q380" s="21" t="str">
        <f aca="false">IF(Variants!$U381="","",Variants!$U381)</f>
        <v/>
      </c>
      <c r="R380" s="21" t="str">
        <f aca="false">IF(Variants!$Y381="","",Variants!$Y381)</f>
        <v/>
      </c>
      <c r="S380" s="21" t="n">
        <f aca="false">IFERROR(VLOOKUP(Variants!$B381,Designs!$A$3:$AP$165,37,FALSE()),"")</f>
        <v>0</v>
      </c>
      <c r="T380" s="21" t="str">
        <f aca="false">IFERROR(VLOOKUP(Variants!$B381,Designs!$A$3:$AP$165,38,FALSE()),"")</f>
        <v>No</v>
      </c>
      <c r="U380" s="21" t="str">
        <f aca="false">IF(Variants!$AD381="Active","active","draft")</f>
        <v>active</v>
      </c>
    </row>
    <row r="381" customFormat="false" ht="15.75" hidden="false" customHeight="true" outlineLevel="0" collapsed="false">
      <c r="A381" s="21" t="str">
        <f aca="false">IF(Variants!$B382="","",LOWER(Variants!$B382))</f>
        <v>dsgn-ring-artsakhikhachanakhsh-m</v>
      </c>
      <c r="B381" s="21" t="str">
        <f aca="false">IF(Variants!$B382="","",Variants!$C382&amp;IF(Variants!$F382="",""," "&amp;Variants!$F382))</f>
        <v>Artsakhi Khachanakhsh Ring</v>
      </c>
      <c r="C381" s="21" t="str">
        <f aca="false">IFERROR(IF(Variants!$B382="","","&lt;p&gt;"&amp;VLOOKUP(Variants!$B382,Designs!$A$3:$AP$165,9,FALSE())&amp;"&lt;/p&gt;"),"")</f>
        <v>&lt;p&gt;Cross-ornament patterns from Artsakh, carrying the carved cross-stone heritage of the region.&lt;/p&gt;</v>
      </c>
      <c r="D381" s="21" t="str">
        <f aca="false">IF(Variants!$B382="","","Karni Jewellery")</f>
        <v>Karni Jewellery</v>
      </c>
      <c r="E381" s="21" t="str">
        <f aca="false">IF(Variants!$B382="","","Apparel &amp; Accessories &gt; Jewelry")</f>
        <v>Apparel &amp; Accessories &gt; Jewelry</v>
      </c>
      <c r="F381" s="21" t="str">
        <f aca="false">IF(Variants!$D382="","",Variants!$D382)</f>
        <v>Ring</v>
      </c>
      <c r="G381" s="21" t="str">
        <f aca="false">IF(Variants!$E382="","",Variants!$E382&amp;", Armenian jewellery, handmade")</f>
        <v>Artsakhi Khachanakhsh, Armenian jewellery, handmade</v>
      </c>
      <c r="H381" s="21" t="str">
        <f aca="false">IF(Variants!$AD382="Active","TRUE","FALSE")</f>
        <v>TRUE</v>
      </c>
      <c r="I381" s="21" t="str">
        <f aca="false">IF(Variants!$H382="","","Color")</f>
        <v>Color</v>
      </c>
      <c r="J381" s="21" t="str">
        <f aca="false">IF(Variants!$H382="","",Variants!$H382)</f>
        <v>blue-white</v>
      </c>
      <c r="K381" s="21" t="str">
        <f aca="false">IF(Variants!$G382="","","Size")</f>
        <v>Size</v>
      </c>
      <c r="L381" s="21" t="str">
        <f aca="false">IF(Variants!$G382="","",Variants!$G382)</f>
        <v>medium</v>
      </c>
      <c r="M381" s="21" t="str">
        <f aca="false">Variants!$A382</f>
        <v>KARNI-RING-ARTSAKHIKHACHANAKHSH-M-BLUE-WHITE</v>
      </c>
      <c r="N381" s="21" t="str">
        <f aca="false">IF(Variants!$X382="","",Variants!$X382)</f>
        <v/>
      </c>
      <c r="O381" s="21" t="n">
        <f aca="false">IF(Variants!$O382="","",Variants!$O382)</f>
        <v>0</v>
      </c>
      <c r="P381" s="18" t="n">
        <f aca="false">IF(Variants!$J382="","",Variants!$J382)</f>
        <v>52</v>
      </c>
      <c r="Q381" s="21" t="str">
        <f aca="false">IF(Variants!$U382="","",Variants!$U382)</f>
        <v/>
      </c>
      <c r="R381" s="21" t="str">
        <f aca="false">IF(Variants!$Y382="","",Variants!$Y382)</f>
        <v/>
      </c>
      <c r="S381" s="21" t="n">
        <f aca="false">IFERROR(VLOOKUP(Variants!$B382,Designs!$A$3:$AP$165,37,FALSE()),"")</f>
        <v>0</v>
      </c>
      <c r="T381" s="21" t="str">
        <f aca="false">IFERROR(VLOOKUP(Variants!$B382,Designs!$A$3:$AP$165,38,FALSE()),"")</f>
        <v>No</v>
      </c>
      <c r="U381" s="21" t="str">
        <f aca="false">IF(Variants!$AD382="Active","active","draft")</f>
        <v>active</v>
      </c>
    </row>
    <row r="382" customFormat="false" ht="15.75" hidden="false" customHeight="true" outlineLevel="0" collapsed="false">
      <c r="A382" s="21" t="str">
        <f aca="false">IF(Variants!$B383="","",LOWER(Variants!$B383))</f>
        <v>dsgn-ring-artsakhikhachanakhsh-m</v>
      </c>
      <c r="B382" s="21" t="str">
        <f aca="false">IF(Variants!$B383="","",Variants!$C383&amp;IF(Variants!$F383="",""," "&amp;Variants!$F383))</f>
        <v>Artsakhi Khachanakhsh Ring</v>
      </c>
      <c r="C382" s="21" t="str">
        <f aca="false">IFERROR(IF(Variants!$B383="","","&lt;p&gt;"&amp;VLOOKUP(Variants!$B383,Designs!$A$3:$AP$165,9,FALSE())&amp;"&lt;/p&gt;"),"")</f>
        <v>&lt;p&gt;Cross-ornament patterns from Artsakh, carrying the carved cross-stone heritage of the region.&lt;/p&gt;</v>
      </c>
      <c r="D382" s="21" t="str">
        <f aca="false">IF(Variants!$B383="","","Karni Jewellery")</f>
        <v>Karni Jewellery</v>
      </c>
      <c r="E382" s="21" t="str">
        <f aca="false">IF(Variants!$B383="","","Apparel &amp; Accessories &gt; Jewelry")</f>
        <v>Apparel &amp; Accessories &gt; Jewelry</v>
      </c>
      <c r="F382" s="21" t="str">
        <f aca="false">IF(Variants!$D383="","",Variants!$D383)</f>
        <v>Ring</v>
      </c>
      <c r="G382" s="21" t="str">
        <f aca="false">IF(Variants!$E383="","",Variants!$E383&amp;", Armenian jewellery, handmade")</f>
        <v>Artsakhi Khachanakhsh, Armenian jewellery, handmade</v>
      </c>
      <c r="H382" s="21" t="str">
        <f aca="false">IF(Variants!$AD383="Active","TRUE","FALSE")</f>
        <v>TRUE</v>
      </c>
      <c r="I382" s="21" t="str">
        <f aca="false">IF(Variants!$H383="","","Color")</f>
        <v>Color</v>
      </c>
      <c r="J382" s="21" t="str">
        <f aca="false">IF(Variants!$H383="","",Variants!$H383)</f>
        <v>white-blue</v>
      </c>
      <c r="K382" s="21" t="str">
        <f aca="false">IF(Variants!$G383="","","Size")</f>
        <v>Size</v>
      </c>
      <c r="L382" s="21" t="str">
        <f aca="false">IF(Variants!$G383="","",Variants!$G383)</f>
        <v>medium</v>
      </c>
      <c r="M382" s="21" t="str">
        <f aca="false">Variants!$A383</f>
        <v>KARNI-RING-ARTSAKHIKHACHANAKHSH-M-WHITE-BLUE</v>
      </c>
      <c r="N382" s="21" t="str">
        <f aca="false">IF(Variants!$X383="","",Variants!$X383)</f>
        <v/>
      </c>
      <c r="O382" s="21" t="n">
        <f aca="false">IF(Variants!$O383="","",Variants!$O383)</f>
        <v>0</v>
      </c>
      <c r="P382" s="18" t="n">
        <f aca="false">IF(Variants!$J383="","",Variants!$J383)</f>
        <v>52</v>
      </c>
      <c r="Q382" s="21" t="str">
        <f aca="false">IF(Variants!$U383="","",Variants!$U383)</f>
        <v/>
      </c>
      <c r="R382" s="21" t="str">
        <f aca="false">IF(Variants!$Y383="","",Variants!$Y383)</f>
        <v/>
      </c>
      <c r="S382" s="21" t="n">
        <f aca="false">IFERROR(VLOOKUP(Variants!$B383,Designs!$A$3:$AP$165,37,FALSE()),"")</f>
        <v>0</v>
      </c>
      <c r="T382" s="21" t="str">
        <f aca="false">IFERROR(VLOOKUP(Variants!$B383,Designs!$A$3:$AP$165,38,FALSE()),"")</f>
        <v>No</v>
      </c>
      <c r="U382" s="21" t="str">
        <f aca="false">IF(Variants!$AD383="Active","active","draft")</f>
        <v>active</v>
      </c>
    </row>
    <row r="383" customFormat="false" ht="15.75" hidden="false" customHeight="true" outlineLevel="0" collapsed="false">
      <c r="A383" s="21" t="str">
        <f aca="false">IF(Variants!$B384="","",LOWER(Variants!$B384))</f>
        <v>dsgn-ring-artsakhikhachanakhsh-m</v>
      </c>
      <c r="B383" s="21" t="str">
        <f aca="false">IF(Variants!$B384="","",Variants!$C384&amp;IF(Variants!$F384="",""," "&amp;Variants!$F384))</f>
        <v>Artsakhi Khachanakhsh Ring</v>
      </c>
      <c r="C383" s="21" t="str">
        <f aca="false">IFERROR(IF(Variants!$B384="","","&lt;p&gt;"&amp;VLOOKUP(Variants!$B384,Designs!$A$3:$AP$165,9,FALSE())&amp;"&lt;/p&gt;"),"")</f>
        <v>&lt;p&gt;Cross-ornament patterns from Artsakh, carrying the carved cross-stone heritage of the region.&lt;/p&gt;</v>
      </c>
      <c r="D383" s="21" t="str">
        <f aca="false">IF(Variants!$B384="","","Karni Jewellery")</f>
        <v>Karni Jewellery</v>
      </c>
      <c r="E383" s="21" t="str">
        <f aca="false">IF(Variants!$B384="","","Apparel &amp; Accessories &gt; Jewelry")</f>
        <v>Apparel &amp; Accessories &gt; Jewelry</v>
      </c>
      <c r="F383" s="21" t="str">
        <f aca="false">IF(Variants!$D384="","",Variants!$D384)</f>
        <v>Ring</v>
      </c>
      <c r="G383" s="21" t="str">
        <f aca="false">IF(Variants!$E384="","",Variants!$E384&amp;", Armenian jewellery, handmade")</f>
        <v>Artsakhi Khachanakhsh, Armenian jewellery, handmade</v>
      </c>
      <c r="H383" s="21" t="str">
        <f aca="false">IF(Variants!$AD384="Active","TRUE","FALSE")</f>
        <v>TRUE</v>
      </c>
      <c r="I383" s="21" t="str">
        <f aca="false">IF(Variants!$H384="","","Color")</f>
        <v>Color</v>
      </c>
      <c r="J383" s="21" t="str">
        <f aca="false">IF(Variants!$H384="","",Variants!$H384)</f>
        <v>blue-bordeaux</v>
      </c>
      <c r="K383" s="21" t="str">
        <f aca="false">IF(Variants!$G384="","","Size")</f>
        <v>Size</v>
      </c>
      <c r="L383" s="21" t="str">
        <f aca="false">IF(Variants!$G384="","",Variants!$G384)</f>
        <v>medium</v>
      </c>
      <c r="M383" s="21" t="str">
        <f aca="false">Variants!$A384</f>
        <v>KARNI-RING-ARTSAKHIKHACHANAKHSH-M-BLUE-BORDEAUX</v>
      </c>
      <c r="N383" s="21" t="str">
        <f aca="false">IF(Variants!$X384="","",Variants!$X384)</f>
        <v/>
      </c>
      <c r="O383" s="21" t="n">
        <f aca="false">IF(Variants!$O384="","",Variants!$O384)</f>
        <v>0</v>
      </c>
      <c r="P383" s="18" t="n">
        <f aca="false">IF(Variants!$J384="","",Variants!$J384)</f>
        <v>52</v>
      </c>
      <c r="Q383" s="21" t="str">
        <f aca="false">IF(Variants!$U384="","",Variants!$U384)</f>
        <v/>
      </c>
      <c r="R383" s="21" t="str">
        <f aca="false">IF(Variants!$Y384="","",Variants!$Y384)</f>
        <v/>
      </c>
      <c r="S383" s="21" t="n">
        <f aca="false">IFERROR(VLOOKUP(Variants!$B384,Designs!$A$3:$AP$165,37,FALSE()),"")</f>
        <v>0</v>
      </c>
      <c r="T383" s="21" t="str">
        <f aca="false">IFERROR(VLOOKUP(Variants!$B384,Designs!$A$3:$AP$165,38,FALSE()),"")</f>
        <v>No</v>
      </c>
      <c r="U383" s="21" t="str">
        <f aca="false">IF(Variants!$AD384="Active","active","draft")</f>
        <v>active</v>
      </c>
    </row>
    <row r="384" customFormat="false" ht="15.75" hidden="false" customHeight="true" outlineLevel="0" collapsed="false">
      <c r="A384" s="21" t="str">
        <f aca="false">IF(Variants!$B385="","",LOWER(Variants!$B385))</f>
        <v>dsgn-ring-artsakhikhachanakhsh-m</v>
      </c>
      <c r="B384" s="21" t="str">
        <f aca="false">IF(Variants!$B385="","",Variants!$C385&amp;IF(Variants!$F385="",""," "&amp;Variants!$F385))</f>
        <v>Artsakhi Khachanakhsh Ring</v>
      </c>
      <c r="C384" s="21" t="str">
        <f aca="false">IFERROR(IF(Variants!$B385="","","&lt;p&gt;"&amp;VLOOKUP(Variants!$B385,Designs!$A$3:$AP$165,9,FALSE())&amp;"&lt;/p&gt;"),"")</f>
        <v>&lt;p&gt;Cross-ornament patterns from Artsakh, carrying the carved cross-stone heritage of the region.&lt;/p&gt;</v>
      </c>
      <c r="D384" s="21" t="str">
        <f aca="false">IF(Variants!$B385="","","Karni Jewellery")</f>
        <v>Karni Jewellery</v>
      </c>
      <c r="E384" s="21" t="str">
        <f aca="false">IF(Variants!$B385="","","Apparel &amp; Accessories &gt; Jewelry")</f>
        <v>Apparel &amp; Accessories &gt; Jewelry</v>
      </c>
      <c r="F384" s="21" t="str">
        <f aca="false">IF(Variants!$D385="","",Variants!$D385)</f>
        <v>Ring</v>
      </c>
      <c r="G384" s="21" t="str">
        <f aca="false">IF(Variants!$E385="","",Variants!$E385&amp;", Armenian jewellery, handmade")</f>
        <v>Artsakhi Khachanakhsh, Armenian jewellery, handmade</v>
      </c>
      <c r="H384" s="21" t="str">
        <f aca="false">IF(Variants!$AD385="Active","TRUE","FALSE")</f>
        <v>TRUE</v>
      </c>
      <c r="I384" s="21" t="str">
        <f aca="false">IF(Variants!$H385="","","Color")</f>
        <v>Color</v>
      </c>
      <c r="J384" s="21" t="str">
        <f aca="false">IF(Variants!$H385="","",Variants!$H385)</f>
        <v>turquoise</v>
      </c>
      <c r="K384" s="21" t="str">
        <f aca="false">IF(Variants!$G385="","","Size")</f>
        <v>Size</v>
      </c>
      <c r="L384" s="21" t="str">
        <f aca="false">IF(Variants!$G385="","",Variants!$G385)</f>
        <v>medium</v>
      </c>
      <c r="M384" s="21" t="str">
        <f aca="false">Variants!$A385</f>
        <v>KARNI-RING-ARTSAKHIKHACHANAKHSH-M-TURQUOISE</v>
      </c>
      <c r="N384" s="21" t="str">
        <f aca="false">IF(Variants!$X385="","",Variants!$X385)</f>
        <v/>
      </c>
      <c r="O384" s="21" t="n">
        <f aca="false">IF(Variants!$O385="","",Variants!$O385)</f>
        <v>0</v>
      </c>
      <c r="P384" s="18" t="n">
        <f aca="false">IF(Variants!$J385="","",Variants!$J385)</f>
        <v>52</v>
      </c>
      <c r="Q384" s="21" t="str">
        <f aca="false">IF(Variants!$U385="","",Variants!$U385)</f>
        <v/>
      </c>
      <c r="R384" s="21" t="str">
        <f aca="false">IF(Variants!$Y385="","",Variants!$Y385)</f>
        <v/>
      </c>
      <c r="S384" s="21" t="n">
        <f aca="false">IFERROR(VLOOKUP(Variants!$B385,Designs!$A$3:$AP$165,37,FALSE()),"")</f>
        <v>0</v>
      </c>
      <c r="T384" s="21" t="str">
        <f aca="false">IFERROR(VLOOKUP(Variants!$B385,Designs!$A$3:$AP$165,38,FALSE()),"")</f>
        <v>No</v>
      </c>
      <c r="U384" s="21" t="str">
        <f aca="false">IF(Variants!$AD385="Active","active","draft")</f>
        <v>active</v>
      </c>
    </row>
    <row r="385" customFormat="false" ht="15.75" hidden="false" customHeight="true" outlineLevel="0" collapsed="false">
      <c r="A385" s="21" t="str">
        <f aca="false">IF(Variants!$B386="","",LOWER(Variants!$B386))</f>
        <v>dsgn-ring-vishab-m</v>
      </c>
      <c r="B385" s="21" t="str">
        <f aca="false">IF(Variants!$B386="","",Variants!$C386&amp;IF(Variants!$F386="",""," "&amp;Variants!$F386))</f>
        <v>Vishab Ring</v>
      </c>
      <c r="C385" s="21" t="str">
        <f aca="false">IFERROR(IF(Variants!$B386="","","&lt;p&gt;"&amp;VLOOKUP(Variants!$B386,Designs!$A$3:$AP$165,9,FALSE())&amp;"&lt;/p&gt;"),"")</f>
        <v>&lt;p&gt;Vishaps are ancient Armenian dragon-stones (vishapakar) found in the highlands, among the oldest carved monuments in the region.&lt;/p&gt;</v>
      </c>
      <c r="D385" s="21" t="str">
        <f aca="false">IF(Variants!$B386="","","Karni Jewellery")</f>
        <v>Karni Jewellery</v>
      </c>
      <c r="E385" s="21" t="str">
        <f aca="false">IF(Variants!$B386="","","Apparel &amp; Accessories &gt; Jewelry")</f>
        <v>Apparel &amp; Accessories &gt; Jewelry</v>
      </c>
      <c r="F385" s="21" t="str">
        <f aca="false">IF(Variants!$D386="","",Variants!$D386)</f>
        <v>Ring</v>
      </c>
      <c r="G385" s="21" t="str">
        <f aca="false">IF(Variants!$E386="","",Variants!$E386&amp;", Armenian jewellery, handmade")</f>
        <v>Vishab, Armenian jewellery, handmade</v>
      </c>
      <c r="H385" s="21" t="str">
        <f aca="false">IF(Variants!$AD386="Active","TRUE","FALSE")</f>
        <v>TRUE</v>
      </c>
      <c r="I385" s="21" t="str">
        <f aca="false">IF(Variants!$H386="","","Color")</f>
        <v>Color</v>
      </c>
      <c r="J385" s="21" t="str">
        <f aca="false">IF(Variants!$H386="","",Variants!$H386)</f>
        <v>blue-red</v>
      </c>
      <c r="K385" s="21" t="str">
        <f aca="false">IF(Variants!$G386="","","Size")</f>
        <v>Size</v>
      </c>
      <c r="L385" s="21" t="str">
        <f aca="false">IF(Variants!$G386="","",Variants!$G386)</f>
        <v>medium</v>
      </c>
      <c r="M385" s="21" t="str">
        <f aca="false">Variants!$A386</f>
        <v>KARNI-RING-VISHAB-M-BLUE-RED</v>
      </c>
      <c r="N385" s="21" t="str">
        <f aca="false">IF(Variants!$X386="","",Variants!$X386)</f>
        <v/>
      </c>
      <c r="O385" s="21" t="n">
        <f aca="false">IF(Variants!$O386="","",Variants!$O386)</f>
        <v>0</v>
      </c>
      <c r="P385" s="18" t="n">
        <f aca="false">IF(Variants!$J386="","",Variants!$J386)</f>
        <v>52</v>
      </c>
      <c r="Q385" s="21" t="str">
        <f aca="false">IF(Variants!$U386="","",Variants!$U386)</f>
        <v/>
      </c>
      <c r="R385" s="21" t="str">
        <f aca="false">IF(Variants!$Y386="","",Variants!$Y386)</f>
        <v/>
      </c>
      <c r="S385" s="21" t="n">
        <f aca="false">IFERROR(VLOOKUP(Variants!$B386,Designs!$A$3:$AP$165,37,FALSE()),"")</f>
        <v>0</v>
      </c>
      <c r="T385" s="21" t="str">
        <f aca="false">IFERROR(VLOOKUP(Variants!$B386,Designs!$A$3:$AP$165,38,FALSE()),"")</f>
        <v>No</v>
      </c>
      <c r="U385" s="21" t="str">
        <f aca="false">IF(Variants!$AD386="Active","active","draft")</f>
        <v>active</v>
      </c>
    </row>
    <row r="386" customFormat="false" ht="15.75" hidden="false" customHeight="true" outlineLevel="0" collapsed="false">
      <c r="A386" s="21" t="str">
        <f aca="false">IF(Variants!$B387="","",LOWER(Variants!$B387))</f>
        <v>dsgn-ring-vishab-m</v>
      </c>
      <c r="B386" s="21" t="str">
        <f aca="false">IF(Variants!$B387="","",Variants!$C387&amp;IF(Variants!$F387="",""," "&amp;Variants!$F387))</f>
        <v>Vishab Ring</v>
      </c>
      <c r="C386" s="21" t="str">
        <f aca="false">IFERROR(IF(Variants!$B387="","","&lt;p&gt;"&amp;VLOOKUP(Variants!$B387,Designs!$A$3:$AP$165,9,FALSE())&amp;"&lt;/p&gt;"),"")</f>
        <v>&lt;p&gt;Vishaps are ancient Armenian dragon-stones (vishapakar) found in the highlands, among the oldest carved monuments in the region.&lt;/p&gt;</v>
      </c>
      <c r="D386" s="21" t="str">
        <f aca="false">IF(Variants!$B387="","","Karni Jewellery")</f>
        <v>Karni Jewellery</v>
      </c>
      <c r="E386" s="21" t="str">
        <f aca="false">IF(Variants!$B387="","","Apparel &amp; Accessories &gt; Jewelry")</f>
        <v>Apparel &amp; Accessories &gt; Jewelry</v>
      </c>
      <c r="F386" s="21" t="str">
        <f aca="false">IF(Variants!$D387="","",Variants!$D387)</f>
        <v>Ring</v>
      </c>
      <c r="G386" s="21" t="str">
        <f aca="false">IF(Variants!$E387="","",Variants!$E387&amp;", Armenian jewellery, handmade")</f>
        <v>Vishab, Armenian jewellery, handmade</v>
      </c>
      <c r="H386" s="21" t="str">
        <f aca="false">IF(Variants!$AD387="Active","TRUE","FALSE")</f>
        <v>TRUE</v>
      </c>
      <c r="I386" s="21" t="str">
        <f aca="false">IF(Variants!$H387="","","Color")</f>
        <v>Color</v>
      </c>
      <c r="J386" s="21" t="str">
        <f aca="false">IF(Variants!$H387="","",Variants!$H387)</f>
        <v>white-blue</v>
      </c>
      <c r="K386" s="21" t="str">
        <f aca="false">IF(Variants!$G387="","","Size")</f>
        <v>Size</v>
      </c>
      <c r="L386" s="21" t="str">
        <f aca="false">IF(Variants!$G387="","",Variants!$G387)</f>
        <v>medium</v>
      </c>
      <c r="M386" s="21" t="str">
        <f aca="false">Variants!$A387</f>
        <v>KARNI-RING-VISHAB-M-WHITE-BLUE</v>
      </c>
      <c r="N386" s="21" t="str">
        <f aca="false">IF(Variants!$X387="","",Variants!$X387)</f>
        <v/>
      </c>
      <c r="O386" s="21" t="n">
        <f aca="false">IF(Variants!$O387="","",Variants!$O387)</f>
        <v>0</v>
      </c>
      <c r="P386" s="18" t="n">
        <f aca="false">IF(Variants!$J387="","",Variants!$J387)</f>
        <v>52</v>
      </c>
      <c r="Q386" s="21" t="str">
        <f aca="false">IF(Variants!$U387="","",Variants!$U387)</f>
        <v/>
      </c>
      <c r="R386" s="21" t="str">
        <f aca="false">IF(Variants!$Y387="","",Variants!$Y387)</f>
        <v/>
      </c>
      <c r="S386" s="21" t="n">
        <f aca="false">IFERROR(VLOOKUP(Variants!$B387,Designs!$A$3:$AP$165,37,FALSE()),"")</f>
        <v>0</v>
      </c>
      <c r="T386" s="21" t="str">
        <f aca="false">IFERROR(VLOOKUP(Variants!$B387,Designs!$A$3:$AP$165,38,FALSE()),"")</f>
        <v>No</v>
      </c>
      <c r="U386" s="21" t="str">
        <f aca="false">IF(Variants!$AD387="Active","active","draft")</f>
        <v>active</v>
      </c>
    </row>
    <row r="387" customFormat="false" ht="15.75" hidden="false" customHeight="true" outlineLevel="0" collapsed="false">
      <c r="A387" s="21" t="str">
        <f aca="false">IF(Variants!$B388="","",LOWER(Variants!$B388))</f>
        <v>dsgn-ring-vishab-m</v>
      </c>
      <c r="B387" s="21" t="str">
        <f aca="false">IF(Variants!$B388="","",Variants!$C388&amp;IF(Variants!$F388="",""," "&amp;Variants!$F388))</f>
        <v>Vishab Ring</v>
      </c>
      <c r="C387" s="21" t="str">
        <f aca="false">IFERROR(IF(Variants!$B388="","","&lt;p&gt;"&amp;VLOOKUP(Variants!$B388,Designs!$A$3:$AP$165,9,FALSE())&amp;"&lt;/p&gt;"),"")</f>
        <v>&lt;p&gt;Vishaps are ancient Armenian dragon-stones (vishapakar) found in the highlands, among the oldest carved monuments in the region.&lt;/p&gt;</v>
      </c>
      <c r="D387" s="21" t="str">
        <f aca="false">IF(Variants!$B388="","","Karni Jewellery")</f>
        <v>Karni Jewellery</v>
      </c>
      <c r="E387" s="21" t="str">
        <f aca="false">IF(Variants!$B388="","","Apparel &amp; Accessories &gt; Jewelry")</f>
        <v>Apparel &amp; Accessories &gt; Jewelry</v>
      </c>
      <c r="F387" s="21" t="str">
        <f aca="false">IF(Variants!$D388="","",Variants!$D388)</f>
        <v>Ring</v>
      </c>
      <c r="G387" s="21" t="str">
        <f aca="false">IF(Variants!$E388="","",Variants!$E388&amp;", Armenian jewellery, handmade")</f>
        <v>Vishab, Armenian jewellery, handmade</v>
      </c>
      <c r="H387" s="21" t="str">
        <f aca="false">IF(Variants!$AD388="Active","TRUE","FALSE")</f>
        <v>TRUE</v>
      </c>
      <c r="I387" s="21" t="str">
        <f aca="false">IF(Variants!$H388="","","Color")</f>
        <v>Color</v>
      </c>
      <c r="J387" s="21" t="str">
        <f aca="false">IF(Variants!$H388="","",Variants!$H388)</f>
        <v>white-bordeaux</v>
      </c>
      <c r="K387" s="21" t="str">
        <f aca="false">IF(Variants!$G388="","","Size")</f>
        <v>Size</v>
      </c>
      <c r="L387" s="21" t="str">
        <f aca="false">IF(Variants!$G388="","",Variants!$G388)</f>
        <v>medium</v>
      </c>
      <c r="M387" s="21" t="str">
        <f aca="false">Variants!$A388</f>
        <v>KARNI-RING-VISHAB-M-WHITE-BORDEAUX</v>
      </c>
      <c r="N387" s="21" t="str">
        <f aca="false">IF(Variants!$X388="","",Variants!$X388)</f>
        <v/>
      </c>
      <c r="O387" s="21" t="n">
        <f aca="false">IF(Variants!$O388="","",Variants!$O388)</f>
        <v>0</v>
      </c>
      <c r="P387" s="18" t="n">
        <f aca="false">IF(Variants!$J388="","",Variants!$J388)</f>
        <v>52</v>
      </c>
      <c r="Q387" s="21" t="str">
        <f aca="false">IF(Variants!$U388="","",Variants!$U388)</f>
        <v/>
      </c>
      <c r="R387" s="21" t="str">
        <f aca="false">IF(Variants!$Y388="","",Variants!$Y388)</f>
        <v/>
      </c>
      <c r="S387" s="21" t="n">
        <f aca="false">IFERROR(VLOOKUP(Variants!$B388,Designs!$A$3:$AP$165,37,FALSE()),"")</f>
        <v>0</v>
      </c>
      <c r="T387" s="21" t="str">
        <f aca="false">IFERROR(VLOOKUP(Variants!$B388,Designs!$A$3:$AP$165,38,FALSE()),"")</f>
        <v>No</v>
      </c>
      <c r="U387" s="21" t="str">
        <f aca="false">IF(Variants!$AD388="Active","active","draft")</f>
        <v>active</v>
      </c>
    </row>
    <row r="388" customFormat="false" ht="15.75" hidden="false" customHeight="true" outlineLevel="0" collapsed="false">
      <c r="A388" s="21" t="str">
        <f aca="false">IF(Variants!$B389="","",LOWER(Variants!$B389))</f>
        <v>dsgn-ring-vishab-m</v>
      </c>
      <c r="B388" s="21" t="str">
        <f aca="false">IF(Variants!$B389="","",Variants!$C389&amp;IF(Variants!$F389="",""," "&amp;Variants!$F389))</f>
        <v>Vishab Ring</v>
      </c>
      <c r="C388" s="21" t="str">
        <f aca="false">IFERROR(IF(Variants!$B389="","","&lt;p&gt;"&amp;VLOOKUP(Variants!$B389,Designs!$A$3:$AP$165,9,FALSE())&amp;"&lt;/p&gt;"),"")</f>
        <v>&lt;p&gt;Vishaps are ancient Armenian dragon-stones (vishapakar) found in the highlands, among the oldest carved monuments in the region.&lt;/p&gt;</v>
      </c>
      <c r="D388" s="21" t="str">
        <f aca="false">IF(Variants!$B389="","","Karni Jewellery")</f>
        <v>Karni Jewellery</v>
      </c>
      <c r="E388" s="21" t="str">
        <f aca="false">IF(Variants!$B389="","","Apparel &amp; Accessories &gt; Jewelry")</f>
        <v>Apparel &amp; Accessories &gt; Jewelry</v>
      </c>
      <c r="F388" s="21" t="str">
        <f aca="false">IF(Variants!$D389="","",Variants!$D389)</f>
        <v>Ring</v>
      </c>
      <c r="G388" s="21" t="str">
        <f aca="false">IF(Variants!$E389="","",Variants!$E389&amp;", Armenian jewellery, handmade")</f>
        <v>Vishab, Armenian jewellery, handmade</v>
      </c>
      <c r="H388" s="21" t="str">
        <f aca="false">IF(Variants!$AD389="Active","TRUE","FALSE")</f>
        <v>TRUE</v>
      </c>
      <c r="I388" s="21" t="str">
        <f aca="false">IF(Variants!$H389="","","Color")</f>
        <v>Color</v>
      </c>
      <c r="J388" s="21" t="str">
        <f aca="false">IF(Variants!$H389="","",Variants!$H389)</f>
        <v>turquoise-blue</v>
      </c>
      <c r="K388" s="21" t="str">
        <f aca="false">IF(Variants!$G389="","","Size")</f>
        <v>Size</v>
      </c>
      <c r="L388" s="21" t="str">
        <f aca="false">IF(Variants!$G389="","",Variants!$G389)</f>
        <v>medium</v>
      </c>
      <c r="M388" s="21" t="str">
        <f aca="false">Variants!$A389</f>
        <v>KARNI-RING-VISHAB-M-TURQUOISE-BLUE</v>
      </c>
      <c r="N388" s="21" t="str">
        <f aca="false">IF(Variants!$X389="","",Variants!$X389)</f>
        <v/>
      </c>
      <c r="O388" s="21" t="n">
        <f aca="false">IF(Variants!$O389="","",Variants!$O389)</f>
        <v>0</v>
      </c>
      <c r="P388" s="18" t="n">
        <f aca="false">IF(Variants!$J389="","",Variants!$J389)</f>
        <v>52</v>
      </c>
      <c r="Q388" s="21" t="str">
        <f aca="false">IF(Variants!$U389="","",Variants!$U389)</f>
        <v/>
      </c>
      <c r="R388" s="21" t="str">
        <f aca="false">IF(Variants!$Y389="","",Variants!$Y389)</f>
        <v/>
      </c>
      <c r="S388" s="21" t="n">
        <f aca="false">IFERROR(VLOOKUP(Variants!$B389,Designs!$A$3:$AP$165,37,FALSE()),"")</f>
        <v>0</v>
      </c>
      <c r="T388" s="21" t="str">
        <f aca="false">IFERROR(VLOOKUP(Variants!$B389,Designs!$A$3:$AP$165,38,FALSE()),"")</f>
        <v>No</v>
      </c>
      <c r="U388" s="21" t="str">
        <f aca="false">IF(Variants!$AD389="Active","active","draft")</f>
        <v>active</v>
      </c>
    </row>
    <row r="389" customFormat="false" ht="15.75" hidden="false" customHeight="true" outlineLevel="0" collapsed="false">
      <c r="A389" s="21" t="str">
        <f aca="false">IF(Variants!$B390="","",LOWER(Variants!$B390))</f>
        <v>dsgn-ring-vishabarevagorg-m</v>
      </c>
      <c r="B389" s="21" t="str">
        <f aca="false">IF(Variants!$B390="","",Variants!$C390&amp;IF(Variants!$F390="",""," "&amp;Variants!$F390))</f>
        <v>Արեւագորգի Վիշապ</v>
      </c>
      <c r="C389" s="21" t="str">
        <f aca="false">IFERROR(IF(Variants!$B390="","","&lt;p&gt;"&amp;VLOOKUP(Variants!$B390,Designs!$A$3:$AP$165,9,FALSE())&amp;"&lt;/p&gt;"),"")</f>
        <v>&lt;p&gt;Combines the vishap (dragon) motif with the arevagorg (sun-carpet) — an Armenian solar ornament symbolising life and eternity.&lt;/p&gt;</v>
      </c>
      <c r="D389" s="21" t="str">
        <f aca="false">IF(Variants!$B390="","","Karni Jewellery")</f>
        <v>Karni Jewellery</v>
      </c>
      <c r="E389" s="21" t="str">
        <f aca="false">IF(Variants!$B390="","","Apparel &amp; Accessories &gt; Jewelry")</f>
        <v>Apparel &amp; Accessories &gt; Jewelry</v>
      </c>
      <c r="F389" s="21" t="str">
        <f aca="false">IF(Variants!$D390="","",Variants!$D390)</f>
        <v>Ring</v>
      </c>
      <c r="G389" s="21" t="str">
        <f aca="false">IF(Variants!$E390="","",Variants!$E390&amp;", Armenian jewellery, handmade")</f>
        <v>Vishab Arevagorg, Armenian jewellery, handmade</v>
      </c>
      <c r="H389" s="21" t="str">
        <f aca="false">IF(Variants!$AD390="Active","TRUE","FALSE")</f>
        <v>TRUE</v>
      </c>
      <c r="I389" s="21" t="str">
        <f aca="false">IF(Variants!$H390="","","Color")</f>
        <v>Color</v>
      </c>
      <c r="J389" s="21" t="str">
        <f aca="false">IF(Variants!$H390="","",Variants!$H390)</f>
        <v>white-blue-red</v>
      </c>
      <c r="K389" s="21" t="str">
        <f aca="false">IF(Variants!$G390="","","Size")</f>
        <v>Size</v>
      </c>
      <c r="L389" s="21" t="str">
        <f aca="false">IF(Variants!$G390="","",Variants!$G390)</f>
        <v>medium</v>
      </c>
      <c r="M389" s="21" t="str">
        <f aca="false">Variants!$A390</f>
        <v>KARNI-RING-VISHABAREVAGORG-M-WHITE-BLUE-RED</v>
      </c>
      <c r="N389" s="21" t="str">
        <f aca="false">IF(Variants!$X390="","",Variants!$X390)</f>
        <v/>
      </c>
      <c r="O389" s="21" t="n">
        <f aca="false">IF(Variants!$O390="","",Variants!$O390)</f>
        <v>0</v>
      </c>
      <c r="P389" s="18" t="n">
        <f aca="false">IF(Variants!$J390="","",Variants!$J390)</f>
        <v>52</v>
      </c>
      <c r="Q389" s="21" t="str">
        <f aca="false">IF(Variants!$U390="","",Variants!$U390)</f>
        <v/>
      </c>
      <c r="R389" s="21" t="str">
        <f aca="false">IF(Variants!$Y390="","",Variants!$Y390)</f>
        <v/>
      </c>
      <c r="S389" s="21" t="n">
        <f aca="false">IFERROR(VLOOKUP(Variants!$B390,Designs!$A$3:$AP$165,37,FALSE()),"")</f>
        <v>0</v>
      </c>
      <c r="T389" s="21" t="str">
        <f aca="false">IFERROR(VLOOKUP(Variants!$B390,Designs!$A$3:$AP$165,38,FALSE()),"")</f>
        <v>No</v>
      </c>
      <c r="U389" s="21" t="str">
        <f aca="false">IF(Variants!$AD390="Active","active","draft")</f>
        <v>active</v>
      </c>
    </row>
    <row r="390" customFormat="false" ht="15.75" hidden="false" customHeight="true" outlineLevel="0" collapsed="false">
      <c r="A390" s="21" t="str">
        <f aca="false">IF(Variants!$B391="","",LOWER(Variants!$B391))</f>
        <v>dsgn-ring-vishabarevagorg-m</v>
      </c>
      <c r="B390" s="21" t="str">
        <f aca="false">IF(Variants!$B391="","",Variants!$C391&amp;IF(Variants!$F391="",""," "&amp;Variants!$F391))</f>
        <v>Արեւագորգի Վիշապ</v>
      </c>
      <c r="C390" s="21" t="str">
        <f aca="false">IFERROR(IF(Variants!$B391="","","&lt;p&gt;"&amp;VLOOKUP(Variants!$B391,Designs!$A$3:$AP$165,9,FALSE())&amp;"&lt;/p&gt;"),"")</f>
        <v>&lt;p&gt;Combines the vishap (dragon) motif with the arevagorg (sun-carpet) — an Armenian solar ornament symbolising life and eternity.&lt;/p&gt;</v>
      </c>
      <c r="D390" s="21" t="str">
        <f aca="false">IF(Variants!$B391="","","Karni Jewellery")</f>
        <v>Karni Jewellery</v>
      </c>
      <c r="E390" s="21" t="str">
        <f aca="false">IF(Variants!$B391="","","Apparel &amp; Accessories &gt; Jewelry")</f>
        <v>Apparel &amp; Accessories &gt; Jewelry</v>
      </c>
      <c r="F390" s="21" t="str">
        <f aca="false">IF(Variants!$D391="","",Variants!$D391)</f>
        <v>Ring</v>
      </c>
      <c r="G390" s="21" t="str">
        <f aca="false">IF(Variants!$E391="","",Variants!$E391&amp;", Armenian jewellery, handmade")</f>
        <v>Vishab Arevagorg, Armenian jewellery, handmade</v>
      </c>
      <c r="H390" s="21" t="str">
        <f aca="false">IF(Variants!$AD391="Active","TRUE","FALSE")</f>
        <v>TRUE</v>
      </c>
      <c r="I390" s="21" t="str">
        <f aca="false">IF(Variants!$H391="","","Color")</f>
        <v>Color</v>
      </c>
      <c r="J390" s="21" t="str">
        <f aca="false">IF(Variants!$H391="","",Variants!$H391)</f>
        <v>white-blue-yellow</v>
      </c>
      <c r="K390" s="21" t="str">
        <f aca="false">IF(Variants!$G391="","","Size")</f>
        <v>Size</v>
      </c>
      <c r="L390" s="21" t="str">
        <f aca="false">IF(Variants!$G391="","",Variants!$G391)</f>
        <v>medium</v>
      </c>
      <c r="M390" s="21" t="str">
        <f aca="false">Variants!$A391</f>
        <v>KARNI-RING-VISHABAREVAGORG-M-WHITE-BLUE-YELLOW</v>
      </c>
      <c r="N390" s="21" t="str">
        <f aca="false">IF(Variants!$X391="","",Variants!$X391)</f>
        <v/>
      </c>
      <c r="O390" s="21" t="n">
        <f aca="false">IF(Variants!$O391="","",Variants!$O391)</f>
        <v>0</v>
      </c>
      <c r="P390" s="18" t="n">
        <f aca="false">IF(Variants!$J391="","",Variants!$J391)</f>
        <v>52</v>
      </c>
      <c r="Q390" s="21" t="str">
        <f aca="false">IF(Variants!$U391="","",Variants!$U391)</f>
        <v/>
      </c>
      <c r="R390" s="21" t="str">
        <f aca="false">IF(Variants!$Y391="","",Variants!$Y391)</f>
        <v/>
      </c>
      <c r="S390" s="21" t="n">
        <f aca="false">IFERROR(VLOOKUP(Variants!$B391,Designs!$A$3:$AP$165,37,FALSE()),"")</f>
        <v>0</v>
      </c>
      <c r="T390" s="21" t="str">
        <f aca="false">IFERROR(VLOOKUP(Variants!$B391,Designs!$A$3:$AP$165,38,FALSE()),"")</f>
        <v>No</v>
      </c>
      <c r="U390" s="21" t="str">
        <f aca="false">IF(Variants!$AD391="Active","active","draft")</f>
        <v>active</v>
      </c>
    </row>
    <row r="391" customFormat="false" ht="15.75" hidden="false" customHeight="true" outlineLevel="0" collapsed="false">
      <c r="A391" s="21" t="str">
        <f aca="false">IF(Variants!$B392="","",LOWER(Variants!$B392))</f>
        <v>dsgn-ring-vishabarevagorg-m</v>
      </c>
      <c r="B391" s="21" t="str">
        <f aca="false">IF(Variants!$B392="","",Variants!$C392&amp;IF(Variants!$F392="",""," "&amp;Variants!$F392))</f>
        <v>Արեւագորգի Վիշապ</v>
      </c>
      <c r="C391" s="21" t="str">
        <f aca="false">IFERROR(IF(Variants!$B392="","","&lt;p&gt;"&amp;VLOOKUP(Variants!$B392,Designs!$A$3:$AP$165,9,FALSE())&amp;"&lt;/p&gt;"),"")</f>
        <v>&lt;p&gt;Combines the vishap (dragon) motif with the arevagorg (sun-carpet) — an Armenian solar ornament symbolising life and eternity.&lt;/p&gt;</v>
      </c>
      <c r="D391" s="21" t="str">
        <f aca="false">IF(Variants!$B392="","","Karni Jewellery")</f>
        <v>Karni Jewellery</v>
      </c>
      <c r="E391" s="21" t="str">
        <f aca="false">IF(Variants!$B392="","","Apparel &amp; Accessories &gt; Jewelry")</f>
        <v>Apparel &amp; Accessories &gt; Jewelry</v>
      </c>
      <c r="F391" s="21" t="str">
        <f aca="false">IF(Variants!$D392="","",Variants!$D392)</f>
        <v>Ring</v>
      </c>
      <c r="G391" s="21" t="str">
        <f aca="false">IF(Variants!$E392="","",Variants!$E392&amp;", Armenian jewellery, handmade")</f>
        <v>Vishab Arevagorg, Armenian jewellery, handmade</v>
      </c>
      <c r="H391" s="21" t="str">
        <f aca="false">IF(Variants!$AD392="Active","TRUE","FALSE")</f>
        <v>TRUE</v>
      </c>
      <c r="I391" s="21" t="str">
        <f aca="false">IF(Variants!$H392="","","Color")</f>
        <v>Color</v>
      </c>
      <c r="J391" s="21" t="str">
        <f aca="false">IF(Variants!$H392="","",Variants!$H392)</f>
        <v>white-bordeaux-green</v>
      </c>
      <c r="K391" s="21" t="str">
        <f aca="false">IF(Variants!$G392="","","Size")</f>
        <v>Size</v>
      </c>
      <c r="L391" s="21" t="str">
        <f aca="false">IF(Variants!$G392="","",Variants!$G392)</f>
        <v>medium</v>
      </c>
      <c r="M391" s="21" t="str">
        <f aca="false">Variants!$A392</f>
        <v>KARNI-RING-VISHABAREVAGORG-M-WHITE-BORDEAUX-GREEN</v>
      </c>
      <c r="N391" s="21" t="str">
        <f aca="false">IF(Variants!$X392="","",Variants!$X392)</f>
        <v/>
      </c>
      <c r="O391" s="21" t="n">
        <f aca="false">IF(Variants!$O392="","",Variants!$O392)</f>
        <v>0</v>
      </c>
      <c r="P391" s="18" t="n">
        <f aca="false">IF(Variants!$J392="","",Variants!$J392)</f>
        <v>52</v>
      </c>
      <c r="Q391" s="21" t="str">
        <f aca="false">IF(Variants!$U392="","",Variants!$U392)</f>
        <v/>
      </c>
      <c r="R391" s="21" t="str">
        <f aca="false">IF(Variants!$Y392="","",Variants!$Y392)</f>
        <v/>
      </c>
      <c r="S391" s="21" t="n">
        <f aca="false">IFERROR(VLOOKUP(Variants!$B392,Designs!$A$3:$AP$165,37,FALSE()),"")</f>
        <v>0</v>
      </c>
      <c r="T391" s="21" t="str">
        <f aca="false">IFERROR(VLOOKUP(Variants!$B392,Designs!$A$3:$AP$165,38,FALSE()),"")</f>
        <v>No</v>
      </c>
      <c r="U391" s="21" t="str">
        <f aca="false">IF(Variants!$AD392="Active","active","draft")</f>
        <v>active</v>
      </c>
    </row>
    <row r="392" customFormat="false" ht="15.75" hidden="false" customHeight="true" outlineLevel="0" collapsed="false">
      <c r="A392" s="21" t="str">
        <f aca="false">IF(Variants!$B393="","",LOWER(Variants!$B393))</f>
        <v>dsgn-ring-vishabarevagorg-m</v>
      </c>
      <c r="B392" s="21" t="str">
        <f aca="false">IF(Variants!$B393="","",Variants!$C393&amp;IF(Variants!$F393="",""," "&amp;Variants!$F393))</f>
        <v>Արեւագորգի Վիշապ</v>
      </c>
      <c r="C392" s="21" t="str">
        <f aca="false">IFERROR(IF(Variants!$B393="","","&lt;p&gt;"&amp;VLOOKUP(Variants!$B393,Designs!$A$3:$AP$165,9,FALSE())&amp;"&lt;/p&gt;"),"")</f>
        <v>&lt;p&gt;Combines the vishap (dragon) motif with the arevagorg (sun-carpet) — an Armenian solar ornament symbolising life and eternity.&lt;/p&gt;</v>
      </c>
      <c r="D392" s="21" t="str">
        <f aca="false">IF(Variants!$B393="","","Karni Jewellery")</f>
        <v>Karni Jewellery</v>
      </c>
      <c r="E392" s="21" t="str">
        <f aca="false">IF(Variants!$B393="","","Apparel &amp; Accessories &gt; Jewelry")</f>
        <v>Apparel &amp; Accessories &gt; Jewelry</v>
      </c>
      <c r="F392" s="21" t="str">
        <f aca="false">IF(Variants!$D393="","",Variants!$D393)</f>
        <v>Ring</v>
      </c>
      <c r="G392" s="21" t="str">
        <f aca="false">IF(Variants!$E393="","",Variants!$E393&amp;", Armenian jewellery, handmade")</f>
        <v>Vishab Arevagorg, Armenian jewellery, handmade</v>
      </c>
      <c r="H392" s="21" t="str">
        <f aca="false">IF(Variants!$AD393="Active","TRUE","FALSE")</f>
        <v>TRUE</v>
      </c>
      <c r="I392" s="21" t="str">
        <f aca="false">IF(Variants!$H393="","","Color")</f>
        <v>Color</v>
      </c>
      <c r="J392" s="21" t="str">
        <f aca="false">IF(Variants!$H393="","",Variants!$H393)</f>
        <v>blue-bordeaux-white</v>
      </c>
      <c r="K392" s="21" t="str">
        <f aca="false">IF(Variants!$G393="","","Size")</f>
        <v>Size</v>
      </c>
      <c r="L392" s="21" t="str">
        <f aca="false">IF(Variants!$G393="","",Variants!$G393)</f>
        <v>medium</v>
      </c>
      <c r="M392" s="21" t="str">
        <f aca="false">Variants!$A393</f>
        <v>KARNI-RING-VISHABAREVAGORG-M-BLUE-BORDEAUX-WHITE</v>
      </c>
      <c r="N392" s="21" t="str">
        <f aca="false">IF(Variants!$X393="","",Variants!$X393)</f>
        <v/>
      </c>
      <c r="O392" s="21" t="n">
        <f aca="false">IF(Variants!$O393="","",Variants!$O393)</f>
        <v>0</v>
      </c>
      <c r="P392" s="18" t="n">
        <f aca="false">IF(Variants!$J393="","",Variants!$J393)</f>
        <v>52</v>
      </c>
      <c r="Q392" s="21" t="str">
        <f aca="false">IF(Variants!$U393="","",Variants!$U393)</f>
        <v/>
      </c>
      <c r="R392" s="21" t="str">
        <f aca="false">IF(Variants!$Y393="","",Variants!$Y393)</f>
        <v/>
      </c>
      <c r="S392" s="21" t="n">
        <f aca="false">IFERROR(VLOOKUP(Variants!$B393,Designs!$A$3:$AP$165,37,FALSE()),"")</f>
        <v>0</v>
      </c>
      <c r="T392" s="21" t="str">
        <f aca="false">IFERROR(VLOOKUP(Variants!$B393,Designs!$A$3:$AP$165,38,FALSE()),"")</f>
        <v>No</v>
      </c>
      <c r="U392" s="21" t="str">
        <f aca="false">IF(Variants!$AD393="Active","active","draft")</f>
        <v>active</v>
      </c>
    </row>
    <row r="393" customFormat="false" ht="15.75" hidden="false" customHeight="true" outlineLevel="0" collapsed="false">
      <c r="A393" s="21" t="str">
        <f aca="false">IF(Variants!$B394="","",LOWER(Variants!$B394))</f>
        <v>dsgn-pend-marash-m</v>
      </c>
      <c r="B393" s="21" t="str">
        <f aca="false">IF(Variants!$B394="","",Variants!$C394&amp;IF(Variants!$F394="",""," "&amp;Variants!$F394))</f>
        <v>Marash Pendant</v>
      </c>
      <c r="C393" s="21" t="str">
        <f aca="false">IFERROR(IF(Variants!$B394="","","&lt;p&gt;"&amp;VLOOKUP(Variants!$B394,Designs!$A$3:$AP$165,9,FALSE())&amp;"&lt;/p&gt;"),"")</f>
        <v>&lt;p&gt;Marash-work is a distinctive Armenian embroidery style from Cilician Marash, known for its interlaced geometric patterns.&lt;/p&gt;</v>
      </c>
      <c r="D393" s="21" t="str">
        <f aca="false">IF(Variants!$B394="","","Karni Jewellery")</f>
        <v>Karni Jewellery</v>
      </c>
      <c r="E393" s="21" t="str">
        <f aca="false">IF(Variants!$B394="","","Apparel &amp; Accessories &gt; Jewelry")</f>
        <v>Apparel &amp; Accessories &gt; Jewelry</v>
      </c>
      <c r="F393" s="21" t="str">
        <f aca="false">IF(Variants!$D394="","",Variants!$D394)</f>
        <v>Pendant</v>
      </c>
      <c r="G393" s="21" t="str">
        <f aca="false">IF(Variants!$E394="","",Variants!$E394&amp;", Armenian jewellery, handmade")</f>
        <v>Marash, Armenian jewellery, handmade</v>
      </c>
      <c r="H393" s="21" t="str">
        <f aca="false">IF(Variants!$AD394="Active","TRUE","FALSE")</f>
        <v>TRUE</v>
      </c>
      <c r="I393" s="21" t="str">
        <f aca="false">IF(Variants!$H394="","","Color")</f>
        <v>Color</v>
      </c>
      <c r="J393" s="21" t="str">
        <f aca="false">IF(Variants!$H394="","",Variants!$H394)</f>
        <v>white-blue</v>
      </c>
      <c r="K393" s="21" t="str">
        <f aca="false">IF(Variants!$G394="","","Size")</f>
        <v>Size</v>
      </c>
      <c r="L393" s="21" t="str">
        <f aca="false">IF(Variants!$G394="","",Variants!$G394)</f>
        <v>medium</v>
      </c>
      <c r="M393" s="21" t="str">
        <f aca="false">Variants!$A394</f>
        <v>KARNI-PEND-MARASH-M-WHITE-BLUE</v>
      </c>
      <c r="N393" s="21" t="str">
        <f aca="false">IF(Variants!$X394="","",Variants!$X394)</f>
        <v/>
      </c>
      <c r="O393" s="21" t="n">
        <f aca="false">IF(Variants!$O394="","",Variants!$O394)</f>
        <v>0</v>
      </c>
      <c r="P393" s="18" t="n">
        <f aca="false">IF(Variants!$J394="","",Variants!$J394)</f>
        <v>49.4</v>
      </c>
      <c r="Q393" s="21" t="str">
        <f aca="false">IF(Variants!$U394="","",Variants!$U394)</f>
        <v/>
      </c>
      <c r="R393" s="21" t="str">
        <f aca="false">IF(Variants!$Y394="","",Variants!$Y394)</f>
        <v/>
      </c>
      <c r="S393" s="21" t="n">
        <f aca="false">IFERROR(VLOOKUP(Variants!$B394,Designs!$A$3:$AP$165,37,FALSE()),"")</f>
        <v>0</v>
      </c>
      <c r="T393" s="21" t="str">
        <f aca="false">IFERROR(VLOOKUP(Variants!$B394,Designs!$A$3:$AP$165,38,FALSE()),"")</f>
        <v>No</v>
      </c>
      <c r="U393" s="21" t="str">
        <f aca="false">IF(Variants!$AD394="Active","active","draft")</f>
        <v>active</v>
      </c>
    </row>
    <row r="394" customFormat="false" ht="15.75" hidden="false" customHeight="true" outlineLevel="0" collapsed="false">
      <c r="A394" s="21" t="str">
        <f aca="false">IF(Variants!$B395="","",LOWER(Variants!$B395))</f>
        <v>dsgn-pend-marash-m</v>
      </c>
      <c r="B394" s="21" t="str">
        <f aca="false">IF(Variants!$B395="","",Variants!$C395&amp;IF(Variants!$F395="",""," "&amp;Variants!$F395))</f>
        <v>Marash Pendant</v>
      </c>
      <c r="C394" s="21" t="str">
        <f aca="false">IFERROR(IF(Variants!$B395="","","&lt;p&gt;"&amp;VLOOKUP(Variants!$B395,Designs!$A$3:$AP$165,9,FALSE())&amp;"&lt;/p&gt;"),"")</f>
        <v>&lt;p&gt;Marash-work is a distinctive Armenian embroidery style from Cilician Marash, known for its interlaced geometric patterns.&lt;/p&gt;</v>
      </c>
      <c r="D394" s="21" t="str">
        <f aca="false">IF(Variants!$B395="","","Karni Jewellery")</f>
        <v>Karni Jewellery</v>
      </c>
      <c r="E394" s="21" t="str">
        <f aca="false">IF(Variants!$B395="","","Apparel &amp; Accessories &gt; Jewelry")</f>
        <v>Apparel &amp; Accessories &gt; Jewelry</v>
      </c>
      <c r="F394" s="21" t="str">
        <f aca="false">IF(Variants!$D395="","",Variants!$D395)</f>
        <v>Pendant</v>
      </c>
      <c r="G394" s="21" t="str">
        <f aca="false">IF(Variants!$E395="","",Variants!$E395&amp;", Armenian jewellery, handmade")</f>
        <v>Marash, Armenian jewellery, handmade</v>
      </c>
      <c r="H394" s="21" t="str">
        <f aca="false">IF(Variants!$AD395="Active","TRUE","FALSE")</f>
        <v>TRUE</v>
      </c>
      <c r="I394" s="21" t="str">
        <f aca="false">IF(Variants!$H395="","","Color")</f>
        <v>Color</v>
      </c>
      <c r="J394" s="21" t="str">
        <f aca="false">IF(Variants!$H395="","",Variants!$H395)</f>
        <v>blue-white</v>
      </c>
      <c r="K394" s="21" t="str">
        <f aca="false">IF(Variants!$G395="","","Size")</f>
        <v>Size</v>
      </c>
      <c r="L394" s="21" t="str">
        <f aca="false">IF(Variants!$G395="","",Variants!$G395)</f>
        <v>medium</v>
      </c>
      <c r="M394" s="21" t="str">
        <f aca="false">Variants!$A395</f>
        <v>KARNI-PEND-MARASH-M-BLUE-WHITE</v>
      </c>
      <c r="N394" s="21" t="str">
        <f aca="false">IF(Variants!$X395="","",Variants!$X395)</f>
        <v/>
      </c>
      <c r="O394" s="21" t="n">
        <f aca="false">IF(Variants!$O395="","",Variants!$O395)</f>
        <v>0</v>
      </c>
      <c r="P394" s="18" t="n">
        <f aca="false">IF(Variants!$J395="","",Variants!$J395)</f>
        <v>49.4</v>
      </c>
      <c r="Q394" s="21" t="str">
        <f aca="false">IF(Variants!$U395="","",Variants!$U395)</f>
        <v/>
      </c>
      <c r="R394" s="21" t="str">
        <f aca="false">IF(Variants!$Y395="","",Variants!$Y395)</f>
        <v/>
      </c>
      <c r="S394" s="21" t="n">
        <f aca="false">IFERROR(VLOOKUP(Variants!$B395,Designs!$A$3:$AP$165,37,FALSE()),"")</f>
        <v>0</v>
      </c>
      <c r="T394" s="21" t="str">
        <f aca="false">IFERROR(VLOOKUP(Variants!$B395,Designs!$A$3:$AP$165,38,FALSE()),"")</f>
        <v>No</v>
      </c>
      <c r="U394" s="21" t="str">
        <f aca="false">IF(Variants!$AD395="Active","active","draft")</f>
        <v>active</v>
      </c>
    </row>
    <row r="395" customFormat="false" ht="15.75" hidden="false" customHeight="true" outlineLevel="0" collapsed="false">
      <c r="A395" s="21" t="str">
        <f aca="false">IF(Variants!$B396="","",LOWER(Variants!$B396))</f>
        <v>dsgn-pend-marash-m</v>
      </c>
      <c r="B395" s="21" t="str">
        <f aca="false">IF(Variants!$B396="","",Variants!$C396&amp;IF(Variants!$F396="",""," "&amp;Variants!$F396))</f>
        <v>Marash Pendant</v>
      </c>
      <c r="C395" s="21" t="str">
        <f aca="false">IFERROR(IF(Variants!$B396="","","&lt;p&gt;"&amp;VLOOKUP(Variants!$B396,Designs!$A$3:$AP$165,9,FALSE())&amp;"&lt;/p&gt;"),"")</f>
        <v>&lt;p&gt;Marash-work is a distinctive Armenian embroidery style from Cilician Marash, known for its interlaced geometric patterns.&lt;/p&gt;</v>
      </c>
      <c r="D395" s="21" t="str">
        <f aca="false">IF(Variants!$B396="","","Karni Jewellery")</f>
        <v>Karni Jewellery</v>
      </c>
      <c r="E395" s="21" t="str">
        <f aca="false">IF(Variants!$B396="","","Apparel &amp; Accessories &gt; Jewelry")</f>
        <v>Apparel &amp; Accessories &gt; Jewelry</v>
      </c>
      <c r="F395" s="21" t="str">
        <f aca="false">IF(Variants!$D396="","",Variants!$D396)</f>
        <v>Pendant</v>
      </c>
      <c r="G395" s="21" t="str">
        <f aca="false">IF(Variants!$E396="","",Variants!$E396&amp;", Armenian jewellery, handmade")</f>
        <v>Marash, Armenian jewellery, handmade</v>
      </c>
      <c r="H395" s="21" t="str">
        <f aca="false">IF(Variants!$AD396="Active","TRUE","FALSE")</f>
        <v>TRUE</v>
      </c>
      <c r="I395" s="21" t="str">
        <f aca="false">IF(Variants!$H396="","","Color")</f>
        <v>Color</v>
      </c>
      <c r="J395" s="21" t="str">
        <f aca="false">IF(Variants!$H396="","",Variants!$H396)</f>
        <v>white-bordeaux</v>
      </c>
      <c r="K395" s="21" t="str">
        <f aca="false">IF(Variants!$G396="","","Size")</f>
        <v>Size</v>
      </c>
      <c r="L395" s="21" t="str">
        <f aca="false">IF(Variants!$G396="","",Variants!$G396)</f>
        <v>medium</v>
      </c>
      <c r="M395" s="21" t="str">
        <f aca="false">Variants!$A396</f>
        <v>KARNI-PEND-MARASH-M-WHITE-BORDEAUX</v>
      </c>
      <c r="N395" s="21" t="str">
        <f aca="false">IF(Variants!$X396="","",Variants!$X396)</f>
        <v/>
      </c>
      <c r="O395" s="21" t="n">
        <f aca="false">IF(Variants!$O396="","",Variants!$O396)</f>
        <v>0</v>
      </c>
      <c r="P395" s="18" t="n">
        <f aca="false">IF(Variants!$J396="","",Variants!$J396)</f>
        <v>49.4</v>
      </c>
      <c r="Q395" s="21" t="str">
        <f aca="false">IF(Variants!$U396="","",Variants!$U396)</f>
        <v/>
      </c>
      <c r="R395" s="21" t="str">
        <f aca="false">IF(Variants!$Y396="","",Variants!$Y396)</f>
        <v/>
      </c>
      <c r="S395" s="21" t="n">
        <f aca="false">IFERROR(VLOOKUP(Variants!$B396,Designs!$A$3:$AP$165,37,FALSE()),"")</f>
        <v>0</v>
      </c>
      <c r="T395" s="21" t="str">
        <f aca="false">IFERROR(VLOOKUP(Variants!$B396,Designs!$A$3:$AP$165,38,FALSE()),"")</f>
        <v>No</v>
      </c>
      <c r="U395" s="21" t="str">
        <f aca="false">IF(Variants!$AD396="Active","active","draft")</f>
        <v>active</v>
      </c>
    </row>
    <row r="396" customFormat="false" ht="15.75" hidden="false" customHeight="true" outlineLevel="0" collapsed="false">
      <c r="A396" s="21" t="str">
        <f aca="false">IF(Variants!$B397="","",LOWER(Variants!$B397))</f>
        <v>dsgn-pend-marash-m</v>
      </c>
      <c r="B396" s="21" t="str">
        <f aca="false">IF(Variants!$B397="","",Variants!$C397&amp;IF(Variants!$F397="",""," "&amp;Variants!$F397))</f>
        <v>Marash Pendant</v>
      </c>
      <c r="C396" s="21" t="str">
        <f aca="false">IFERROR(IF(Variants!$B397="","","&lt;p&gt;"&amp;VLOOKUP(Variants!$B397,Designs!$A$3:$AP$165,9,FALSE())&amp;"&lt;/p&gt;"),"")</f>
        <v>&lt;p&gt;Marash-work is a distinctive Armenian embroidery style from Cilician Marash, known for its interlaced geometric patterns.&lt;/p&gt;</v>
      </c>
      <c r="D396" s="21" t="str">
        <f aca="false">IF(Variants!$B397="","","Karni Jewellery")</f>
        <v>Karni Jewellery</v>
      </c>
      <c r="E396" s="21" t="str">
        <f aca="false">IF(Variants!$B397="","","Apparel &amp; Accessories &gt; Jewelry")</f>
        <v>Apparel &amp; Accessories &gt; Jewelry</v>
      </c>
      <c r="F396" s="21" t="str">
        <f aca="false">IF(Variants!$D397="","",Variants!$D397)</f>
        <v>Pendant</v>
      </c>
      <c r="G396" s="21" t="str">
        <f aca="false">IF(Variants!$E397="","",Variants!$E397&amp;", Armenian jewellery, handmade")</f>
        <v>Marash, Armenian jewellery, handmade</v>
      </c>
      <c r="H396" s="21" t="str">
        <f aca="false">IF(Variants!$AD397="Active","TRUE","FALSE")</f>
        <v>TRUE</v>
      </c>
      <c r="I396" s="21" t="str">
        <f aca="false">IF(Variants!$H397="","","Color")</f>
        <v>Color</v>
      </c>
      <c r="J396" s="21" t="str">
        <f aca="false">IF(Variants!$H397="","",Variants!$H397)</f>
        <v>bordeaux-white</v>
      </c>
      <c r="K396" s="21" t="str">
        <f aca="false">IF(Variants!$G397="","","Size")</f>
        <v>Size</v>
      </c>
      <c r="L396" s="21" t="str">
        <f aca="false">IF(Variants!$G397="","",Variants!$G397)</f>
        <v>medium</v>
      </c>
      <c r="M396" s="21" t="str">
        <f aca="false">Variants!$A397</f>
        <v>KARNI-PEND-MARASH-M-BORDEAUX-WHITE</v>
      </c>
      <c r="N396" s="21" t="str">
        <f aca="false">IF(Variants!$X397="","",Variants!$X397)</f>
        <v/>
      </c>
      <c r="O396" s="21" t="n">
        <f aca="false">IF(Variants!$O397="","",Variants!$O397)</f>
        <v>0</v>
      </c>
      <c r="P396" s="18" t="n">
        <f aca="false">IF(Variants!$J397="","",Variants!$J397)</f>
        <v>49.4</v>
      </c>
      <c r="Q396" s="21" t="str">
        <f aca="false">IF(Variants!$U397="","",Variants!$U397)</f>
        <v/>
      </c>
      <c r="R396" s="21" t="str">
        <f aca="false">IF(Variants!$Y397="","",Variants!$Y397)</f>
        <v/>
      </c>
      <c r="S396" s="21" t="n">
        <f aca="false">IFERROR(VLOOKUP(Variants!$B397,Designs!$A$3:$AP$165,37,FALSE()),"")</f>
        <v>0</v>
      </c>
      <c r="T396" s="21" t="str">
        <f aca="false">IFERROR(VLOOKUP(Variants!$B397,Designs!$A$3:$AP$165,38,FALSE()),"")</f>
        <v>No</v>
      </c>
      <c r="U396" s="21" t="str">
        <f aca="false">IF(Variants!$AD397="Active","active","draft")</f>
        <v>active</v>
      </c>
    </row>
    <row r="397" customFormat="false" ht="15.75" hidden="false" customHeight="true" outlineLevel="0" collapsed="false">
      <c r="A397" s="21" t="str">
        <f aca="false">IF(Variants!$B398="","",LOWER(Variants!$B398))</f>
        <v>dsgn-pend-van-m</v>
      </c>
      <c r="B397" s="21" t="str">
        <f aca="false">IF(Variants!$B398="","",Variants!$C398&amp;IF(Variants!$F398="",""," "&amp;Variants!$F398))</f>
        <v>Van Pendant</v>
      </c>
      <c r="C397" s="21" t="str">
        <f aca="false">IFERROR(IF(Variants!$B398="","","&lt;p&gt;"&amp;VLOOKUP(Variants!$B398,Designs!$A$3:$AP$165,9,FALSE())&amp;"&lt;/p&gt;"),"")</f>
        <v>&lt;p&gt;Motifs from the Van/Vaspurakan region, echoing the ornament of the Lake Van heartland of historic Armenia.&lt;/p&gt;</v>
      </c>
      <c r="D397" s="21" t="str">
        <f aca="false">IF(Variants!$B398="","","Karni Jewellery")</f>
        <v>Karni Jewellery</v>
      </c>
      <c r="E397" s="21" t="str">
        <f aca="false">IF(Variants!$B398="","","Apparel &amp; Accessories &gt; Jewelry")</f>
        <v>Apparel &amp; Accessories &gt; Jewelry</v>
      </c>
      <c r="F397" s="21" t="str">
        <f aca="false">IF(Variants!$D398="","",Variants!$D398)</f>
        <v>Pendant</v>
      </c>
      <c r="G397" s="21" t="str">
        <f aca="false">IF(Variants!$E398="","",Variants!$E398&amp;", Armenian jewellery, handmade")</f>
        <v>Van, Armenian jewellery, handmade</v>
      </c>
      <c r="H397" s="21" t="str">
        <f aca="false">IF(Variants!$AD398="Active","TRUE","FALSE")</f>
        <v>TRUE</v>
      </c>
      <c r="I397" s="21" t="str">
        <f aca="false">IF(Variants!$H398="","","Color")</f>
        <v>Color</v>
      </c>
      <c r="J397" s="21" t="str">
        <f aca="false">IF(Variants!$H398="","",Variants!$H398)</f>
        <v>white</v>
      </c>
      <c r="K397" s="21" t="str">
        <f aca="false">IF(Variants!$G398="","","Size")</f>
        <v>Size</v>
      </c>
      <c r="L397" s="21" t="str">
        <f aca="false">IF(Variants!$G398="","",Variants!$G398)</f>
        <v>medium</v>
      </c>
      <c r="M397" s="21" t="str">
        <f aca="false">Variants!$A398</f>
        <v>KARNI-PEND-VAN-M-WHITE</v>
      </c>
      <c r="N397" s="21" t="str">
        <f aca="false">IF(Variants!$X398="","",Variants!$X398)</f>
        <v/>
      </c>
      <c r="O397" s="21" t="n">
        <f aca="false">IF(Variants!$O398="","",Variants!$O398)</f>
        <v>0</v>
      </c>
      <c r="P397" s="18" t="n">
        <f aca="false">IF(Variants!$J398="","",Variants!$J398)</f>
        <v>49.4</v>
      </c>
      <c r="Q397" s="21" t="str">
        <f aca="false">IF(Variants!$U398="","",Variants!$U398)</f>
        <v/>
      </c>
      <c r="R397" s="21" t="str">
        <f aca="false">IF(Variants!$Y398="","",Variants!$Y398)</f>
        <v/>
      </c>
      <c r="S397" s="21" t="n">
        <f aca="false">IFERROR(VLOOKUP(Variants!$B398,Designs!$A$3:$AP$165,37,FALSE()),"")</f>
        <v>0</v>
      </c>
      <c r="T397" s="21" t="str">
        <f aca="false">IFERROR(VLOOKUP(Variants!$B398,Designs!$A$3:$AP$165,38,FALSE()),"")</f>
        <v>No</v>
      </c>
      <c r="U397" s="21" t="str">
        <f aca="false">IF(Variants!$AD398="Active","active","draft")</f>
        <v>active</v>
      </c>
    </row>
    <row r="398" customFormat="false" ht="15.75" hidden="false" customHeight="true" outlineLevel="0" collapsed="false">
      <c r="A398" s="21" t="str">
        <f aca="false">IF(Variants!$B399="","",LOWER(Variants!$B399))</f>
        <v>dsgn-pend-van-m</v>
      </c>
      <c r="B398" s="21" t="str">
        <f aca="false">IF(Variants!$B399="","",Variants!$C399&amp;IF(Variants!$F399="",""," "&amp;Variants!$F399))</f>
        <v>Van Pendant</v>
      </c>
      <c r="C398" s="21" t="str">
        <f aca="false">IFERROR(IF(Variants!$B399="","","&lt;p&gt;"&amp;VLOOKUP(Variants!$B399,Designs!$A$3:$AP$165,9,FALSE())&amp;"&lt;/p&gt;"),"")</f>
        <v>&lt;p&gt;Motifs from the Van/Vaspurakan region, echoing the ornament of the Lake Van heartland of historic Armenia.&lt;/p&gt;</v>
      </c>
      <c r="D398" s="21" t="str">
        <f aca="false">IF(Variants!$B399="","","Karni Jewellery")</f>
        <v>Karni Jewellery</v>
      </c>
      <c r="E398" s="21" t="str">
        <f aca="false">IF(Variants!$B399="","","Apparel &amp; Accessories &gt; Jewelry")</f>
        <v>Apparel &amp; Accessories &gt; Jewelry</v>
      </c>
      <c r="F398" s="21" t="str">
        <f aca="false">IF(Variants!$D399="","",Variants!$D399)</f>
        <v>Pendant</v>
      </c>
      <c r="G398" s="21" t="str">
        <f aca="false">IF(Variants!$E399="","",Variants!$E399&amp;", Armenian jewellery, handmade")</f>
        <v>Van, Armenian jewellery, handmade</v>
      </c>
      <c r="H398" s="21" t="str">
        <f aca="false">IF(Variants!$AD399="Active","TRUE","FALSE")</f>
        <v>TRUE</v>
      </c>
      <c r="I398" s="21" t="str">
        <f aca="false">IF(Variants!$H399="","","Color")</f>
        <v>Color</v>
      </c>
      <c r="J398" s="21" t="str">
        <f aca="false">IF(Variants!$H399="","",Variants!$H399)</f>
        <v>blue</v>
      </c>
      <c r="K398" s="21" t="str">
        <f aca="false">IF(Variants!$G399="","","Size")</f>
        <v>Size</v>
      </c>
      <c r="L398" s="21" t="str">
        <f aca="false">IF(Variants!$G399="","",Variants!$G399)</f>
        <v>medium</v>
      </c>
      <c r="M398" s="21" t="str">
        <f aca="false">Variants!$A399</f>
        <v>KARNI-PEND-VAN-M-BLUE</v>
      </c>
      <c r="N398" s="21" t="str">
        <f aca="false">IF(Variants!$X399="","",Variants!$X399)</f>
        <v/>
      </c>
      <c r="O398" s="21" t="n">
        <f aca="false">IF(Variants!$O399="","",Variants!$O399)</f>
        <v>0</v>
      </c>
      <c r="P398" s="18" t="n">
        <f aca="false">IF(Variants!$J399="","",Variants!$J399)</f>
        <v>49.4</v>
      </c>
      <c r="Q398" s="21" t="str">
        <f aca="false">IF(Variants!$U399="","",Variants!$U399)</f>
        <v/>
      </c>
      <c r="R398" s="21" t="str">
        <f aca="false">IF(Variants!$Y399="","",Variants!$Y399)</f>
        <v/>
      </c>
      <c r="S398" s="21" t="n">
        <f aca="false">IFERROR(VLOOKUP(Variants!$B399,Designs!$A$3:$AP$165,37,FALSE()),"")</f>
        <v>0</v>
      </c>
      <c r="T398" s="21" t="str">
        <f aca="false">IFERROR(VLOOKUP(Variants!$B399,Designs!$A$3:$AP$165,38,FALSE()),"")</f>
        <v>No</v>
      </c>
      <c r="U398" s="21" t="str">
        <f aca="false">IF(Variants!$AD399="Active","active","draft")</f>
        <v>active</v>
      </c>
    </row>
    <row r="399" customFormat="false" ht="15.75" hidden="false" customHeight="true" outlineLevel="0" collapsed="false">
      <c r="A399" s="21" t="str">
        <f aca="false">IF(Variants!$B400="","",LOWER(Variants!$B400))</f>
        <v>dsgn-pend-van-m</v>
      </c>
      <c r="B399" s="21" t="str">
        <f aca="false">IF(Variants!$B400="","",Variants!$C400&amp;IF(Variants!$F400="",""," "&amp;Variants!$F400))</f>
        <v>Van Pendant</v>
      </c>
      <c r="C399" s="21" t="str">
        <f aca="false">IFERROR(IF(Variants!$B400="","","&lt;p&gt;"&amp;VLOOKUP(Variants!$B400,Designs!$A$3:$AP$165,9,FALSE())&amp;"&lt;/p&gt;"),"")</f>
        <v>&lt;p&gt;Motifs from the Van/Vaspurakan region, echoing the ornament of the Lake Van heartland of historic Armenia.&lt;/p&gt;</v>
      </c>
      <c r="D399" s="21" t="str">
        <f aca="false">IF(Variants!$B400="","","Karni Jewellery")</f>
        <v>Karni Jewellery</v>
      </c>
      <c r="E399" s="21" t="str">
        <f aca="false">IF(Variants!$B400="","","Apparel &amp; Accessories &gt; Jewelry")</f>
        <v>Apparel &amp; Accessories &gt; Jewelry</v>
      </c>
      <c r="F399" s="21" t="str">
        <f aca="false">IF(Variants!$D400="","",Variants!$D400)</f>
        <v>Pendant</v>
      </c>
      <c r="G399" s="21" t="str">
        <f aca="false">IF(Variants!$E400="","",Variants!$E400&amp;", Armenian jewellery, handmade")</f>
        <v>Van, Armenian jewellery, handmade</v>
      </c>
      <c r="H399" s="21" t="str">
        <f aca="false">IF(Variants!$AD400="Active","TRUE","FALSE")</f>
        <v>TRUE</v>
      </c>
      <c r="I399" s="21" t="str">
        <f aca="false">IF(Variants!$H400="","","Color")</f>
        <v>Color</v>
      </c>
      <c r="J399" s="21" t="str">
        <f aca="false">IF(Variants!$H400="","",Variants!$H400)</f>
        <v>camel</v>
      </c>
      <c r="K399" s="21" t="str">
        <f aca="false">IF(Variants!$G400="","","Size")</f>
        <v>Size</v>
      </c>
      <c r="L399" s="21" t="str">
        <f aca="false">IF(Variants!$G400="","",Variants!$G400)</f>
        <v>medium</v>
      </c>
      <c r="M399" s="21" t="str">
        <f aca="false">Variants!$A400</f>
        <v>KARNI-PEND-VAN-M-CAMEL</v>
      </c>
      <c r="N399" s="21" t="str">
        <f aca="false">IF(Variants!$X400="","",Variants!$X400)</f>
        <v/>
      </c>
      <c r="O399" s="21" t="n">
        <f aca="false">IF(Variants!$O400="","",Variants!$O400)</f>
        <v>0</v>
      </c>
      <c r="P399" s="18" t="n">
        <f aca="false">IF(Variants!$J400="","",Variants!$J400)</f>
        <v>49.4</v>
      </c>
      <c r="Q399" s="21" t="str">
        <f aca="false">IF(Variants!$U400="","",Variants!$U400)</f>
        <v/>
      </c>
      <c r="R399" s="21" t="str">
        <f aca="false">IF(Variants!$Y400="","",Variants!$Y400)</f>
        <v/>
      </c>
      <c r="S399" s="21" t="n">
        <f aca="false">IFERROR(VLOOKUP(Variants!$B400,Designs!$A$3:$AP$165,37,FALSE()),"")</f>
        <v>0</v>
      </c>
      <c r="T399" s="21" t="str">
        <f aca="false">IFERROR(VLOOKUP(Variants!$B400,Designs!$A$3:$AP$165,38,FALSE()),"")</f>
        <v>No</v>
      </c>
      <c r="U399" s="21" t="str">
        <f aca="false">IF(Variants!$AD400="Active","active","draft")</f>
        <v>active</v>
      </c>
    </row>
    <row r="400" customFormat="false" ht="15.75" hidden="false" customHeight="true" outlineLevel="0" collapsed="false">
      <c r="A400" s="21" t="str">
        <f aca="false">IF(Variants!$B401="","",LOWER(Variants!$B401))</f>
        <v>dsgn-pend-van-m</v>
      </c>
      <c r="B400" s="21" t="str">
        <f aca="false">IF(Variants!$B401="","",Variants!$C401&amp;IF(Variants!$F401="",""," "&amp;Variants!$F401))</f>
        <v>Van Pendant</v>
      </c>
      <c r="C400" s="21" t="str">
        <f aca="false">IFERROR(IF(Variants!$B401="","","&lt;p&gt;"&amp;VLOOKUP(Variants!$B401,Designs!$A$3:$AP$165,9,FALSE())&amp;"&lt;/p&gt;"),"")</f>
        <v>&lt;p&gt;Motifs from the Van/Vaspurakan region, echoing the ornament of the Lake Van heartland of historic Armenia.&lt;/p&gt;</v>
      </c>
      <c r="D400" s="21" t="str">
        <f aca="false">IF(Variants!$B401="","","Karni Jewellery")</f>
        <v>Karni Jewellery</v>
      </c>
      <c r="E400" s="21" t="str">
        <f aca="false">IF(Variants!$B401="","","Apparel &amp; Accessories &gt; Jewelry")</f>
        <v>Apparel &amp; Accessories &gt; Jewelry</v>
      </c>
      <c r="F400" s="21" t="str">
        <f aca="false">IF(Variants!$D401="","",Variants!$D401)</f>
        <v>Pendant</v>
      </c>
      <c r="G400" s="21" t="str">
        <f aca="false">IF(Variants!$E401="","",Variants!$E401&amp;", Armenian jewellery, handmade")</f>
        <v>Van, Armenian jewellery, handmade</v>
      </c>
      <c r="H400" s="21" t="str">
        <f aca="false">IF(Variants!$AD401="Active","TRUE","FALSE")</f>
        <v>TRUE</v>
      </c>
      <c r="I400" s="21" t="str">
        <f aca="false">IF(Variants!$H401="","","Color")</f>
        <v>Color</v>
      </c>
      <c r="J400" s="21" t="str">
        <f aca="false">IF(Variants!$H401="","",Variants!$H401)</f>
        <v>turquoise</v>
      </c>
      <c r="K400" s="21" t="str">
        <f aca="false">IF(Variants!$G401="","","Size")</f>
        <v>Size</v>
      </c>
      <c r="L400" s="21" t="str">
        <f aca="false">IF(Variants!$G401="","",Variants!$G401)</f>
        <v>medium</v>
      </c>
      <c r="M400" s="21" t="str">
        <f aca="false">Variants!$A401</f>
        <v>KARNI-PEND-VAN-M-TURQUOISE</v>
      </c>
      <c r="N400" s="21" t="str">
        <f aca="false">IF(Variants!$X401="","",Variants!$X401)</f>
        <v/>
      </c>
      <c r="O400" s="21" t="n">
        <f aca="false">IF(Variants!$O401="","",Variants!$O401)</f>
        <v>0</v>
      </c>
      <c r="P400" s="18" t="n">
        <f aca="false">IF(Variants!$J401="","",Variants!$J401)</f>
        <v>49.4</v>
      </c>
      <c r="Q400" s="21" t="str">
        <f aca="false">IF(Variants!$U401="","",Variants!$U401)</f>
        <v/>
      </c>
      <c r="R400" s="21" t="str">
        <f aca="false">IF(Variants!$Y401="","",Variants!$Y401)</f>
        <v/>
      </c>
      <c r="S400" s="21" t="n">
        <f aca="false">IFERROR(VLOOKUP(Variants!$B401,Designs!$A$3:$AP$165,37,FALSE()),"")</f>
        <v>0</v>
      </c>
      <c r="T400" s="21" t="str">
        <f aca="false">IFERROR(VLOOKUP(Variants!$B401,Designs!$A$3:$AP$165,38,FALSE()),"")</f>
        <v>No</v>
      </c>
      <c r="U400" s="21" t="str">
        <f aca="false">IF(Variants!$AD401="Active","active","draft")</f>
        <v>active</v>
      </c>
    </row>
    <row r="401" customFormat="false" ht="15.75" hidden="false" customHeight="true" outlineLevel="0" collapsed="false">
      <c r="A401" s="21" t="str">
        <f aca="false">IF(Variants!$B402="","",LOWER(Variants!$B402))</f>
        <v>dsgn-pend-artsakhikhachanakhsh-m</v>
      </c>
      <c r="B401" s="21" t="str">
        <f aca="false">IF(Variants!$B402="","",Variants!$C402&amp;IF(Variants!$F402="",""," "&amp;Variants!$F402))</f>
        <v>Artsakhi Khachanakhsh Pendant</v>
      </c>
      <c r="C401" s="21" t="str">
        <f aca="false">IFERROR(IF(Variants!$B402="","","&lt;p&gt;"&amp;VLOOKUP(Variants!$B402,Designs!$A$3:$AP$165,9,FALSE())&amp;"&lt;/p&gt;"),"")</f>
        <v>&lt;p&gt;Cross-ornament patterns from Artsakh, carrying the carved cross-stone heritage of the region.&lt;/p&gt;</v>
      </c>
      <c r="D401" s="21" t="str">
        <f aca="false">IF(Variants!$B402="","","Karni Jewellery")</f>
        <v>Karni Jewellery</v>
      </c>
      <c r="E401" s="21" t="str">
        <f aca="false">IF(Variants!$B402="","","Apparel &amp; Accessories &gt; Jewelry")</f>
        <v>Apparel &amp; Accessories &gt; Jewelry</v>
      </c>
      <c r="F401" s="21" t="str">
        <f aca="false">IF(Variants!$D402="","",Variants!$D402)</f>
        <v>Pendant</v>
      </c>
      <c r="G401" s="21" t="str">
        <f aca="false">IF(Variants!$E402="","",Variants!$E402&amp;", Armenian jewellery, handmade")</f>
        <v>Artsakhi Khachanakhsh, Armenian jewellery, handmade</v>
      </c>
      <c r="H401" s="21" t="str">
        <f aca="false">IF(Variants!$AD402="Active","TRUE","FALSE")</f>
        <v>TRUE</v>
      </c>
      <c r="I401" s="21" t="str">
        <f aca="false">IF(Variants!$H402="","","Color")</f>
        <v>Color</v>
      </c>
      <c r="J401" s="21" t="str">
        <f aca="false">IF(Variants!$H402="","",Variants!$H402)</f>
        <v>white-blue</v>
      </c>
      <c r="K401" s="21" t="str">
        <f aca="false">IF(Variants!$G402="","","Size")</f>
        <v>Size</v>
      </c>
      <c r="L401" s="21" t="str">
        <f aca="false">IF(Variants!$G402="","",Variants!$G402)</f>
        <v>medium</v>
      </c>
      <c r="M401" s="21" t="str">
        <f aca="false">Variants!$A402</f>
        <v>KARNI-PEND-ARTSAKHIKHACHANAKHSH-M-WHITE-BLUE</v>
      </c>
      <c r="N401" s="21" t="str">
        <f aca="false">IF(Variants!$X402="","",Variants!$X402)</f>
        <v/>
      </c>
      <c r="O401" s="21" t="n">
        <f aca="false">IF(Variants!$O402="","",Variants!$O402)</f>
        <v>0</v>
      </c>
      <c r="P401" s="18" t="n">
        <f aca="false">IF(Variants!$J402="","",Variants!$J402)</f>
        <v>49.4</v>
      </c>
      <c r="Q401" s="21" t="str">
        <f aca="false">IF(Variants!$U402="","",Variants!$U402)</f>
        <v/>
      </c>
      <c r="R401" s="21" t="str">
        <f aca="false">IF(Variants!$Y402="","",Variants!$Y402)</f>
        <v/>
      </c>
      <c r="S401" s="21" t="n">
        <f aca="false">IFERROR(VLOOKUP(Variants!$B402,Designs!$A$3:$AP$165,37,FALSE()),"")</f>
        <v>0</v>
      </c>
      <c r="T401" s="21" t="str">
        <f aca="false">IFERROR(VLOOKUP(Variants!$B402,Designs!$A$3:$AP$165,38,FALSE()),"")</f>
        <v>No</v>
      </c>
      <c r="U401" s="21" t="str">
        <f aca="false">IF(Variants!$AD402="Active","active","draft")</f>
        <v>active</v>
      </c>
    </row>
    <row r="402" customFormat="false" ht="15.75" hidden="false" customHeight="true" outlineLevel="0" collapsed="false">
      <c r="A402" s="21" t="str">
        <f aca="false">IF(Variants!$B403="","",LOWER(Variants!$B403))</f>
        <v>dsgn-pend-artsakhikhachanakhsh-m</v>
      </c>
      <c r="B402" s="21" t="str">
        <f aca="false">IF(Variants!$B403="","",Variants!$C403&amp;IF(Variants!$F403="",""," "&amp;Variants!$F403))</f>
        <v>Artsakhi Khachanakhsh Pendant</v>
      </c>
      <c r="C402" s="21" t="str">
        <f aca="false">IFERROR(IF(Variants!$B403="","","&lt;p&gt;"&amp;VLOOKUP(Variants!$B403,Designs!$A$3:$AP$165,9,FALSE())&amp;"&lt;/p&gt;"),"")</f>
        <v>&lt;p&gt;Cross-ornament patterns from Artsakh, carrying the carved cross-stone heritage of the region.&lt;/p&gt;</v>
      </c>
      <c r="D402" s="21" t="str">
        <f aca="false">IF(Variants!$B403="","","Karni Jewellery")</f>
        <v>Karni Jewellery</v>
      </c>
      <c r="E402" s="21" t="str">
        <f aca="false">IF(Variants!$B403="","","Apparel &amp; Accessories &gt; Jewelry")</f>
        <v>Apparel &amp; Accessories &gt; Jewelry</v>
      </c>
      <c r="F402" s="21" t="str">
        <f aca="false">IF(Variants!$D403="","",Variants!$D403)</f>
        <v>Pendant</v>
      </c>
      <c r="G402" s="21" t="str">
        <f aca="false">IF(Variants!$E403="","",Variants!$E403&amp;", Armenian jewellery, handmade")</f>
        <v>Artsakhi Khachanakhsh, Armenian jewellery, handmade</v>
      </c>
      <c r="H402" s="21" t="str">
        <f aca="false">IF(Variants!$AD403="Active","TRUE","FALSE")</f>
        <v>TRUE</v>
      </c>
      <c r="I402" s="21" t="str">
        <f aca="false">IF(Variants!$H403="","","Color")</f>
        <v>Color</v>
      </c>
      <c r="J402" s="21" t="str">
        <f aca="false">IF(Variants!$H403="","",Variants!$H403)</f>
        <v>blue-white</v>
      </c>
      <c r="K402" s="21" t="str">
        <f aca="false">IF(Variants!$G403="","","Size")</f>
        <v>Size</v>
      </c>
      <c r="L402" s="21" t="str">
        <f aca="false">IF(Variants!$G403="","",Variants!$G403)</f>
        <v>medium</v>
      </c>
      <c r="M402" s="21" t="str">
        <f aca="false">Variants!$A403</f>
        <v>KARNI-PEND-ARTSAKHIKHACHANAKHSH-M-BLUE-WHITE</v>
      </c>
      <c r="N402" s="21" t="str">
        <f aca="false">IF(Variants!$X403="","",Variants!$X403)</f>
        <v/>
      </c>
      <c r="O402" s="21" t="n">
        <f aca="false">IF(Variants!$O403="","",Variants!$O403)</f>
        <v>0</v>
      </c>
      <c r="P402" s="18" t="n">
        <f aca="false">IF(Variants!$J403="","",Variants!$J403)</f>
        <v>49.4</v>
      </c>
      <c r="Q402" s="21" t="str">
        <f aca="false">IF(Variants!$U403="","",Variants!$U403)</f>
        <v/>
      </c>
      <c r="R402" s="21" t="str">
        <f aca="false">IF(Variants!$Y403="","",Variants!$Y403)</f>
        <v/>
      </c>
      <c r="S402" s="21" t="n">
        <f aca="false">IFERROR(VLOOKUP(Variants!$B403,Designs!$A$3:$AP$165,37,FALSE()),"")</f>
        <v>0</v>
      </c>
      <c r="T402" s="21" t="str">
        <f aca="false">IFERROR(VLOOKUP(Variants!$B403,Designs!$A$3:$AP$165,38,FALSE()),"")</f>
        <v>No</v>
      </c>
      <c r="U402" s="21" t="str">
        <f aca="false">IF(Variants!$AD403="Active","active","draft")</f>
        <v>active</v>
      </c>
    </row>
    <row r="403" customFormat="false" ht="15.75" hidden="false" customHeight="true" outlineLevel="0" collapsed="false">
      <c r="A403" s="21" t="str">
        <f aca="false">IF(Variants!$B404="","",LOWER(Variants!$B404))</f>
        <v>dsgn-pend-artsakhikhachanakhsh-m</v>
      </c>
      <c r="B403" s="21" t="str">
        <f aca="false">IF(Variants!$B404="","",Variants!$C404&amp;IF(Variants!$F404="",""," "&amp;Variants!$F404))</f>
        <v>Artsakhi Khachanakhsh Pendant</v>
      </c>
      <c r="C403" s="21" t="str">
        <f aca="false">IFERROR(IF(Variants!$B404="","","&lt;p&gt;"&amp;VLOOKUP(Variants!$B404,Designs!$A$3:$AP$165,9,FALSE())&amp;"&lt;/p&gt;"),"")</f>
        <v>&lt;p&gt;Cross-ornament patterns from Artsakh, carrying the carved cross-stone heritage of the region.&lt;/p&gt;</v>
      </c>
      <c r="D403" s="21" t="str">
        <f aca="false">IF(Variants!$B404="","","Karni Jewellery")</f>
        <v>Karni Jewellery</v>
      </c>
      <c r="E403" s="21" t="str">
        <f aca="false">IF(Variants!$B404="","","Apparel &amp; Accessories &gt; Jewelry")</f>
        <v>Apparel &amp; Accessories &gt; Jewelry</v>
      </c>
      <c r="F403" s="21" t="str">
        <f aca="false">IF(Variants!$D404="","",Variants!$D404)</f>
        <v>Pendant</v>
      </c>
      <c r="G403" s="21" t="str">
        <f aca="false">IF(Variants!$E404="","",Variants!$E404&amp;", Armenian jewellery, handmade")</f>
        <v>Artsakhi Khachanakhsh, Armenian jewellery, handmade</v>
      </c>
      <c r="H403" s="21" t="str">
        <f aca="false">IF(Variants!$AD404="Active","TRUE","FALSE")</f>
        <v>TRUE</v>
      </c>
      <c r="I403" s="21" t="str">
        <f aca="false">IF(Variants!$H404="","","Color")</f>
        <v>Color</v>
      </c>
      <c r="J403" s="21" t="str">
        <f aca="false">IF(Variants!$H404="","",Variants!$H404)</f>
        <v>blue-bordeaux</v>
      </c>
      <c r="K403" s="21" t="str">
        <f aca="false">IF(Variants!$G404="","","Size")</f>
        <v>Size</v>
      </c>
      <c r="L403" s="21" t="str">
        <f aca="false">IF(Variants!$G404="","",Variants!$G404)</f>
        <v>medium</v>
      </c>
      <c r="M403" s="21" t="str">
        <f aca="false">Variants!$A404</f>
        <v>KARNI-PEND-ARTSAKHIKHACHANAKHSH-M-BLUE-BORDEAUX</v>
      </c>
      <c r="N403" s="21" t="str">
        <f aca="false">IF(Variants!$X404="","",Variants!$X404)</f>
        <v/>
      </c>
      <c r="O403" s="21" t="n">
        <f aca="false">IF(Variants!$O404="","",Variants!$O404)</f>
        <v>0</v>
      </c>
      <c r="P403" s="18" t="n">
        <f aca="false">IF(Variants!$J404="","",Variants!$J404)</f>
        <v>49.4</v>
      </c>
      <c r="Q403" s="21" t="str">
        <f aca="false">IF(Variants!$U404="","",Variants!$U404)</f>
        <v/>
      </c>
      <c r="R403" s="21" t="str">
        <f aca="false">IF(Variants!$Y404="","",Variants!$Y404)</f>
        <v/>
      </c>
      <c r="S403" s="21" t="n">
        <f aca="false">IFERROR(VLOOKUP(Variants!$B404,Designs!$A$3:$AP$165,37,FALSE()),"")</f>
        <v>0</v>
      </c>
      <c r="T403" s="21" t="str">
        <f aca="false">IFERROR(VLOOKUP(Variants!$B404,Designs!$A$3:$AP$165,38,FALSE()),"")</f>
        <v>No</v>
      </c>
      <c r="U403" s="21" t="str">
        <f aca="false">IF(Variants!$AD404="Active","active","draft")</f>
        <v>active</v>
      </c>
    </row>
    <row r="404" customFormat="false" ht="15.75" hidden="false" customHeight="true" outlineLevel="0" collapsed="false">
      <c r="A404" s="21" t="str">
        <f aca="false">IF(Variants!$B405="","",LOWER(Variants!$B405))</f>
        <v>dsgn-pend-artsakhikhachanakhsh-m</v>
      </c>
      <c r="B404" s="21" t="str">
        <f aca="false">IF(Variants!$B405="","",Variants!$C405&amp;IF(Variants!$F405="",""," "&amp;Variants!$F405))</f>
        <v>Artsakhi Khachanakhsh Pendant</v>
      </c>
      <c r="C404" s="21" t="str">
        <f aca="false">IFERROR(IF(Variants!$B405="","","&lt;p&gt;"&amp;VLOOKUP(Variants!$B405,Designs!$A$3:$AP$165,9,FALSE())&amp;"&lt;/p&gt;"),"")</f>
        <v>&lt;p&gt;Cross-ornament patterns from Artsakh, carrying the carved cross-stone heritage of the region.&lt;/p&gt;</v>
      </c>
      <c r="D404" s="21" t="str">
        <f aca="false">IF(Variants!$B405="","","Karni Jewellery")</f>
        <v>Karni Jewellery</v>
      </c>
      <c r="E404" s="21" t="str">
        <f aca="false">IF(Variants!$B405="","","Apparel &amp; Accessories &gt; Jewelry")</f>
        <v>Apparel &amp; Accessories &gt; Jewelry</v>
      </c>
      <c r="F404" s="21" t="str">
        <f aca="false">IF(Variants!$D405="","",Variants!$D405)</f>
        <v>Pendant</v>
      </c>
      <c r="G404" s="21" t="str">
        <f aca="false">IF(Variants!$E405="","",Variants!$E405&amp;", Armenian jewellery, handmade")</f>
        <v>Artsakhi Khachanakhsh, Armenian jewellery, handmade</v>
      </c>
      <c r="H404" s="21" t="str">
        <f aca="false">IF(Variants!$AD405="Active","TRUE","FALSE")</f>
        <v>TRUE</v>
      </c>
      <c r="I404" s="21" t="str">
        <f aca="false">IF(Variants!$H405="","","Color")</f>
        <v>Color</v>
      </c>
      <c r="J404" s="21" t="str">
        <f aca="false">IF(Variants!$H405="","",Variants!$H405)</f>
        <v>turquoise</v>
      </c>
      <c r="K404" s="21" t="str">
        <f aca="false">IF(Variants!$G405="","","Size")</f>
        <v>Size</v>
      </c>
      <c r="L404" s="21" t="str">
        <f aca="false">IF(Variants!$G405="","",Variants!$G405)</f>
        <v>medium</v>
      </c>
      <c r="M404" s="21" t="str">
        <f aca="false">Variants!$A405</f>
        <v>KARNI-PEND-ARTSAKHIKHACHANAKHSH-M-TURQUOISE</v>
      </c>
      <c r="N404" s="21" t="str">
        <f aca="false">IF(Variants!$X405="","",Variants!$X405)</f>
        <v/>
      </c>
      <c r="O404" s="21" t="n">
        <f aca="false">IF(Variants!$O405="","",Variants!$O405)</f>
        <v>0</v>
      </c>
      <c r="P404" s="18" t="n">
        <f aca="false">IF(Variants!$J405="","",Variants!$J405)</f>
        <v>49.4</v>
      </c>
      <c r="Q404" s="21" t="str">
        <f aca="false">IF(Variants!$U405="","",Variants!$U405)</f>
        <v/>
      </c>
      <c r="R404" s="21" t="str">
        <f aca="false">IF(Variants!$Y405="","",Variants!$Y405)</f>
        <v/>
      </c>
      <c r="S404" s="21" t="n">
        <f aca="false">IFERROR(VLOOKUP(Variants!$B405,Designs!$A$3:$AP$165,37,FALSE()),"")</f>
        <v>0</v>
      </c>
      <c r="T404" s="21" t="str">
        <f aca="false">IFERROR(VLOOKUP(Variants!$B405,Designs!$A$3:$AP$165,38,FALSE()),"")</f>
        <v>No</v>
      </c>
      <c r="U404" s="21" t="str">
        <f aca="false">IF(Variants!$AD405="Active","active","draft")</f>
        <v>active</v>
      </c>
    </row>
    <row r="405" customFormat="false" ht="15.75" hidden="false" customHeight="true" outlineLevel="0" collapsed="false">
      <c r="A405" s="21" t="str">
        <f aca="false">IF(Variants!$B406="","",LOWER(Variants!$B406))</f>
        <v>dsgn-pend-vishab-m</v>
      </c>
      <c r="B405" s="21" t="str">
        <f aca="false">IF(Variants!$B406="","",Variants!$C406&amp;IF(Variants!$F406="",""," "&amp;Variants!$F406))</f>
        <v>Vishab Pendant</v>
      </c>
      <c r="C405" s="21" t="str">
        <f aca="false">IFERROR(IF(Variants!$B406="","","&lt;p&gt;"&amp;VLOOKUP(Variants!$B406,Designs!$A$3:$AP$165,9,FALSE())&amp;"&lt;/p&gt;"),"")</f>
        <v>&lt;p&gt;Vishaps are ancient Armenian dragon-stones (vishapakar) found in the highlands, among the oldest carved monuments in the region.&lt;/p&gt;</v>
      </c>
      <c r="D405" s="21" t="str">
        <f aca="false">IF(Variants!$B406="","","Karni Jewellery")</f>
        <v>Karni Jewellery</v>
      </c>
      <c r="E405" s="21" t="str">
        <f aca="false">IF(Variants!$B406="","","Apparel &amp; Accessories &gt; Jewelry")</f>
        <v>Apparel &amp; Accessories &gt; Jewelry</v>
      </c>
      <c r="F405" s="21" t="str">
        <f aca="false">IF(Variants!$D406="","",Variants!$D406)</f>
        <v>Pendant</v>
      </c>
      <c r="G405" s="21" t="str">
        <f aca="false">IF(Variants!$E406="","",Variants!$E406&amp;", Armenian jewellery, handmade")</f>
        <v>Vishab, Armenian jewellery, handmade</v>
      </c>
      <c r="H405" s="21" t="str">
        <f aca="false">IF(Variants!$AD406="Active","TRUE","FALSE")</f>
        <v>TRUE</v>
      </c>
      <c r="I405" s="21" t="str">
        <f aca="false">IF(Variants!$H406="","","Color")</f>
        <v>Color</v>
      </c>
      <c r="J405" s="21" t="str">
        <f aca="false">IF(Variants!$H406="","",Variants!$H406)</f>
        <v>white-blue</v>
      </c>
      <c r="K405" s="21" t="str">
        <f aca="false">IF(Variants!$G406="","","Size")</f>
        <v>Size</v>
      </c>
      <c r="L405" s="21" t="str">
        <f aca="false">IF(Variants!$G406="","",Variants!$G406)</f>
        <v>medium</v>
      </c>
      <c r="M405" s="21" t="str">
        <f aca="false">Variants!$A406</f>
        <v>KARNI-PEND-VISHAB-M-WHITE-BLUE</v>
      </c>
      <c r="N405" s="21" t="str">
        <f aca="false">IF(Variants!$X406="","",Variants!$X406)</f>
        <v/>
      </c>
      <c r="O405" s="21" t="n">
        <f aca="false">IF(Variants!$O406="","",Variants!$O406)</f>
        <v>0</v>
      </c>
      <c r="P405" s="18" t="n">
        <f aca="false">IF(Variants!$J406="","",Variants!$J406)</f>
        <v>49.4</v>
      </c>
      <c r="Q405" s="21" t="str">
        <f aca="false">IF(Variants!$U406="","",Variants!$U406)</f>
        <v/>
      </c>
      <c r="R405" s="21" t="str">
        <f aca="false">IF(Variants!$Y406="","",Variants!$Y406)</f>
        <v/>
      </c>
      <c r="S405" s="21" t="n">
        <f aca="false">IFERROR(VLOOKUP(Variants!$B406,Designs!$A$3:$AP$165,37,FALSE()),"")</f>
        <v>0</v>
      </c>
      <c r="T405" s="21" t="str">
        <f aca="false">IFERROR(VLOOKUP(Variants!$B406,Designs!$A$3:$AP$165,38,FALSE()),"")</f>
        <v>No</v>
      </c>
      <c r="U405" s="21" t="str">
        <f aca="false">IF(Variants!$AD406="Active","active","draft")</f>
        <v>active</v>
      </c>
    </row>
    <row r="406" customFormat="false" ht="15.75" hidden="false" customHeight="true" outlineLevel="0" collapsed="false">
      <c r="A406" s="21" t="str">
        <f aca="false">IF(Variants!$B407="","",LOWER(Variants!$B407))</f>
        <v>dsgn-pend-vishab-m</v>
      </c>
      <c r="B406" s="21" t="str">
        <f aca="false">IF(Variants!$B407="","",Variants!$C407&amp;IF(Variants!$F407="",""," "&amp;Variants!$F407))</f>
        <v>Vishab Pendant</v>
      </c>
      <c r="C406" s="21" t="str">
        <f aca="false">IFERROR(IF(Variants!$B407="","","&lt;p&gt;"&amp;VLOOKUP(Variants!$B407,Designs!$A$3:$AP$165,9,FALSE())&amp;"&lt;/p&gt;"),"")</f>
        <v>&lt;p&gt;Vishaps are ancient Armenian dragon-stones (vishapakar) found in the highlands, among the oldest carved monuments in the region.&lt;/p&gt;</v>
      </c>
      <c r="D406" s="21" t="str">
        <f aca="false">IF(Variants!$B407="","","Karni Jewellery")</f>
        <v>Karni Jewellery</v>
      </c>
      <c r="E406" s="21" t="str">
        <f aca="false">IF(Variants!$B407="","","Apparel &amp; Accessories &gt; Jewelry")</f>
        <v>Apparel &amp; Accessories &gt; Jewelry</v>
      </c>
      <c r="F406" s="21" t="str">
        <f aca="false">IF(Variants!$D407="","",Variants!$D407)</f>
        <v>Pendant</v>
      </c>
      <c r="G406" s="21" t="str">
        <f aca="false">IF(Variants!$E407="","",Variants!$E407&amp;", Armenian jewellery, handmade")</f>
        <v>Vishab, Armenian jewellery, handmade</v>
      </c>
      <c r="H406" s="21" t="str">
        <f aca="false">IF(Variants!$AD407="Active","TRUE","FALSE")</f>
        <v>TRUE</v>
      </c>
      <c r="I406" s="21" t="str">
        <f aca="false">IF(Variants!$H407="","","Color")</f>
        <v>Color</v>
      </c>
      <c r="J406" s="21" t="str">
        <f aca="false">IF(Variants!$H407="","",Variants!$H407)</f>
        <v>blue-red</v>
      </c>
      <c r="K406" s="21" t="str">
        <f aca="false">IF(Variants!$G407="","","Size")</f>
        <v>Size</v>
      </c>
      <c r="L406" s="21" t="str">
        <f aca="false">IF(Variants!$G407="","",Variants!$G407)</f>
        <v>medium</v>
      </c>
      <c r="M406" s="21" t="str">
        <f aca="false">Variants!$A407</f>
        <v>KARNI-PEND-VISHAB-M-BLUE-RED</v>
      </c>
      <c r="N406" s="21" t="str">
        <f aca="false">IF(Variants!$X407="","",Variants!$X407)</f>
        <v/>
      </c>
      <c r="O406" s="21" t="n">
        <f aca="false">IF(Variants!$O407="","",Variants!$O407)</f>
        <v>0</v>
      </c>
      <c r="P406" s="18" t="n">
        <f aca="false">IF(Variants!$J407="","",Variants!$J407)</f>
        <v>49.4</v>
      </c>
      <c r="Q406" s="21" t="str">
        <f aca="false">IF(Variants!$U407="","",Variants!$U407)</f>
        <v/>
      </c>
      <c r="R406" s="21" t="str">
        <f aca="false">IF(Variants!$Y407="","",Variants!$Y407)</f>
        <v/>
      </c>
      <c r="S406" s="21" t="n">
        <f aca="false">IFERROR(VLOOKUP(Variants!$B407,Designs!$A$3:$AP$165,37,FALSE()),"")</f>
        <v>0</v>
      </c>
      <c r="T406" s="21" t="str">
        <f aca="false">IFERROR(VLOOKUP(Variants!$B407,Designs!$A$3:$AP$165,38,FALSE()),"")</f>
        <v>No</v>
      </c>
      <c r="U406" s="21" t="str">
        <f aca="false">IF(Variants!$AD407="Active","active","draft")</f>
        <v>active</v>
      </c>
    </row>
    <row r="407" customFormat="false" ht="15.75" hidden="false" customHeight="true" outlineLevel="0" collapsed="false">
      <c r="A407" s="21" t="str">
        <f aca="false">IF(Variants!$B408="","",LOWER(Variants!$B408))</f>
        <v>dsgn-pend-vishab-m</v>
      </c>
      <c r="B407" s="21" t="str">
        <f aca="false">IF(Variants!$B408="","",Variants!$C408&amp;IF(Variants!$F408="",""," "&amp;Variants!$F408))</f>
        <v>Vishab Pendant</v>
      </c>
      <c r="C407" s="21" t="str">
        <f aca="false">IFERROR(IF(Variants!$B408="","","&lt;p&gt;"&amp;VLOOKUP(Variants!$B408,Designs!$A$3:$AP$165,9,FALSE())&amp;"&lt;/p&gt;"),"")</f>
        <v>&lt;p&gt;Vishaps are ancient Armenian dragon-stones (vishapakar) found in the highlands, among the oldest carved monuments in the region.&lt;/p&gt;</v>
      </c>
      <c r="D407" s="21" t="str">
        <f aca="false">IF(Variants!$B408="","","Karni Jewellery")</f>
        <v>Karni Jewellery</v>
      </c>
      <c r="E407" s="21" t="str">
        <f aca="false">IF(Variants!$B408="","","Apparel &amp; Accessories &gt; Jewelry")</f>
        <v>Apparel &amp; Accessories &gt; Jewelry</v>
      </c>
      <c r="F407" s="21" t="str">
        <f aca="false">IF(Variants!$D408="","",Variants!$D408)</f>
        <v>Pendant</v>
      </c>
      <c r="G407" s="21" t="str">
        <f aca="false">IF(Variants!$E408="","",Variants!$E408&amp;", Armenian jewellery, handmade")</f>
        <v>Vishab, Armenian jewellery, handmade</v>
      </c>
      <c r="H407" s="21" t="str">
        <f aca="false">IF(Variants!$AD408="Active","TRUE","FALSE")</f>
        <v>TRUE</v>
      </c>
      <c r="I407" s="21" t="str">
        <f aca="false">IF(Variants!$H408="","","Color")</f>
        <v>Color</v>
      </c>
      <c r="J407" s="21" t="str">
        <f aca="false">IF(Variants!$H408="","",Variants!$H408)</f>
        <v>white-bordeaux</v>
      </c>
      <c r="K407" s="21" t="str">
        <f aca="false">IF(Variants!$G408="","","Size")</f>
        <v>Size</v>
      </c>
      <c r="L407" s="21" t="str">
        <f aca="false">IF(Variants!$G408="","",Variants!$G408)</f>
        <v>medium</v>
      </c>
      <c r="M407" s="21" t="str">
        <f aca="false">Variants!$A408</f>
        <v>KARNI-PEND-VISHAB-M-WHITE-BORDEAUX</v>
      </c>
      <c r="N407" s="21" t="str">
        <f aca="false">IF(Variants!$X408="","",Variants!$X408)</f>
        <v/>
      </c>
      <c r="O407" s="21" t="n">
        <f aca="false">IF(Variants!$O408="","",Variants!$O408)</f>
        <v>0</v>
      </c>
      <c r="P407" s="18" t="n">
        <f aca="false">IF(Variants!$J408="","",Variants!$J408)</f>
        <v>49.4</v>
      </c>
      <c r="Q407" s="21" t="str">
        <f aca="false">IF(Variants!$U408="","",Variants!$U408)</f>
        <v/>
      </c>
      <c r="R407" s="21" t="str">
        <f aca="false">IF(Variants!$Y408="","",Variants!$Y408)</f>
        <v/>
      </c>
      <c r="S407" s="21" t="n">
        <f aca="false">IFERROR(VLOOKUP(Variants!$B408,Designs!$A$3:$AP$165,37,FALSE()),"")</f>
        <v>0</v>
      </c>
      <c r="T407" s="21" t="str">
        <f aca="false">IFERROR(VLOOKUP(Variants!$B408,Designs!$A$3:$AP$165,38,FALSE()),"")</f>
        <v>No</v>
      </c>
      <c r="U407" s="21" t="str">
        <f aca="false">IF(Variants!$AD408="Active","active","draft")</f>
        <v>active</v>
      </c>
    </row>
    <row r="408" customFormat="false" ht="15.75" hidden="false" customHeight="true" outlineLevel="0" collapsed="false">
      <c r="A408" s="21" t="str">
        <f aca="false">IF(Variants!$B409="","",LOWER(Variants!$B409))</f>
        <v>dsgn-pend-vishab-m</v>
      </c>
      <c r="B408" s="21" t="str">
        <f aca="false">IF(Variants!$B409="","",Variants!$C409&amp;IF(Variants!$F409="",""," "&amp;Variants!$F409))</f>
        <v>Vishab Pendant</v>
      </c>
      <c r="C408" s="21" t="str">
        <f aca="false">IFERROR(IF(Variants!$B409="","","&lt;p&gt;"&amp;VLOOKUP(Variants!$B409,Designs!$A$3:$AP$165,9,FALSE())&amp;"&lt;/p&gt;"),"")</f>
        <v>&lt;p&gt;Vishaps are ancient Armenian dragon-stones (vishapakar) found in the highlands, among the oldest carved monuments in the region.&lt;/p&gt;</v>
      </c>
      <c r="D408" s="21" t="str">
        <f aca="false">IF(Variants!$B409="","","Karni Jewellery")</f>
        <v>Karni Jewellery</v>
      </c>
      <c r="E408" s="21" t="str">
        <f aca="false">IF(Variants!$B409="","","Apparel &amp; Accessories &gt; Jewelry")</f>
        <v>Apparel &amp; Accessories &gt; Jewelry</v>
      </c>
      <c r="F408" s="21" t="str">
        <f aca="false">IF(Variants!$D409="","",Variants!$D409)</f>
        <v>Pendant</v>
      </c>
      <c r="G408" s="21" t="str">
        <f aca="false">IF(Variants!$E409="","",Variants!$E409&amp;", Armenian jewellery, handmade")</f>
        <v>Vishab, Armenian jewellery, handmade</v>
      </c>
      <c r="H408" s="21" t="str">
        <f aca="false">IF(Variants!$AD409="Active","TRUE","FALSE")</f>
        <v>TRUE</v>
      </c>
      <c r="I408" s="21" t="str">
        <f aca="false">IF(Variants!$H409="","","Color")</f>
        <v>Color</v>
      </c>
      <c r="J408" s="21" t="str">
        <f aca="false">IF(Variants!$H409="","",Variants!$H409)</f>
        <v>turquoise-blue</v>
      </c>
      <c r="K408" s="21" t="str">
        <f aca="false">IF(Variants!$G409="","","Size")</f>
        <v>Size</v>
      </c>
      <c r="L408" s="21" t="str">
        <f aca="false">IF(Variants!$G409="","",Variants!$G409)</f>
        <v>medium</v>
      </c>
      <c r="M408" s="21" t="str">
        <f aca="false">Variants!$A409</f>
        <v>KARNI-PEND-VISHAB-M-TURQUOISE-BLUE</v>
      </c>
      <c r="N408" s="21" t="str">
        <f aca="false">IF(Variants!$X409="","",Variants!$X409)</f>
        <v/>
      </c>
      <c r="O408" s="21" t="n">
        <f aca="false">IF(Variants!$O409="","",Variants!$O409)</f>
        <v>0</v>
      </c>
      <c r="P408" s="18" t="n">
        <f aca="false">IF(Variants!$J409="","",Variants!$J409)</f>
        <v>49.4</v>
      </c>
      <c r="Q408" s="21" t="str">
        <f aca="false">IF(Variants!$U409="","",Variants!$U409)</f>
        <v/>
      </c>
      <c r="R408" s="21" t="str">
        <f aca="false">IF(Variants!$Y409="","",Variants!$Y409)</f>
        <v/>
      </c>
      <c r="S408" s="21" t="n">
        <f aca="false">IFERROR(VLOOKUP(Variants!$B409,Designs!$A$3:$AP$165,37,FALSE()),"")</f>
        <v>0</v>
      </c>
      <c r="T408" s="21" t="str">
        <f aca="false">IFERROR(VLOOKUP(Variants!$B409,Designs!$A$3:$AP$165,38,FALSE()),"")</f>
        <v>No</v>
      </c>
      <c r="U408" s="21" t="str">
        <f aca="false">IF(Variants!$AD409="Active","active","draft")</f>
        <v>active</v>
      </c>
    </row>
    <row r="409" customFormat="false" ht="15.75" hidden="false" customHeight="true" outlineLevel="0" collapsed="false">
      <c r="A409" s="21" t="str">
        <f aca="false">IF(Variants!$B410="","",LOWER(Variants!$B410))</f>
        <v>dsgn-pend-vishabarevagorg-m</v>
      </c>
      <c r="B409" s="21" t="str">
        <f aca="false">IF(Variants!$B410="","",Variants!$C410&amp;IF(Variants!$F410="",""," "&amp;Variants!$F410))</f>
        <v>Արեւագորգի Վիշապ</v>
      </c>
      <c r="C409" s="21" t="str">
        <f aca="false">IFERROR(IF(Variants!$B410="","","&lt;p&gt;"&amp;VLOOKUP(Variants!$B410,Designs!$A$3:$AP$165,9,FALSE())&amp;"&lt;/p&gt;"),"")</f>
        <v>&lt;p&gt;Combines the vishap (dragon) motif with the arevagorg (sun-carpet) — an Armenian solar ornament symbolising life and eternity.&lt;/p&gt;</v>
      </c>
      <c r="D409" s="21" t="str">
        <f aca="false">IF(Variants!$B410="","","Karni Jewellery")</f>
        <v>Karni Jewellery</v>
      </c>
      <c r="E409" s="21" t="str">
        <f aca="false">IF(Variants!$B410="","","Apparel &amp; Accessories &gt; Jewelry")</f>
        <v>Apparel &amp; Accessories &gt; Jewelry</v>
      </c>
      <c r="F409" s="21" t="str">
        <f aca="false">IF(Variants!$D410="","",Variants!$D410)</f>
        <v>Pendant</v>
      </c>
      <c r="G409" s="21" t="str">
        <f aca="false">IF(Variants!$E410="","",Variants!$E410&amp;", Armenian jewellery, handmade")</f>
        <v>Vishab Arevagorg, Armenian jewellery, handmade</v>
      </c>
      <c r="H409" s="21" t="str">
        <f aca="false">IF(Variants!$AD410="Active","TRUE","FALSE")</f>
        <v>TRUE</v>
      </c>
      <c r="I409" s="21" t="str">
        <f aca="false">IF(Variants!$H410="","","Color")</f>
        <v>Color</v>
      </c>
      <c r="J409" s="21" t="str">
        <f aca="false">IF(Variants!$H410="","",Variants!$H410)</f>
        <v>white-blue-yellow</v>
      </c>
      <c r="K409" s="21" t="str">
        <f aca="false">IF(Variants!$G410="","","Size")</f>
        <v>Size</v>
      </c>
      <c r="L409" s="21" t="str">
        <f aca="false">IF(Variants!$G410="","",Variants!$G410)</f>
        <v>medium</v>
      </c>
      <c r="M409" s="21" t="str">
        <f aca="false">Variants!$A410</f>
        <v>KARNI-PEND-VISHABAREVAGORG-M-WHITE-BLUE-YELLOW</v>
      </c>
      <c r="N409" s="21" t="str">
        <f aca="false">IF(Variants!$X410="","",Variants!$X410)</f>
        <v/>
      </c>
      <c r="O409" s="21" t="n">
        <f aca="false">IF(Variants!$O410="","",Variants!$O410)</f>
        <v>0</v>
      </c>
      <c r="P409" s="18" t="n">
        <f aca="false">IF(Variants!$J410="","",Variants!$J410)</f>
        <v>49.4</v>
      </c>
      <c r="Q409" s="21" t="str">
        <f aca="false">IF(Variants!$U410="","",Variants!$U410)</f>
        <v/>
      </c>
      <c r="R409" s="21" t="str">
        <f aca="false">IF(Variants!$Y410="","",Variants!$Y410)</f>
        <v/>
      </c>
      <c r="S409" s="21" t="n">
        <f aca="false">IFERROR(VLOOKUP(Variants!$B410,Designs!$A$3:$AP$165,37,FALSE()),"")</f>
        <v>0</v>
      </c>
      <c r="T409" s="21" t="str">
        <f aca="false">IFERROR(VLOOKUP(Variants!$B410,Designs!$A$3:$AP$165,38,FALSE()),"")</f>
        <v>No</v>
      </c>
      <c r="U409" s="21" t="str">
        <f aca="false">IF(Variants!$AD410="Active","active","draft")</f>
        <v>active</v>
      </c>
    </row>
    <row r="410" customFormat="false" ht="15.75" hidden="false" customHeight="true" outlineLevel="0" collapsed="false">
      <c r="A410" s="21" t="str">
        <f aca="false">IF(Variants!$B411="","",LOWER(Variants!$B411))</f>
        <v>dsgn-pend-vishabarevagorg-m</v>
      </c>
      <c r="B410" s="21" t="str">
        <f aca="false">IF(Variants!$B411="","",Variants!$C411&amp;IF(Variants!$F411="",""," "&amp;Variants!$F411))</f>
        <v>Արեւագորգի Վիշապ</v>
      </c>
      <c r="C410" s="21" t="str">
        <f aca="false">IFERROR(IF(Variants!$B411="","","&lt;p&gt;"&amp;VLOOKUP(Variants!$B411,Designs!$A$3:$AP$165,9,FALSE())&amp;"&lt;/p&gt;"),"")</f>
        <v>&lt;p&gt;Combines the vishap (dragon) motif with the arevagorg (sun-carpet) — an Armenian solar ornament symbolising life and eternity.&lt;/p&gt;</v>
      </c>
      <c r="D410" s="21" t="str">
        <f aca="false">IF(Variants!$B411="","","Karni Jewellery")</f>
        <v>Karni Jewellery</v>
      </c>
      <c r="E410" s="21" t="str">
        <f aca="false">IF(Variants!$B411="","","Apparel &amp; Accessories &gt; Jewelry")</f>
        <v>Apparel &amp; Accessories &gt; Jewelry</v>
      </c>
      <c r="F410" s="21" t="str">
        <f aca="false">IF(Variants!$D411="","",Variants!$D411)</f>
        <v>Pendant</v>
      </c>
      <c r="G410" s="21" t="str">
        <f aca="false">IF(Variants!$E411="","",Variants!$E411&amp;", Armenian jewellery, handmade")</f>
        <v>Vishab Arevagorg, Armenian jewellery, handmade</v>
      </c>
      <c r="H410" s="21" t="str">
        <f aca="false">IF(Variants!$AD411="Active","TRUE","FALSE")</f>
        <v>TRUE</v>
      </c>
      <c r="I410" s="21" t="str">
        <f aca="false">IF(Variants!$H411="","","Color")</f>
        <v>Color</v>
      </c>
      <c r="J410" s="21" t="str">
        <f aca="false">IF(Variants!$H411="","",Variants!$H411)</f>
        <v>white-blue-red</v>
      </c>
      <c r="K410" s="21" t="str">
        <f aca="false">IF(Variants!$G411="","","Size")</f>
        <v>Size</v>
      </c>
      <c r="L410" s="21" t="str">
        <f aca="false">IF(Variants!$G411="","",Variants!$G411)</f>
        <v>medium</v>
      </c>
      <c r="M410" s="21" t="str">
        <f aca="false">Variants!$A411</f>
        <v>KARNI-PEND-VISHABAREVAGORG-M-WHITE-BLUE-RED</v>
      </c>
      <c r="N410" s="21" t="str">
        <f aca="false">IF(Variants!$X411="","",Variants!$X411)</f>
        <v/>
      </c>
      <c r="O410" s="21" t="n">
        <f aca="false">IF(Variants!$O411="","",Variants!$O411)</f>
        <v>0</v>
      </c>
      <c r="P410" s="18" t="n">
        <f aca="false">IF(Variants!$J411="","",Variants!$J411)</f>
        <v>49.4</v>
      </c>
      <c r="Q410" s="21" t="str">
        <f aca="false">IF(Variants!$U411="","",Variants!$U411)</f>
        <v/>
      </c>
      <c r="R410" s="21" t="str">
        <f aca="false">IF(Variants!$Y411="","",Variants!$Y411)</f>
        <v/>
      </c>
      <c r="S410" s="21" t="n">
        <f aca="false">IFERROR(VLOOKUP(Variants!$B411,Designs!$A$3:$AP$165,37,FALSE()),"")</f>
        <v>0</v>
      </c>
      <c r="T410" s="21" t="str">
        <f aca="false">IFERROR(VLOOKUP(Variants!$B411,Designs!$A$3:$AP$165,38,FALSE()),"")</f>
        <v>No</v>
      </c>
      <c r="U410" s="21" t="str">
        <f aca="false">IF(Variants!$AD411="Active","active","draft")</f>
        <v>active</v>
      </c>
    </row>
    <row r="411" customFormat="false" ht="15.75" hidden="false" customHeight="true" outlineLevel="0" collapsed="false">
      <c r="A411" s="21" t="str">
        <f aca="false">IF(Variants!$B412="","",LOWER(Variants!$B412))</f>
        <v>dsgn-pend-vishabarevagorg-m</v>
      </c>
      <c r="B411" s="21" t="str">
        <f aca="false">IF(Variants!$B412="","",Variants!$C412&amp;IF(Variants!$F412="",""," "&amp;Variants!$F412))</f>
        <v>Արեւագորգի Վիշապ</v>
      </c>
      <c r="C411" s="21" t="str">
        <f aca="false">IFERROR(IF(Variants!$B412="","","&lt;p&gt;"&amp;VLOOKUP(Variants!$B412,Designs!$A$3:$AP$165,9,FALSE())&amp;"&lt;/p&gt;"),"")</f>
        <v>&lt;p&gt;Combines the vishap (dragon) motif with the arevagorg (sun-carpet) — an Armenian solar ornament symbolising life and eternity.&lt;/p&gt;</v>
      </c>
      <c r="D411" s="21" t="str">
        <f aca="false">IF(Variants!$B412="","","Karni Jewellery")</f>
        <v>Karni Jewellery</v>
      </c>
      <c r="E411" s="21" t="str">
        <f aca="false">IF(Variants!$B412="","","Apparel &amp; Accessories &gt; Jewelry")</f>
        <v>Apparel &amp; Accessories &gt; Jewelry</v>
      </c>
      <c r="F411" s="21" t="str">
        <f aca="false">IF(Variants!$D412="","",Variants!$D412)</f>
        <v>Pendant</v>
      </c>
      <c r="G411" s="21" t="str">
        <f aca="false">IF(Variants!$E412="","",Variants!$E412&amp;", Armenian jewellery, handmade")</f>
        <v>Vishab Arevagorg, Armenian jewellery, handmade</v>
      </c>
      <c r="H411" s="21" t="str">
        <f aca="false">IF(Variants!$AD412="Active","TRUE","FALSE")</f>
        <v>TRUE</v>
      </c>
      <c r="I411" s="21" t="str">
        <f aca="false">IF(Variants!$H412="","","Color")</f>
        <v>Color</v>
      </c>
      <c r="J411" s="21" t="str">
        <f aca="false">IF(Variants!$H412="","",Variants!$H412)</f>
        <v>white-bordeaux-green</v>
      </c>
      <c r="K411" s="21" t="str">
        <f aca="false">IF(Variants!$G412="","","Size")</f>
        <v>Size</v>
      </c>
      <c r="L411" s="21" t="str">
        <f aca="false">IF(Variants!$G412="","",Variants!$G412)</f>
        <v>medium</v>
      </c>
      <c r="M411" s="21" t="str">
        <f aca="false">Variants!$A412</f>
        <v>KARNI-PEND-VISHABAREVAGORG-M-WHITE-BORDEAUX-GREEN</v>
      </c>
      <c r="N411" s="21" t="str">
        <f aca="false">IF(Variants!$X412="","",Variants!$X412)</f>
        <v/>
      </c>
      <c r="O411" s="21" t="n">
        <f aca="false">IF(Variants!$O412="","",Variants!$O412)</f>
        <v>0</v>
      </c>
      <c r="P411" s="18" t="n">
        <f aca="false">IF(Variants!$J412="","",Variants!$J412)</f>
        <v>49.4</v>
      </c>
      <c r="Q411" s="21" t="str">
        <f aca="false">IF(Variants!$U412="","",Variants!$U412)</f>
        <v/>
      </c>
      <c r="R411" s="21" t="str">
        <f aca="false">IF(Variants!$Y412="","",Variants!$Y412)</f>
        <v/>
      </c>
      <c r="S411" s="21" t="n">
        <f aca="false">IFERROR(VLOOKUP(Variants!$B412,Designs!$A$3:$AP$165,37,FALSE()),"")</f>
        <v>0</v>
      </c>
      <c r="T411" s="21" t="str">
        <f aca="false">IFERROR(VLOOKUP(Variants!$B412,Designs!$A$3:$AP$165,38,FALSE()),"")</f>
        <v>No</v>
      </c>
      <c r="U411" s="21" t="str">
        <f aca="false">IF(Variants!$AD412="Active","active","draft")</f>
        <v>active</v>
      </c>
    </row>
    <row r="412" customFormat="false" ht="15.75" hidden="false" customHeight="true" outlineLevel="0" collapsed="false">
      <c r="A412" s="21" t="str">
        <f aca="false">IF(Variants!$B413="","",LOWER(Variants!$B413))</f>
        <v>dsgn-pend-vishabarevagorg-m</v>
      </c>
      <c r="B412" s="21" t="str">
        <f aca="false">IF(Variants!$B413="","",Variants!$C413&amp;IF(Variants!$F413="",""," "&amp;Variants!$F413))</f>
        <v>Արեւագորգի Վիշապ</v>
      </c>
      <c r="C412" s="21" t="str">
        <f aca="false">IFERROR(IF(Variants!$B413="","","&lt;p&gt;"&amp;VLOOKUP(Variants!$B413,Designs!$A$3:$AP$165,9,FALSE())&amp;"&lt;/p&gt;"),"")</f>
        <v>&lt;p&gt;Combines the vishap (dragon) motif with the arevagorg (sun-carpet) — an Armenian solar ornament symbolising life and eternity.&lt;/p&gt;</v>
      </c>
      <c r="D412" s="21" t="str">
        <f aca="false">IF(Variants!$B413="","","Karni Jewellery")</f>
        <v>Karni Jewellery</v>
      </c>
      <c r="E412" s="21" t="str">
        <f aca="false">IF(Variants!$B413="","","Apparel &amp; Accessories &gt; Jewelry")</f>
        <v>Apparel &amp; Accessories &gt; Jewelry</v>
      </c>
      <c r="F412" s="21" t="str">
        <f aca="false">IF(Variants!$D413="","",Variants!$D413)</f>
        <v>Pendant</v>
      </c>
      <c r="G412" s="21" t="str">
        <f aca="false">IF(Variants!$E413="","",Variants!$E413&amp;", Armenian jewellery, handmade")</f>
        <v>Vishab Arevagorg, Armenian jewellery, handmade</v>
      </c>
      <c r="H412" s="21" t="str">
        <f aca="false">IF(Variants!$AD413="Active","TRUE","FALSE")</f>
        <v>TRUE</v>
      </c>
      <c r="I412" s="21" t="str">
        <f aca="false">IF(Variants!$H413="","","Color")</f>
        <v>Color</v>
      </c>
      <c r="J412" s="21" t="str">
        <f aca="false">IF(Variants!$H413="","",Variants!$H413)</f>
        <v>blue-bordeaux-white</v>
      </c>
      <c r="K412" s="21" t="str">
        <f aca="false">IF(Variants!$G413="","","Size")</f>
        <v>Size</v>
      </c>
      <c r="L412" s="21" t="str">
        <f aca="false">IF(Variants!$G413="","",Variants!$G413)</f>
        <v>medium</v>
      </c>
      <c r="M412" s="21" t="str">
        <f aca="false">Variants!$A413</f>
        <v>KARNI-PEND-VISHABAREVAGORG-M-BLUE-BORDEAUX-WHITE</v>
      </c>
      <c r="N412" s="21" t="str">
        <f aca="false">IF(Variants!$X413="","",Variants!$X413)</f>
        <v/>
      </c>
      <c r="O412" s="21" t="n">
        <f aca="false">IF(Variants!$O413="","",Variants!$O413)</f>
        <v>0</v>
      </c>
      <c r="P412" s="18" t="n">
        <f aca="false">IF(Variants!$J413="","",Variants!$J413)</f>
        <v>49.4</v>
      </c>
      <c r="Q412" s="21" t="str">
        <f aca="false">IF(Variants!$U413="","",Variants!$U413)</f>
        <v/>
      </c>
      <c r="R412" s="21" t="str">
        <f aca="false">IF(Variants!$Y413="","",Variants!$Y413)</f>
        <v/>
      </c>
      <c r="S412" s="21" t="n">
        <f aca="false">IFERROR(VLOOKUP(Variants!$B413,Designs!$A$3:$AP$165,37,FALSE()),"")</f>
        <v>0</v>
      </c>
      <c r="T412" s="21" t="str">
        <f aca="false">IFERROR(VLOOKUP(Variants!$B413,Designs!$A$3:$AP$165,38,FALSE()),"")</f>
        <v>No</v>
      </c>
      <c r="U412" s="21" t="str">
        <f aca="false">IF(Variants!$AD413="Active","active","draft")</f>
        <v>active</v>
      </c>
    </row>
    <row r="413" customFormat="false" ht="15.75" hidden="false" customHeight="true" outlineLevel="0" collapsed="false">
      <c r="A413" s="21" t="str">
        <f aca="false">IF(Variants!$B414="","",LOWER(Variants!$B414))</f>
        <v>dsgn-pend-marash-l</v>
      </c>
      <c r="B413" s="21" t="str">
        <f aca="false">IF(Variants!$B414="","",Variants!$C414&amp;IF(Variants!$F414="",""," "&amp;Variants!$F414))</f>
        <v>Marash Pendant</v>
      </c>
      <c r="C413" s="21" t="str">
        <f aca="false">IFERROR(IF(Variants!$B414="","","&lt;p&gt;"&amp;VLOOKUP(Variants!$B414,Designs!$A$3:$AP$165,9,FALSE())&amp;"&lt;/p&gt;"),"")</f>
        <v>&lt;p&gt;Marash-work is a distinctive Armenian embroidery style from Cilician Marash, known for its interlaced geometric patterns.&lt;/p&gt;</v>
      </c>
      <c r="D413" s="21" t="str">
        <f aca="false">IF(Variants!$B414="","","Karni Jewellery")</f>
        <v>Karni Jewellery</v>
      </c>
      <c r="E413" s="21" t="str">
        <f aca="false">IF(Variants!$B414="","","Apparel &amp; Accessories &gt; Jewelry")</f>
        <v>Apparel &amp; Accessories &gt; Jewelry</v>
      </c>
      <c r="F413" s="21" t="str">
        <f aca="false">IF(Variants!$D414="","",Variants!$D414)</f>
        <v>Pendant</v>
      </c>
      <c r="G413" s="21" t="str">
        <f aca="false">IF(Variants!$E414="","",Variants!$E414&amp;", Armenian jewellery, handmade")</f>
        <v>Marash, Armenian jewellery, handmade</v>
      </c>
      <c r="H413" s="21" t="str">
        <f aca="false">IF(Variants!$AD414="Active","TRUE","FALSE")</f>
        <v>TRUE</v>
      </c>
      <c r="I413" s="21" t="str">
        <f aca="false">IF(Variants!$H414="","","Color")</f>
        <v>Color</v>
      </c>
      <c r="J413" s="21" t="str">
        <f aca="false">IF(Variants!$H414="","",Variants!$H414)</f>
        <v>white-blue</v>
      </c>
      <c r="K413" s="21" t="str">
        <f aca="false">IF(Variants!$G414="","","Size")</f>
        <v>Size</v>
      </c>
      <c r="L413" s="21" t="str">
        <f aca="false">IF(Variants!$G414="","",Variants!$G414)</f>
        <v>large</v>
      </c>
      <c r="M413" s="21" t="str">
        <f aca="false">Variants!$A414</f>
        <v>KARNI-PEND-MARASH-L-WHITE-BLUE</v>
      </c>
      <c r="N413" s="21" t="str">
        <f aca="false">IF(Variants!$X414="","",Variants!$X414)</f>
        <v/>
      </c>
      <c r="O413" s="21" t="n">
        <f aca="false">IF(Variants!$O414="","",Variants!$O414)</f>
        <v>0</v>
      </c>
      <c r="P413" s="18" t="n">
        <f aca="false">IF(Variants!$J414="","",Variants!$J414)</f>
        <v>76.7</v>
      </c>
      <c r="Q413" s="21" t="str">
        <f aca="false">IF(Variants!$U414="","",Variants!$U414)</f>
        <v/>
      </c>
      <c r="R413" s="21" t="str">
        <f aca="false">IF(Variants!$Y414="","",Variants!$Y414)</f>
        <v/>
      </c>
      <c r="S413" s="21" t="n">
        <f aca="false">IFERROR(VLOOKUP(Variants!$B414,Designs!$A$3:$AP$165,37,FALSE()),"")</f>
        <v>0</v>
      </c>
      <c r="T413" s="21" t="str">
        <f aca="false">IFERROR(VLOOKUP(Variants!$B414,Designs!$A$3:$AP$165,38,FALSE()),"")</f>
        <v>No</v>
      </c>
      <c r="U413" s="21" t="str">
        <f aca="false">IF(Variants!$AD414="Active","active","draft")</f>
        <v>active</v>
      </c>
    </row>
    <row r="414" customFormat="false" ht="15.75" hidden="false" customHeight="true" outlineLevel="0" collapsed="false">
      <c r="A414" s="21" t="str">
        <f aca="false">IF(Variants!$B415="","",LOWER(Variants!$B415))</f>
        <v>dsgn-pend-marash-l</v>
      </c>
      <c r="B414" s="21" t="str">
        <f aca="false">IF(Variants!$B415="","",Variants!$C415&amp;IF(Variants!$F415="",""," "&amp;Variants!$F415))</f>
        <v>Marash Pendant</v>
      </c>
      <c r="C414" s="21" t="str">
        <f aca="false">IFERROR(IF(Variants!$B415="","","&lt;p&gt;"&amp;VLOOKUP(Variants!$B415,Designs!$A$3:$AP$165,9,FALSE())&amp;"&lt;/p&gt;"),"")</f>
        <v>&lt;p&gt;Marash-work is a distinctive Armenian embroidery style from Cilician Marash, known for its interlaced geometric patterns.&lt;/p&gt;</v>
      </c>
      <c r="D414" s="21" t="str">
        <f aca="false">IF(Variants!$B415="","","Karni Jewellery")</f>
        <v>Karni Jewellery</v>
      </c>
      <c r="E414" s="21" t="str">
        <f aca="false">IF(Variants!$B415="","","Apparel &amp; Accessories &gt; Jewelry")</f>
        <v>Apparel &amp; Accessories &gt; Jewelry</v>
      </c>
      <c r="F414" s="21" t="str">
        <f aca="false">IF(Variants!$D415="","",Variants!$D415)</f>
        <v>Pendant</v>
      </c>
      <c r="G414" s="21" t="str">
        <f aca="false">IF(Variants!$E415="","",Variants!$E415&amp;", Armenian jewellery, handmade")</f>
        <v>Marash, Armenian jewellery, handmade</v>
      </c>
      <c r="H414" s="21" t="str">
        <f aca="false">IF(Variants!$AD415="Active","TRUE","FALSE")</f>
        <v>TRUE</v>
      </c>
      <c r="I414" s="21" t="str">
        <f aca="false">IF(Variants!$H415="","","Color")</f>
        <v>Color</v>
      </c>
      <c r="J414" s="21" t="str">
        <f aca="false">IF(Variants!$H415="","",Variants!$H415)</f>
        <v>white</v>
      </c>
      <c r="K414" s="21" t="str">
        <f aca="false">IF(Variants!$G415="","","Size")</f>
        <v>Size</v>
      </c>
      <c r="L414" s="21" t="str">
        <f aca="false">IF(Variants!$G415="","",Variants!$G415)</f>
        <v>large</v>
      </c>
      <c r="M414" s="21" t="str">
        <f aca="false">Variants!$A415</f>
        <v>KARNI-PEND-MARASH-L-WHITE</v>
      </c>
      <c r="N414" s="21" t="str">
        <f aca="false">IF(Variants!$X415="","",Variants!$X415)</f>
        <v/>
      </c>
      <c r="O414" s="21" t="n">
        <f aca="false">IF(Variants!$O415="","",Variants!$O415)</f>
        <v>0</v>
      </c>
      <c r="P414" s="18" t="n">
        <f aca="false">IF(Variants!$J415="","",Variants!$J415)</f>
        <v>76.7</v>
      </c>
      <c r="Q414" s="21" t="str">
        <f aca="false">IF(Variants!$U415="","",Variants!$U415)</f>
        <v/>
      </c>
      <c r="R414" s="21" t="str">
        <f aca="false">IF(Variants!$Y415="","",Variants!$Y415)</f>
        <v/>
      </c>
      <c r="S414" s="21" t="n">
        <f aca="false">IFERROR(VLOOKUP(Variants!$B415,Designs!$A$3:$AP$165,37,FALSE()),"")</f>
        <v>0</v>
      </c>
      <c r="T414" s="21" t="str">
        <f aca="false">IFERROR(VLOOKUP(Variants!$B415,Designs!$A$3:$AP$165,38,FALSE()),"")</f>
        <v>No</v>
      </c>
      <c r="U414" s="21" t="str">
        <f aca="false">IF(Variants!$AD415="Active","active","draft")</f>
        <v>active</v>
      </c>
    </row>
    <row r="415" customFormat="false" ht="15.75" hidden="false" customHeight="true" outlineLevel="0" collapsed="false">
      <c r="A415" s="21" t="str">
        <f aca="false">IF(Variants!$B416="","",LOWER(Variants!$B416))</f>
        <v>dsgn-pend-marash-l</v>
      </c>
      <c r="B415" s="21" t="str">
        <f aca="false">IF(Variants!$B416="","",Variants!$C416&amp;IF(Variants!$F416="",""," "&amp;Variants!$F416))</f>
        <v>Marash Pendant</v>
      </c>
      <c r="C415" s="21" t="str">
        <f aca="false">IFERROR(IF(Variants!$B416="","","&lt;p&gt;"&amp;VLOOKUP(Variants!$B416,Designs!$A$3:$AP$165,9,FALSE())&amp;"&lt;/p&gt;"),"")</f>
        <v>&lt;p&gt;Marash-work is a distinctive Armenian embroidery style from Cilician Marash, known for its interlaced geometric patterns.&lt;/p&gt;</v>
      </c>
      <c r="D415" s="21" t="str">
        <f aca="false">IF(Variants!$B416="","","Karni Jewellery")</f>
        <v>Karni Jewellery</v>
      </c>
      <c r="E415" s="21" t="str">
        <f aca="false">IF(Variants!$B416="","","Apparel &amp; Accessories &gt; Jewelry")</f>
        <v>Apparel &amp; Accessories &gt; Jewelry</v>
      </c>
      <c r="F415" s="21" t="str">
        <f aca="false">IF(Variants!$D416="","",Variants!$D416)</f>
        <v>Pendant</v>
      </c>
      <c r="G415" s="21" t="str">
        <f aca="false">IF(Variants!$E416="","",Variants!$E416&amp;", Armenian jewellery, handmade")</f>
        <v>Marash, Armenian jewellery, handmade</v>
      </c>
      <c r="H415" s="21" t="str">
        <f aca="false">IF(Variants!$AD416="Active","TRUE","FALSE")</f>
        <v>TRUE</v>
      </c>
      <c r="I415" s="21" t="str">
        <f aca="false">IF(Variants!$H416="","","Color")</f>
        <v>Color</v>
      </c>
      <c r="J415" s="21" t="str">
        <f aca="false">IF(Variants!$H416="","",Variants!$H416)</f>
        <v>bordeaux</v>
      </c>
      <c r="K415" s="21" t="str">
        <f aca="false">IF(Variants!$G416="","","Size")</f>
        <v>Size</v>
      </c>
      <c r="L415" s="21" t="str">
        <f aca="false">IF(Variants!$G416="","",Variants!$G416)</f>
        <v>large</v>
      </c>
      <c r="M415" s="21" t="str">
        <f aca="false">Variants!$A416</f>
        <v>KARNI-PEND-MARASH-L-BORDEAUX</v>
      </c>
      <c r="N415" s="21" t="str">
        <f aca="false">IF(Variants!$X416="","",Variants!$X416)</f>
        <v/>
      </c>
      <c r="O415" s="21" t="n">
        <f aca="false">IF(Variants!$O416="","",Variants!$O416)</f>
        <v>0</v>
      </c>
      <c r="P415" s="18" t="n">
        <f aca="false">IF(Variants!$J416="","",Variants!$J416)</f>
        <v>76.7</v>
      </c>
      <c r="Q415" s="21" t="str">
        <f aca="false">IF(Variants!$U416="","",Variants!$U416)</f>
        <v/>
      </c>
      <c r="R415" s="21" t="str">
        <f aca="false">IF(Variants!$Y416="","",Variants!$Y416)</f>
        <v/>
      </c>
      <c r="S415" s="21" t="n">
        <f aca="false">IFERROR(VLOOKUP(Variants!$B416,Designs!$A$3:$AP$165,37,FALSE()),"")</f>
        <v>0</v>
      </c>
      <c r="T415" s="21" t="str">
        <f aca="false">IFERROR(VLOOKUP(Variants!$B416,Designs!$A$3:$AP$165,38,FALSE()),"")</f>
        <v>No</v>
      </c>
      <c r="U415" s="21" t="str">
        <f aca="false">IF(Variants!$AD416="Active","active","draft")</f>
        <v>active</v>
      </c>
    </row>
    <row r="416" customFormat="false" ht="15.75" hidden="false" customHeight="true" outlineLevel="0" collapsed="false">
      <c r="A416" s="21" t="str">
        <f aca="false">IF(Variants!$B417="","",LOWER(Variants!$B417))</f>
        <v>dsgn-pend-marash-l</v>
      </c>
      <c r="B416" s="21" t="str">
        <f aca="false">IF(Variants!$B417="","",Variants!$C417&amp;IF(Variants!$F417="",""," "&amp;Variants!$F417))</f>
        <v>Marash Pendant</v>
      </c>
      <c r="C416" s="21" t="str">
        <f aca="false">IFERROR(IF(Variants!$B417="","","&lt;p&gt;"&amp;VLOOKUP(Variants!$B417,Designs!$A$3:$AP$165,9,FALSE())&amp;"&lt;/p&gt;"),"")</f>
        <v>&lt;p&gt;Marash-work is a distinctive Armenian embroidery style from Cilician Marash, known for its interlaced geometric patterns.&lt;/p&gt;</v>
      </c>
      <c r="D416" s="21" t="str">
        <f aca="false">IF(Variants!$B417="","","Karni Jewellery")</f>
        <v>Karni Jewellery</v>
      </c>
      <c r="E416" s="21" t="str">
        <f aca="false">IF(Variants!$B417="","","Apparel &amp; Accessories &gt; Jewelry")</f>
        <v>Apparel &amp; Accessories &gt; Jewelry</v>
      </c>
      <c r="F416" s="21" t="str">
        <f aca="false">IF(Variants!$D417="","",Variants!$D417)</f>
        <v>Pendant</v>
      </c>
      <c r="G416" s="21" t="str">
        <f aca="false">IF(Variants!$E417="","",Variants!$E417&amp;", Armenian jewellery, handmade")</f>
        <v>Marash, Armenian jewellery, handmade</v>
      </c>
      <c r="H416" s="21" t="str">
        <f aca="false">IF(Variants!$AD417="Active","TRUE","FALSE")</f>
        <v>TRUE</v>
      </c>
      <c r="I416" s="21" t="str">
        <f aca="false">IF(Variants!$H417="","","Color")</f>
        <v>Color</v>
      </c>
      <c r="J416" s="21" t="str">
        <f aca="false">IF(Variants!$H417="","",Variants!$H417)</f>
        <v>white-green</v>
      </c>
      <c r="K416" s="21" t="str">
        <f aca="false">IF(Variants!$G417="","","Size")</f>
        <v>Size</v>
      </c>
      <c r="L416" s="21" t="str">
        <f aca="false">IF(Variants!$G417="","",Variants!$G417)</f>
        <v>large</v>
      </c>
      <c r="M416" s="21" t="str">
        <f aca="false">Variants!$A417</f>
        <v>KARNI-PEND-MARASH-L-WHITE-GREEN</v>
      </c>
      <c r="N416" s="21" t="str">
        <f aca="false">IF(Variants!$X417="","",Variants!$X417)</f>
        <v/>
      </c>
      <c r="O416" s="21" t="n">
        <f aca="false">IF(Variants!$O417="","",Variants!$O417)</f>
        <v>0</v>
      </c>
      <c r="P416" s="18" t="n">
        <f aca="false">IF(Variants!$J417="","",Variants!$J417)</f>
        <v>76.7</v>
      </c>
      <c r="Q416" s="21" t="str">
        <f aca="false">IF(Variants!$U417="","",Variants!$U417)</f>
        <v/>
      </c>
      <c r="R416" s="21" t="str">
        <f aca="false">IF(Variants!$Y417="","",Variants!$Y417)</f>
        <v/>
      </c>
      <c r="S416" s="21" t="n">
        <f aca="false">IFERROR(VLOOKUP(Variants!$B417,Designs!$A$3:$AP$165,37,FALSE()),"")</f>
        <v>0</v>
      </c>
      <c r="T416" s="21" t="str">
        <f aca="false">IFERROR(VLOOKUP(Variants!$B417,Designs!$A$3:$AP$165,38,FALSE()),"")</f>
        <v>No</v>
      </c>
      <c r="U416" s="21" t="str">
        <f aca="false">IF(Variants!$AD417="Active","active","draft")</f>
        <v>active</v>
      </c>
    </row>
    <row r="417" customFormat="false" ht="15.75" hidden="false" customHeight="true" outlineLevel="0" collapsed="false">
      <c r="A417" s="21" t="str">
        <f aca="false">IF(Variants!$B418="","",LOWER(Variants!$B418))</f>
        <v>dsgn-pend-marash-l</v>
      </c>
      <c r="B417" s="21" t="str">
        <f aca="false">IF(Variants!$B418="","",Variants!$C418&amp;IF(Variants!$F418="",""," "&amp;Variants!$F418))</f>
        <v>Marash Pendant</v>
      </c>
      <c r="C417" s="21" t="str">
        <f aca="false">IFERROR(IF(Variants!$B418="","","&lt;p&gt;"&amp;VLOOKUP(Variants!$B418,Designs!$A$3:$AP$165,9,FALSE())&amp;"&lt;/p&gt;"),"")</f>
        <v>&lt;p&gt;Marash-work is a distinctive Armenian embroidery style from Cilician Marash, known for its interlaced geometric patterns.&lt;/p&gt;</v>
      </c>
      <c r="D417" s="21" t="str">
        <f aca="false">IF(Variants!$B418="","","Karni Jewellery")</f>
        <v>Karni Jewellery</v>
      </c>
      <c r="E417" s="21" t="str">
        <f aca="false">IF(Variants!$B418="","","Apparel &amp; Accessories &gt; Jewelry")</f>
        <v>Apparel &amp; Accessories &gt; Jewelry</v>
      </c>
      <c r="F417" s="21" t="str">
        <f aca="false">IF(Variants!$D418="","",Variants!$D418)</f>
        <v>Pendant</v>
      </c>
      <c r="G417" s="21" t="str">
        <f aca="false">IF(Variants!$E418="","",Variants!$E418&amp;", Armenian jewellery, handmade")</f>
        <v>Marash, Armenian jewellery, handmade</v>
      </c>
      <c r="H417" s="21" t="str">
        <f aca="false">IF(Variants!$AD418="Active","TRUE","FALSE")</f>
        <v>TRUE</v>
      </c>
      <c r="I417" s="21" t="str">
        <f aca="false">IF(Variants!$H418="","","Color")</f>
        <v>Color</v>
      </c>
      <c r="J417" s="21" t="str">
        <f aca="false">IF(Variants!$H418="","",Variants!$H418)</f>
        <v>white-golden</v>
      </c>
      <c r="K417" s="21" t="str">
        <f aca="false">IF(Variants!$G418="","","Size")</f>
        <v>Size</v>
      </c>
      <c r="L417" s="21" t="str">
        <f aca="false">IF(Variants!$G418="","",Variants!$G418)</f>
        <v>large</v>
      </c>
      <c r="M417" s="21" t="str">
        <f aca="false">Variants!$A418</f>
        <v>KARNI-PEND-MARASH-L-WHITE-GOLDEN</v>
      </c>
      <c r="N417" s="21" t="str">
        <f aca="false">IF(Variants!$X418="","",Variants!$X418)</f>
        <v/>
      </c>
      <c r="O417" s="21" t="n">
        <f aca="false">IF(Variants!$O418="","",Variants!$O418)</f>
        <v>0</v>
      </c>
      <c r="P417" s="18" t="n">
        <f aca="false">IF(Variants!$J418="","",Variants!$J418)</f>
        <v>76.7</v>
      </c>
      <c r="Q417" s="21" t="str">
        <f aca="false">IF(Variants!$U418="","",Variants!$U418)</f>
        <v/>
      </c>
      <c r="R417" s="21" t="str">
        <f aca="false">IF(Variants!$Y418="","",Variants!$Y418)</f>
        <v/>
      </c>
      <c r="S417" s="21" t="n">
        <f aca="false">IFERROR(VLOOKUP(Variants!$B418,Designs!$A$3:$AP$165,37,FALSE()),"")</f>
        <v>0</v>
      </c>
      <c r="T417" s="21" t="str">
        <f aca="false">IFERROR(VLOOKUP(Variants!$B418,Designs!$A$3:$AP$165,38,FALSE()),"")</f>
        <v>No</v>
      </c>
      <c r="U417" s="21" t="str">
        <f aca="false">IF(Variants!$AD418="Active","active","draft")</f>
        <v>active</v>
      </c>
    </row>
    <row r="418" customFormat="false" ht="15.75" hidden="false" customHeight="true" outlineLevel="0" collapsed="false">
      <c r="A418" s="21" t="str">
        <f aca="false">IF(Variants!$B419="","",LOWER(Variants!$B419))</f>
        <v>dsgn-pend-marash-l</v>
      </c>
      <c r="B418" s="21" t="str">
        <f aca="false">IF(Variants!$B419="","",Variants!$C419&amp;IF(Variants!$F419="",""," "&amp;Variants!$F419))</f>
        <v>Marash Pendant</v>
      </c>
      <c r="C418" s="21" t="str">
        <f aca="false">IFERROR(IF(Variants!$B419="","","&lt;p&gt;"&amp;VLOOKUP(Variants!$B419,Designs!$A$3:$AP$165,9,FALSE())&amp;"&lt;/p&gt;"),"")</f>
        <v>&lt;p&gt;Marash-work is a distinctive Armenian embroidery style from Cilician Marash, known for its interlaced geometric patterns.&lt;/p&gt;</v>
      </c>
      <c r="D418" s="21" t="str">
        <f aca="false">IF(Variants!$B419="","","Karni Jewellery")</f>
        <v>Karni Jewellery</v>
      </c>
      <c r="E418" s="21" t="str">
        <f aca="false">IF(Variants!$B419="","","Apparel &amp; Accessories &gt; Jewelry")</f>
        <v>Apparel &amp; Accessories &gt; Jewelry</v>
      </c>
      <c r="F418" s="21" t="str">
        <f aca="false">IF(Variants!$D419="","",Variants!$D419)</f>
        <v>Pendant</v>
      </c>
      <c r="G418" s="21" t="str">
        <f aca="false">IF(Variants!$E419="","",Variants!$E419&amp;", Armenian jewellery, handmade")</f>
        <v>Marash, Armenian jewellery, handmade</v>
      </c>
      <c r="H418" s="21" t="str">
        <f aca="false">IF(Variants!$AD419="Active","TRUE","FALSE")</f>
        <v>TRUE</v>
      </c>
      <c r="I418" s="21" t="str">
        <f aca="false">IF(Variants!$H419="","","Color")</f>
        <v>Color</v>
      </c>
      <c r="J418" s="21" t="str">
        <f aca="false">IF(Variants!$H419="","",Variants!$H419)</f>
        <v>white-turquoise</v>
      </c>
      <c r="K418" s="21" t="str">
        <f aca="false">IF(Variants!$G419="","","Size")</f>
        <v>Size</v>
      </c>
      <c r="L418" s="21" t="str">
        <f aca="false">IF(Variants!$G419="","",Variants!$G419)</f>
        <v>large</v>
      </c>
      <c r="M418" s="21" t="str">
        <f aca="false">Variants!$A419</f>
        <v>KARNI-PEND-MARASH-L-WHITE-TURQUOISE</v>
      </c>
      <c r="N418" s="21" t="str">
        <f aca="false">IF(Variants!$X419="","",Variants!$X419)</f>
        <v/>
      </c>
      <c r="O418" s="21" t="n">
        <f aca="false">IF(Variants!$O419="","",Variants!$O419)</f>
        <v>0</v>
      </c>
      <c r="P418" s="18" t="n">
        <f aca="false">IF(Variants!$J419="","",Variants!$J419)</f>
        <v>76.7</v>
      </c>
      <c r="Q418" s="21" t="str">
        <f aca="false">IF(Variants!$U419="","",Variants!$U419)</f>
        <v/>
      </c>
      <c r="R418" s="21" t="str">
        <f aca="false">IF(Variants!$Y419="","",Variants!$Y419)</f>
        <v/>
      </c>
      <c r="S418" s="21" t="n">
        <f aca="false">IFERROR(VLOOKUP(Variants!$B419,Designs!$A$3:$AP$165,37,FALSE()),"")</f>
        <v>0</v>
      </c>
      <c r="T418" s="21" t="str">
        <f aca="false">IFERROR(VLOOKUP(Variants!$B419,Designs!$A$3:$AP$165,38,FALSE()),"")</f>
        <v>No</v>
      </c>
      <c r="U418" s="21" t="str">
        <f aca="false">IF(Variants!$AD419="Active","active","draft")</f>
        <v>active</v>
      </c>
    </row>
    <row r="419" customFormat="false" ht="15.75" hidden="false" customHeight="true" outlineLevel="0" collapsed="false">
      <c r="A419" s="21" t="str">
        <f aca="false">IF(Variants!$B420="","",LOWER(Variants!$B420))</f>
        <v>dsgn-pend-van-l</v>
      </c>
      <c r="B419" s="21" t="str">
        <f aca="false">IF(Variants!$B420="","",Variants!$C420&amp;IF(Variants!$F420="",""," "&amp;Variants!$F420))</f>
        <v>Van Pendant</v>
      </c>
      <c r="C419" s="21" t="str">
        <f aca="false">IFERROR(IF(Variants!$B420="","","&lt;p&gt;"&amp;VLOOKUP(Variants!$B420,Designs!$A$3:$AP$165,9,FALSE())&amp;"&lt;/p&gt;"),"")</f>
        <v>&lt;p&gt;Motifs from the Van/Vaspurakan region, echoing the ornament of the Lake Van heartland of historic Armenia.&lt;/p&gt;</v>
      </c>
      <c r="D419" s="21" t="str">
        <f aca="false">IF(Variants!$B420="","","Karni Jewellery")</f>
        <v>Karni Jewellery</v>
      </c>
      <c r="E419" s="21" t="str">
        <f aca="false">IF(Variants!$B420="","","Apparel &amp; Accessories &gt; Jewelry")</f>
        <v>Apparel &amp; Accessories &gt; Jewelry</v>
      </c>
      <c r="F419" s="21" t="str">
        <f aca="false">IF(Variants!$D420="","",Variants!$D420)</f>
        <v>Pendant</v>
      </c>
      <c r="G419" s="21" t="str">
        <f aca="false">IF(Variants!$E420="","",Variants!$E420&amp;", Armenian jewellery, handmade")</f>
        <v>Van, Armenian jewellery, handmade</v>
      </c>
      <c r="H419" s="21" t="str">
        <f aca="false">IF(Variants!$AD420="Active","TRUE","FALSE")</f>
        <v>TRUE</v>
      </c>
      <c r="I419" s="21" t="str">
        <f aca="false">IF(Variants!$H420="","","Color")</f>
        <v>Color</v>
      </c>
      <c r="J419" s="21" t="str">
        <f aca="false">IF(Variants!$H420="","",Variants!$H420)</f>
        <v>blue</v>
      </c>
      <c r="K419" s="21" t="str">
        <f aca="false">IF(Variants!$G420="","","Size")</f>
        <v>Size</v>
      </c>
      <c r="L419" s="21" t="str">
        <f aca="false">IF(Variants!$G420="","",Variants!$G420)</f>
        <v>large</v>
      </c>
      <c r="M419" s="21" t="str">
        <f aca="false">Variants!$A420</f>
        <v>KARNI-PEND-VAN-L-BLUE</v>
      </c>
      <c r="N419" s="21" t="str">
        <f aca="false">IF(Variants!$X420="","",Variants!$X420)</f>
        <v/>
      </c>
      <c r="O419" s="21" t="n">
        <f aca="false">IF(Variants!$O420="","",Variants!$O420)</f>
        <v>0</v>
      </c>
      <c r="P419" s="18" t="n">
        <f aca="false">IF(Variants!$J420="","",Variants!$J420)</f>
        <v>76.7</v>
      </c>
      <c r="Q419" s="21" t="str">
        <f aca="false">IF(Variants!$U420="","",Variants!$U420)</f>
        <v/>
      </c>
      <c r="R419" s="21" t="str">
        <f aca="false">IF(Variants!$Y420="","",Variants!$Y420)</f>
        <v/>
      </c>
      <c r="S419" s="21" t="n">
        <f aca="false">IFERROR(VLOOKUP(Variants!$B420,Designs!$A$3:$AP$165,37,FALSE()),"")</f>
        <v>0</v>
      </c>
      <c r="T419" s="21" t="str">
        <f aca="false">IFERROR(VLOOKUP(Variants!$B420,Designs!$A$3:$AP$165,38,FALSE()),"")</f>
        <v>No</v>
      </c>
      <c r="U419" s="21" t="str">
        <f aca="false">IF(Variants!$AD420="Active","active","draft")</f>
        <v>active</v>
      </c>
    </row>
    <row r="420" customFormat="false" ht="15.75" hidden="false" customHeight="true" outlineLevel="0" collapsed="false">
      <c r="A420" s="21" t="str">
        <f aca="false">IF(Variants!$B421="","",LOWER(Variants!$B421))</f>
        <v>dsgn-pend-artsakhikhachanakhsh-l</v>
      </c>
      <c r="B420" s="21" t="str">
        <f aca="false">IF(Variants!$B421="","",Variants!$C421&amp;IF(Variants!$F421="",""," "&amp;Variants!$F421))</f>
        <v>Artsakhi Khachanakhsh Pendant</v>
      </c>
      <c r="C420" s="21" t="str">
        <f aca="false">IFERROR(IF(Variants!$B421="","","&lt;p&gt;"&amp;VLOOKUP(Variants!$B421,Designs!$A$3:$AP$165,9,FALSE())&amp;"&lt;/p&gt;"),"")</f>
        <v>&lt;p&gt;Cross-ornament patterns from Artsakh, carrying the carved cross-stone heritage of the region.&lt;/p&gt;</v>
      </c>
      <c r="D420" s="21" t="str">
        <f aca="false">IF(Variants!$B421="","","Karni Jewellery")</f>
        <v>Karni Jewellery</v>
      </c>
      <c r="E420" s="21" t="str">
        <f aca="false">IF(Variants!$B421="","","Apparel &amp; Accessories &gt; Jewelry")</f>
        <v>Apparel &amp; Accessories &gt; Jewelry</v>
      </c>
      <c r="F420" s="21" t="str">
        <f aca="false">IF(Variants!$D421="","",Variants!$D421)</f>
        <v>Pendant</v>
      </c>
      <c r="G420" s="21" t="str">
        <f aca="false">IF(Variants!$E421="","",Variants!$E421&amp;", Armenian jewellery, handmade")</f>
        <v>Artsakhi Khachanakhsh, Armenian jewellery, handmade</v>
      </c>
      <c r="H420" s="21" t="str">
        <f aca="false">IF(Variants!$AD421="Active","TRUE","FALSE")</f>
        <v>TRUE</v>
      </c>
      <c r="I420" s="21" t="str">
        <f aca="false">IF(Variants!$H421="","","Color")</f>
        <v>Color</v>
      </c>
      <c r="J420" s="21" t="str">
        <f aca="false">IF(Variants!$H421="","",Variants!$H421)</f>
        <v>white-blue</v>
      </c>
      <c r="K420" s="21" t="str">
        <f aca="false">IF(Variants!$G421="","","Size")</f>
        <v>Size</v>
      </c>
      <c r="L420" s="21" t="str">
        <f aca="false">IF(Variants!$G421="","",Variants!$G421)</f>
        <v>large</v>
      </c>
      <c r="M420" s="21" t="str">
        <f aca="false">Variants!$A421</f>
        <v>KARNI-PEND-ARTSAKHIKHACHANAKHSH-L-WHITE-BLUE</v>
      </c>
      <c r="N420" s="21" t="str">
        <f aca="false">IF(Variants!$X421="","",Variants!$X421)</f>
        <v/>
      </c>
      <c r="O420" s="21" t="n">
        <f aca="false">IF(Variants!$O421="","",Variants!$O421)</f>
        <v>0</v>
      </c>
      <c r="P420" s="18" t="n">
        <f aca="false">IF(Variants!$J421="","",Variants!$J421)</f>
        <v>76.7</v>
      </c>
      <c r="Q420" s="21" t="str">
        <f aca="false">IF(Variants!$U421="","",Variants!$U421)</f>
        <v/>
      </c>
      <c r="R420" s="21" t="str">
        <f aca="false">IF(Variants!$Y421="","",Variants!$Y421)</f>
        <v/>
      </c>
      <c r="S420" s="21" t="n">
        <f aca="false">IFERROR(VLOOKUP(Variants!$B421,Designs!$A$3:$AP$165,37,FALSE()),"")</f>
        <v>0</v>
      </c>
      <c r="T420" s="21" t="str">
        <f aca="false">IFERROR(VLOOKUP(Variants!$B421,Designs!$A$3:$AP$165,38,FALSE()),"")</f>
        <v>No</v>
      </c>
      <c r="U420" s="21" t="str">
        <f aca="false">IF(Variants!$AD421="Active","active","draft")</f>
        <v>active</v>
      </c>
    </row>
    <row r="421" customFormat="false" ht="15.75" hidden="false" customHeight="true" outlineLevel="0" collapsed="false">
      <c r="A421" s="21" t="str">
        <f aca="false">IF(Variants!$B422="","",LOWER(Variants!$B422))</f>
        <v>dsgn-pend-artsakhikhachanakhsh-l</v>
      </c>
      <c r="B421" s="21" t="str">
        <f aca="false">IF(Variants!$B422="","",Variants!$C422&amp;IF(Variants!$F422="",""," "&amp;Variants!$F422))</f>
        <v>Artsakhi Khachanakhsh Pendant</v>
      </c>
      <c r="C421" s="21" t="str">
        <f aca="false">IFERROR(IF(Variants!$B422="","","&lt;p&gt;"&amp;VLOOKUP(Variants!$B422,Designs!$A$3:$AP$165,9,FALSE())&amp;"&lt;/p&gt;"),"")</f>
        <v>&lt;p&gt;Cross-ornament patterns from Artsakh, carrying the carved cross-stone heritage of the region.&lt;/p&gt;</v>
      </c>
      <c r="D421" s="21" t="str">
        <f aca="false">IF(Variants!$B422="","","Karni Jewellery")</f>
        <v>Karni Jewellery</v>
      </c>
      <c r="E421" s="21" t="str">
        <f aca="false">IF(Variants!$B422="","","Apparel &amp; Accessories &gt; Jewelry")</f>
        <v>Apparel &amp; Accessories &gt; Jewelry</v>
      </c>
      <c r="F421" s="21" t="str">
        <f aca="false">IF(Variants!$D422="","",Variants!$D422)</f>
        <v>Pendant</v>
      </c>
      <c r="G421" s="21" t="str">
        <f aca="false">IF(Variants!$E422="","",Variants!$E422&amp;", Armenian jewellery, handmade")</f>
        <v>Artsakhi Khachanakhsh, Armenian jewellery, handmade</v>
      </c>
      <c r="H421" s="21" t="str">
        <f aca="false">IF(Variants!$AD422="Active","TRUE","FALSE")</f>
        <v>TRUE</v>
      </c>
      <c r="I421" s="21" t="str">
        <f aca="false">IF(Variants!$H422="","","Color")</f>
        <v>Color</v>
      </c>
      <c r="J421" s="21" t="str">
        <f aca="false">IF(Variants!$H422="","",Variants!$H422)</f>
        <v>white-bordeaux</v>
      </c>
      <c r="K421" s="21" t="str">
        <f aca="false">IF(Variants!$G422="","","Size")</f>
        <v>Size</v>
      </c>
      <c r="L421" s="21" t="str">
        <f aca="false">IF(Variants!$G422="","",Variants!$G422)</f>
        <v>large</v>
      </c>
      <c r="M421" s="21" t="str">
        <f aca="false">Variants!$A422</f>
        <v>KARNI-PEND-ARTSAKHIKHACHANAKHSH-L-WHITE-BORDEAUX</v>
      </c>
      <c r="N421" s="21" t="str">
        <f aca="false">IF(Variants!$X422="","",Variants!$X422)</f>
        <v/>
      </c>
      <c r="O421" s="21" t="n">
        <f aca="false">IF(Variants!$O422="","",Variants!$O422)</f>
        <v>0</v>
      </c>
      <c r="P421" s="18" t="n">
        <f aca="false">IF(Variants!$J422="","",Variants!$J422)</f>
        <v>76.7</v>
      </c>
      <c r="Q421" s="21" t="str">
        <f aca="false">IF(Variants!$U422="","",Variants!$U422)</f>
        <v/>
      </c>
      <c r="R421" s="21" t="str">
        <f aca="false">IF(Variants!$Y422="","",Variants!$Y422)</f>
        <v/>
      </c>
      <c r="S421" s="21" t="n">
        <f aca="false">IFERROR(VLOOKUP(Variants!$B422,Designs!$A$3:$AP$165,37,FALSE()),"")</f>
        <v>0</v>
      </c>
      <c r="T421" s="21" t="str">
        <f aca="false">IFERROR(VLOOKUP(Variants!$B422,Designs!$A$3:$AP$165,38,FALSE()),"")</f>
        <v>No</v>
      </c>
      <c r="U421" s="21" t="str">
        <f aca="false">IF(Variants!$AD422="Active","active","draft")</f>
        <v>active</v>
      </c>
    </row>
    <row r="422" customFormat="false" ht="15.75" hidden="false" customHeight="true" outlineLevel="0" collapsed="false">
      <c r="A422" s="21" t="str">
        <f aca="false">IF(Variants!$B423="","",LOWER(Variants!$B423))</f>
        <v>dsgn-pend-vishab-l</v>
      </c>
      <c r="B422" s="21" t="str">
        <f aca="false">IF(Variants!$B423="","",Variants!$C423&amp;IF(Variants!$F423="",""," "&amp;Variants!$F423))</f>
        <v>Vishab Pendant</v>
      </c>
      <c r="C422" s="21" t="str">
        <f aca="false">IFERROR(IF(Variants!$B423="","","&lt;p&gt;"&amp;VLOOKUP(Variants!$B423,Designs!$A$3:$AP$165,9,FALSE())&amp;"&lt;/p&gt;"),"")</f>
        <v>&lt;p&gt;Vishaps are ancient Armenian dragon-stones (vishapakar) found in the highlands, among the oldest carved monuments in the region.&lt;/p&gt;</v>
      </c>
      <c r="D422" s="21" t="str">
        <f aca="false">IF(Variants!$B423="","","Karni Jewellery")</f>
        <v>Karni Jewellery</v>
      </c>
      <c r="E422" s="21" t="str">
        <f aca="false">IF(Variants!$B423="","","Apparel &amp; Accessories &gt; Jewelry")</f>
        <v>Apparel &amp; Accessories &gt; Jewelry</v>
      </c>
      <c r="F422" s="21" t="str">
        <f aca="false">IF(Variants!$D423="","",Variants!$D423)</f>
        <v>Pendant</v>
      </c>
      <c r="G422" s="21" t="str">
        <f aca="false">IF(Variants!$E423="","",Variants!$E423&amp;", Armenian jewellery, handmade")</f>
        <v>Vishab, Armenian jewellery, handmade</v>
      </c>
      <c r="H422" s="21" t="str">
        <f aca="false">IF(Variants!$AD423="Active","TRUE","FALSE")</f>
        <v>TRUE</v>
      </c>
      <c r="I422" s="21" t="str">
        <f aca="false">IF(Variants!$H423="","","Color")</f>
        <v>Color</v>
      </c>
      <c r="J422" s="21" t="str">
        <f aca="false">IF(Variants!$H423="","",Variants!$H423)</f>
        <v>white-blue</v>
      </c>
      <c r="K422" s="21" t="str">
        <f aca="false">IF(Variants!$G423="","","Size")</f>
        <v>Size</v>
      </c>
      <c r="L422" s="21" t="str">
        <f aca="false">IF(Variants!$G423="","",Variants!$G423)</f>
        <v>large</v>
      </c>
      <c r="M422" s="21" t="str">
        <f aca="false">Variants!$A423</f>
        <v>KARNI-PEND-VISHAB-L-WHITE-BLUE</v>
      </c>
      <c r="N422" s="21" t="str">
        <f aca="false">IF(Variants!$X423="","",Variants!$X423)</f>
        <v/>
      </c>
      <c r="O422" s="21" t="n">
        <f aca="false">IF(Variants!$O423="","",Variants!$O423)</f>
        <v>0</v>
      </c>
      <c r="P422" s="18" t="n">
        <f aca="false">IF(Variants!$J423="","",Variants!$J423)</f>
        <v>76.7</v>
      </c>
      <c r="Q422" s="21" t="str">
        <f aca="false">IF(Variants!$U423="","",Variants!$U423)</f>
        <v/>
      </c>
      <c r="R422" s="21" t="str">
        <f aca="false">IF(Variants!$Y423="","",Variants!$Y423)</f>
        <v/>
      </c>
      <c r="S422" s="21" t="n">
        <f aca="false">IFERROR(VLOOKUP(Variants!$B423,Designs!$A$3:$AP$165,37,FALSE()),"")</f>
        <v>0</v>
      </c>
      <c r="T422" s="21" t="str">
        <f aca="false">IFERROR(VLOOKUP(Variants!$B423,Designs!$A$3:$AP$165,38,FALSE()),"")</f>
        <v>No</v>
      </c>
      <c r="U422" s="21" t="str">
        <f aca="false">IF(Variants!$AD423="Active","active","draft")</f>
        <v>active</v>
      </c>
    </row>
    <row r="423" customFormat="false" ht="15.75" hidden="false" customHeight="true" outlineLevel="0" collapsed="false">
      <c r="A423" s="21" t="str">
        <f aca="false">IF(Variants!$B424="","",LOWER(Variants!$B424))</f>
        <v>dsgn-pend-vishab-l</v>
      </c>
      <c r="B423" s="21" t="str">
        <f aca="false">IF(Variants!$B424="","",Variants!$C424&amp;IF(Variants!$F424="",""," "&amp;Variants!$F424))</f>
        <v>Vishab Pendant</v>
      </c>
      <c r="C423" s="21" t="str">
        <f aca="false">IFERROR(IF(Variants!$B424="","","&lt;p&gt;"&amp;VLOOKUP(Variants!$B424,Designs!$A$3:$AP$165,9,FALSE())&amp;"&lt;/p&gt;"),"")</f>
        <v>&lt;p&gt;Vishaps are ancient Armenian dragon-stones (vishapakar) found in the highlands, among the oldest carved monuments in the region.&lt;/p&gt;</v>
      </c>
      <c r="D423" s="21" t="str">
        <f aca="false">IF(Variants!$B424="","","Karni Jewellery")</f>
        <v>Karni Jewellery</v>
      </c>
      <c r="E423" s="21" t="str">
        <f aca="false">IF(Variants!$B424="","","Apparel &amp; Accessories &gt; Jewelry")</f>
        <v>Apparel &amp; Accessories &gt; Jewelry</v>
      </c>
      <c r="F423" s="21" t="str">
        <f aca="false">IF(Variants!$D424="","",Variants!$D424)</f>
        <v>Pendant</v>
      </c>
      <c r="G423" s="21" t="str">
        <f aca="false">IF(Variants!$E424="","",Variants!$E424&amp;", Armenian jewellery, handmade")</f>
        <v>Vishab, Armenian jewellery, handmade</v>
      </c>
      <c r="H423" s="21" t="str">
        <f aca="false">IF(Variants!$AD424="Active","TRUE","FALSE")</f>
        <v>TRUE</v>
      </c>
      <c r="I423" s="21" t="str">
        <f aca="false">IF(Variants!$H424="","","Color")</f>
        <v>Color</v>
      </c>
      <c r="J423" s="21" t="str">
        <f aca="false">IF(Variants!$H424="","",Variants!$H424)</f>
        <v>white-bordeaux</v>
      </c>
      <c r="K423" s="21" t="str">
        <f aca="false">IF(Variants!$G424="","","Size")</f>
        <v>Size</v>
      </c>
      <c r="L423" s="21" t="str">
        <f aca="false">IF(Variants!$G424="","",Variants!$G424)</f>
        <v>large</v>
      </c>
      <c r="M423" s="21" t="str">
        <f aca="false">Variants!$A424</f>
        <v>KARNI-PEND-VISHAB-L-WHITE-BORDEAUX</v>
      </c>
      <c r="N423" s="21" t="str">
        <f aca="false">IF(Variants!$X424="","",Variants!$X424)</f>
        <v/>
      </c>
      <c r="O423" s="21" t="n">
        <f aca="false">IF(Variants!$O424="","",Variants!$O424)</f>
        <v>0</v>
      </c>
      <c r="P423" s="18" t="n">
        <f aca="false">IF(Variants!$J424="","",Variants!$J424)</f>
        <v>76.7</v>
      </c>
      <c r="Q423" s="21" t="str">
        <f aca="false">IF(Variants!$U424="","",Variants!$U424)</f>
        <v/>
      </c>
      <c r="R423" s="21" t="str">
        <f aca="false">IF(Variants!$Y424="","",Variants!$Y424)</f>
        <v/>
      </c>
      <c r="S423" s="21" t="n">
        <f aca="false">IFERROR(VLOOKUP(Variants!$B424,Designs!$A$3:$AP$165,37,FALSE()),"")</f>
        <v>0</v>
      </c>
      <c r="T423" s="21" t="str">
        <f aca="false">IFERROR(VLOOKUP(Variants!$B424,Designs!$A$3:$AP$165,38,FALSE()),"")</f>
        <v>No</v>
      </c>
      <c r="U423" s="21" t="str">
        <f aca="false">IF(Variants!$AD424="Active","active","draft")</f>
        <v>active</v>
      </c>
    </row>
    <row r="424" customFormat="false" ht="15.75" hidden="false" customHeight="true" outlineLevel="0" collapsed="false">
      <c r="A424" s="21" t="str">
        <f aca="false">IF(Variants!$B425="","",LOWER(Variants!$B425))</f>
        <v>dsgn-pend-vishabarevagorg-l</v>
      </c>
      <c r="B424" s="21" t="str">
        <f aca="false">IF(Variants!$B425="","",Variants!$C425&amp;IF(Variants!$F425="",""," "&amp;Variants!$F425))</f>
        <v>Արեւագորգի Վիշապ</v>
      </c>
      <c r="C424" s="21" t="str">
        <f aca="false">IFERROR(IF(Variants!$B425="","","&lt;p&gt;"&amp;VLOOKUP(Variants!$B425,Designs!$A$3:$AP$165,9,FALSE())&amp;"&lt;/p&gt;"),"")</f>
        <v>&lt;p&gt;Combines the vishap (dragon) motif with the arevagorg (sun-carpet) — an Armenian solar ornament symbolising life and eternity.&lt;/p&gt;</v>
      </c>
      <c r="D424" s="21" t="str">
        <f aca="false">IF(Variants!$B425="","","Karni Jewellery")</f>
        <v>Karni Jewellery</v>
      </c>
      <c r="E424" s="21" t="str">
        <f aca="false">IF(Variants!$B425="","","Apparel &amp; Accessories &gt; Jewelry")</f>
        <v>Apparel &amp; Accessories &gt; Jewelry</v>
      </c>
      <c r="F424" s="21" t="str">
        <f aca="false">IF(Variants!$D425="","",Variants!$D425)</f>
        <v>Pendant</v>
      </c>
      <c r="G424" s="21" t="str">
        <f aca="false">IF(Variants!$E425="","",Variants!$E425&amp;", Armenian jewellery, handmade")</f>
        <v>Vishab Arevagorg, Armenian jewellery, handmade</v>
      </c>
      <c r="H424" s="21" t="str">
        <f aca="false">IF(Variants!$AD425="Active","TRUE","FALSE")</f>
        <v>TRUE</v>
      </c>
      <c r="I424" s="21" t="str">
        <f aca="false">IF(Variants!$H425="","","Color")</f>
        <v>Color</v>
      </c>
      <c r="J424" s="21" t="str">
        <f aca="false">IF(Variants!$H425="","",Variants!$H425)</f>
        <v>white</v>
      </c>
      <c r="K424" s="21" t="str">
        <f aca="false">IF(Variants!$G425="","","Size")</f>
        <v>Size</v>
      </c>
      <c r="L424" s="21" t="str">
        <f aca="false">IF(Variants!$G425="","",Variants!$G425)</f>
        <v>large</v>
      </c>
      <c r="M424" s="21" t="str">
        <f aca="false">Variants!$A425</f>
        <v>KARNI-PEND-VISHABAREVAGORG-L-WHITE</v>
      </c>
      <c r="N424" s="21" t="str">
        <f aca="false">IF(Variants!$X425="","",Variants!$X425)</f>
        <v/>
      </c>
      <c r="O424" s="21" t="n">
        <f aca="false">IF(Variants!$O425="","",Variants!$O425)</f>
        <v>0</v>
      </c>
      <c r="P424" s="18" t="n">
        <f aca="false">IF(Variants!$J425="","",Variants!$J425)</f>
        <v>76.7</v>
      </c>
      <c r="Q424" s="21" t="str">
        <f aca="false">IF(Variants!$U425="","",Variants!$U425)</f>
        <v/>
      </c>
      <c r="R424" s="21" t="str">
        <f aca="false">IF(Variants!$Y425="","",Variants!$Y425)</f>
        <v/>
      </c>
      <c r="S424" s="21" t="n">
        <f aca="false">IFERROR(VLOOKUP(Variants!$B425,Designs!$A$3:$AP$165,37,FALSE()),"")</f>
        <v>0</v>
      </c>
      <c r="T424" s="21" t="str">
        <f aca="false">IFERROR(VLOOKUP(Variants!$B425,Designs!$A$3:$AP$165,38,FALSE()),"")</f>
        <v>No</v>
      </c>
      <c r="U424" s="21" t="str">
        <f aca="false">IF(Variants!$AD425="Active","active","draft")</f>
        <v>active</v>
      </c>
    </row>
    <row r="425" customFormat="false" ht="15.75" hidden="false" customHeight="true" outlineLevel="0" collapsed="false">
      <c r="A425" s="21" t="str">
        <f aca="false">IF(Variants!$B426="","",LOWER(Variants!$B426))</f>
        <v>dsgn-pend-vishabarevagorg-l</v>
      </c>
      <c r="B425" s="21" t="str">
        <f aca="false">IF(Variants!$B426="","",Variants!$C426&amp;IF(Variants!$F426="",""," "&amp;Variants!$F426))</f>
        <v>Արեւագորգի Վիշապ</v>
      </c>
      <c r="C425" s="21" t="str">
        <f aca="false">IFERROR(IF(Variants!$B426="","","&lt;p&gt;"&amp;VLOOKUP(Variants!$B426,Designs!$A$3:$AP$165,9,FALSE())&amp;"&lt;/p&gt;"),"")</f>
        <v>&lt;p&gt;Combines the vishap (dragon) motif with the arevagorg (sun-carpet) — an Armenian solar ornament symbolising life and eternity.&lt;/p&gt;</v>
      </c>
      <c r="D425" s="21" t="str">
        <f aca="false">IF(Variants!$B426="","","Karni Jewellery")</f>
        <v>Karni Jewellery</v>
      </c>
      <c r="E425" s="21" t="str">
        <f aca="false">IF(Variants!$B426="","","Apparel &amp; Accessories &gt; Jewelry")</f>
        <v>Apparel &amp; Accessories &gt; Jewelry</v>
      </c>
      <c r="F425" s="21" t="str">
        <f aca="false">IF(Variants!$D426="","",Variants!$D426)</f>
        <v>Pendant</v>
      </c>
      <c r="G425" s="21" t="str">
        <f aca="false">IF(Variants!$E426="","",Variants!$E426&amp;", Armenian jewellery, handmade")</f>
        <v>Vishab Arevagorg, Armenian jewellery, handmade</v>
      </c>
      <c r="H425" s="21" t="str">
        <f aca="false">IF(Variants!$AD426="Active","TRUE","FALSE")</f>
        <v>TRUE</v>
      </c>
      <c r="I425" s="21" t="str">
        <f aca="false">IF(Variants!$H426="","","Color")</f>
        <v>Color</v>
      </c>
      <c r="J425" s="21" t="str">
        <f aca="false">IF(Variants!$H426="","",Variants!$H426)</f>
        <v>turquoise</v>
      </c>
      <c r="K425" s="21" t="str">
        <f aca="false">IF(Variants!$G426="","","Size")</f>
        <v>Size</v>
      </c>
      <c r="L425" s="21" t="str">
        <f aca="false">IF(Variants!$G426="","",Variants!$G426)</f>
        <v>large</v>
      </c>
      <c r="M425" s="21" t="str">
        <f aca="false">Variants!$A426</f>
        <v>KARNI-PEND-VISHABAREVAGORG-L-TURQUOISE</v>
      </c>
      <c r="N425" s="21" t="str">
        <f aca="false">IF(Variants!$X426="","",Variants!$X426)</f>
        <v/>
      </c>
      <c r="O425" s="21" t="n">
        <f aca="false">IF(Variants!$O426="","",Variants!$O426)</f>
        <v>0</v>
      </c>
      <c r="P425" s="18" t="n">
        <f aca="false">IF(Variants!$J426="","",Variants!$J426)</f>
        <v>76.7</v>
      </c>
      <c r="Q425" s="21" t="str">
        <f aca="false">IF(Variants!$U426="","",Variants!$U426)</f>
        <v/>
      </c>
      <c r="R425" s="21" t="str">
        <f aca="false">IF(Variants!$Y426="","",Variants!$Y426)</f>
        <v/>
      </c>
      <c r="S425" s="21" t="n">
        <f aca="false">IFERROR(VLOOKUP(Variants!$B426,Designs!$A$3:$AP$165,37,FALSE()),"")</f>
        <v>0</v>
      </c>
      <c r="T425" s="21" t="str">
        <f aca="false">IFERROR(VLOOKUP(Variants!$B426,Designs!$A$3:$AP$165,38,FALSE()),"")</f>
        <v>No</v>
      </c>
      <c r="U425" s="21" t="str">
        <f aca="false">IF(Variants!$AD426="Active","active","draft")</f>
        <v>active</v>
      </c>
    </row>
    <row r="426" customFormat="false" ht="15.75" hidden="false" customHeight="true" outlineLevel="0" collapsed="false">
      <c r="A426" s="21" t="str">
        <f aca="false">IF(Variants!$B427="","",LOWER(Variants!$B427))</f>
        <v>dsgn-chneck-marash</v>
      </c>
      <c r="B426" s="21" t="str">
        <f aca="false">IF(Variants!$B427="","",Variants!$C427&amp;IF(Variants!$F427="",""," "&amp;Variants!$F427))</f>
        <v>Marash Chain Necklace</v>
      </c>
      <c r="C426" s="21" t="str">
        <f aca="false">IFERROR(IF(Variants!$B427="","","&lt;p&gt;"&amp;VLOOKUP(Variants!$B427,Designs!$A$3:$AP$165,9,FALSE())&amp;"&lt;/p&gt;"),"")</f>
        <v>&lt;p&gt;Marash-work is a distinctive Armenian embroidery style from Cilician Marash, known for its interlaced geometric patterns.&lt;/p&gt;</v>
      </c>
      <c r="D426" s="21" t="str">
        <f aca="false">IF(Variants!$B427="","","Karni Jewellery")</f>
        <v>Karni Jewellery</v>
      </c>
      <c r="E426" s="21" t="str">
        <f aca="false">IF(Variants!$B427="","","Apparel &amp; Accessories &gt; Jewelry")</f>
        <v>Apparel &amp; Accessories &gt; Jewelry</v>
      </c>
      <c r="F426" s="21" t="str">
        <f aca="false">IF(Variants!$D427="","",Variants!$D427)</f>
        <v>chain necklace</v>
      </c>
      <c r="G426" s="21" t="str">
        <f aca="false">IF(Variants!$E427="","",Variants!$E427&amp;", Armenian jewellery, handmade")</f>
        <v>Marash, Armenian jewellery, handmade</v>
      </c>
      <c r="H426" s="21" t="str">
        <f aca="false">IF(Variants!$AD427="Active","TRUE","FALSE")</f>
        <v>TRUE</v>
      </c>
      <c r="I426" s="21" t="str">
        <f aca="false">IF(Variants!$H427="","","Color")</f>
        <v>Color</v>
      </c>
      <c r="J426" s="21" t="str">
        <f aca="false">IF(Variants!$H427="","",Variants!$H427)</f>
        <v>blue</v>
      </c>
      <c r="K426" s="21" t="str">
        <f aca="false">IF(Variants!$G427="","","Size")</f>
        <v/>
      </c>
      <c r="L426" s="21" t="str">
        <f aca="false">IF(Variants!$G427="","",Variants!$G427)</f>
        <v/>
      </c>
      <c r="M426" s="21" t="str">
        <f aca="false">Variants!$A427</f>
        <v>KARNI-CHNECK-MARASH-BLUE</v>
      </c>
      <c r="N426" s="21" t="str">
        <f aca="false">IF(Variants!$X427="","",Variants!$X427)</f>
        <v/>
      </c>
      <c r="O426" s="21" t="n">
        <f aca="false">IF(Variants!$O427="","",Variants!$O427)</f>
        <v>0</v>
      </c>
      <c r="P426" s="18" t="n">
        <f aca="false">IF(Variants!$J427="","",Variants!$J427)</f>
        <v>52</v>
      </c>
      <c r="Q426" s="21" t="str">
        <f aca="false">IF(Variants!$U427="","",Variants!$U427)</f>
        <v/>
      </c>
      <c r="R426" s="21" t="str">
        <f aca="false">IF(Variants!$Y427="","",Variants!$Y427)</f>
        <v/>
      </c>
      <c r="S426" s="21" t="n">
        <f aca="false">IFERROR(VLOOKUP(Variants!$B427,Designs!$A$3:$AP$165,37,FALSE()),"")</f>
        <v>0</v>
      </c>
      <c r="T426" s="21" t="str">
        <f aca="false">IFERROR(VLOOKUP(Variants!$B427,Designs!$A$3:$AP$165,38,FALSE()),"")</f>
        <v>No</v>
      </c>
      <c r="U426" s="21" t="str">
        <f aca="false">IF(Variants!$AD427="Active","active","draft")</f>
        <v>active</v>
      </c>
    </row>
    <row r="427" customFormat="false" ht="15.75" hidden="false" customHeight="true" outlineLevel="0" collapsed="false">
      <c r="A427" s="21" t="str">
        <f aca="false">IF(Variants!$B428="","",LOWER(Variants!$B428))</f>
        <v>dsgn-chneck-marash</v>
      </c>
      <c r="B427" s="21" t="str">
        <f aca="false">IF(Variants!$B428="","",Variants!$C428&amp;IF(Variants!$F428="",""," "&amp;Variants!$F428))</f>
        <v>Marash Chain Necklace</v>
      </c>
      <c r="C427" s="21" t="str">
        <f aca="false">IFERROR(IF(Variants!$B428="","","&lt;p&gt;"&amp;VLOOKUP(Variants!$B428,Designs!$A$3:$AP$165,9,FALSE())&amp;"&lt;/p&gt;"),"")</f>
        <v>&lt;p&gt;Marash-work is a distinctive Armenian embroidery style from Cilician Marash, known for its interlaced geometric patterns.&lt;/p&gt;</v>
      </c>
      <c r="D427" s="21" t="str">
        <f aca="false">IF(Variants!$B428="","","Karni Jewellery")</f>
        <v>Karni Jewellery</v>
      </c>
      <c r="E427" s="21" t="str">
        <f aca="false">IF(Variants!$B428="","","Apparel &amp; Accessories &gt; Jewelry")</f>
        <v>Apparel &amp; Accessories &gt; Jewelry</v>
      </c>
      <c r="F427" s="21" t="str">
        <f aca="false">IF(Variants!$D428="","",Variants!$D428)</f>
        <v>chain necklace</v>
      </c>
      <c r="G427" s="21" t="str">
        <f aca="false">IF(Variants!$E428="","",Variants!$E428&amp;", Armenian jewellery, handmade")</f>
        <v>Marash, Armenian jewellery, handmade</v>
      </c>
      <c r="H427" s="21" t="str">
        <f aca="false">IF(Variants!$AD428="Active","TRUE","FALSE")</f>
        <v>TRUE</v>
      </c>
      <c r="I427" s="21" t="str">
        <f aca="false">IF(Variants!$H428="","","Color")</f>
        <v>Color</v>
      </c>
      <c r="J427" s="21" t="str">
        <f aca="false">IF(Variants!$H428="","",Variants!$H428)</f>
        <v>white</v>
      </c>
      <c r="K427" s="21" t="str">
        <f aca="false">IF(Variants!$G428="","","Size")</f>
        <v/>
      </c>
      <c r="L427" s="21" t="str">
        <f aca="false">IF(Variants!$G428="","",Variants!$G428)</f>
        <v/>
      </c>
      <c r="M427" s="21" t="str">
        <f aca="false">Variants!$A428</f>
        <v>KARNI-CHNECK-MARASH-WHITE</v>
      </c>
      <c r="N427" s="21" t="str">
        <f aca="false">IF(Variants!$X428="","",Variants!$X428)</f>
        <v/>
      </c>
      <c r="O427" s="21" t="n">
        <f aca="false">IF(Variants!$O428="","",Variants!$O428)</f>
        <v>0</v>
      </c>
      <c r="P427" s="18" t="n">
        <f aca="false">IF(Variants!$J428="","",Variants!$J428)</f>
        <v>52</v>
      </c>
      <c r="Q427" s="21" t="str">
        <f aca="false">IF(Variants!$U428="","",Variants!$U428)</f>
        <v/>
      </c>
      <c r="R427" s="21" t="str">
        <f aca="false">IF(Variants!$Y428="","",Variants!$Y428)</f>
        <v/>
      </c>
      <c r="S427" s="21" t="n">
        <f aca="false">IFERROR(VLOOKUP(Variants!$B428,Designs!$A$3:$AP$165,37,FALSE()),"")</f>
        <v>0</v>
      </c>
      <c r="T427" s="21" t="str">
        <f aca="false">IFERROR(VLOOKUP(Variants!$B428,Designs!$A$3:$AP$165,38,FALSE()),"")</f>
        <v>No</v>
      </c>
      <c r="U427" s="21" t="str">
        <f aca="false">IF(Variants!$AD428="Active","active","draft")</f>
        <v>active</v>
      </c>
    </row>
    <row r="428" customFormat="false" ht="15.75" hidden="false" customHeight="true" outlineLevel="0" collapsed="false">
      <c r="A428" s="21" t="str">
        <f aca="false">IF(Variants!$B429="","",LOWER(Variants!$B429))</f>
        <v>dsgn-chneck-marash</v>
      </c>
      <c r="B428" s="21" t="str">
        <f aca="false">IF(Variants!$B429="","",Variants!$C429&amp;IF(Variants!$F429="",""," "&amp;Variants!$F429))</f>
        <v>Marash Chain Necklace</v>
      </c>
      <c r="C428" s="21" t="str">
        <f aca="false">IFERROR(IF(Variants!$B429="","","&lt;p&gt;"&amp;VLOOKUP(Variants!$B429,Designs!$A$3:$AP$165,9,FALSE())&amp;"&lt;/p&gt;"),"")</f>
        <v>&lt;p&gt;Marash-work is a distinctive Armenian embroidery style from Cilician Marash, known for its interlaced geometric patterns.&lt;/p&gt;</v>
      </c>
      <c r="D428" s="21" t="str">
        <f aca="false">IF(Variants!$B429="","","Karni Jewellery")</f>
        <v>Karni Jewellery</v>
      </c>
      <c r="E428" s="21" t="str">
        <f aca="false">IF(Variants!$B429="","","Apparel &amp; Accessories &gt; Jewelry")</f>
        <v>Apparel &amp; Accessories &gt; Jewelry</v>
      </c>
      <c r="F428" s="21" t="str">
        <f aca="false">IF(Variants!$D429="","",Variants!$D429)</f>
        <v>chain necklace</v>
      </c>
      <c r="G428" s="21" t="str">
        <f aca="false">IF(Variants!$E429="","",Variants!$E429&amp;", Armenian jewellery, handmade")</f>
        <v>Marash, Armenian jewellery, handmade</v>
      </c>
      <c r="H428" s="21" t="str">
        <f aca="false">IF(Variants!$AD429="Active","TRUE","FALSE")</f>
        <v>TRUE</v>
      </c>
      <c r="I428" s="21" t="str">
        <f aca="false">IF(Variants!$H429="","","Color")</f>
        <v>Color</v>
      </c>
      <c r="J428" s="21" t="str">
        <f aca="false">IF(Variants!$H429="","",Variants!$H429)</f>
        <v>bordeaux</v>
      </c>
      <c r="K428" s="21" t="str">
        <f aca="false">IF(Variants!$G429="","","Size")</f>
        <v/>
      </c>
      <c r="L428" s="21" t="str">
        <f aca="false">IF(Variants!$G429="","",Variants!$G429)</f>
        <v/>
      </c>
      <c r="M428" s="21" t="str">
        <f aca="false">Variants!$A429</f>
        <v>KARNI-CHNECK-MARASH-BORDEAUX</v>
      </c>
      <c r="N428" s="21" t="str">
        <f aca="false">IF(Variants!$X429="","",Variants!$X429)</f>
        <v/>
      </c>
      <c r="O428" s="21" t="n">
        <f aca="false">IF(Variants!$O429="","",Variants!$O429)</f>
        <v>0</v>
      </c>
      <c r="P428" s="18" t="n">
        <f aca="false">IF(Variants!$J429="","",Variants!$J429)</f>
        <v>52</v>
      </c>
      <c r="Q428" s="21" t="str">
        <f aca="false">IF(Variants!$U429="","",Variants!$U429)</f>
        <v/>
      </c>
      <c r="R428" s="21" t="str">
        <f aca="false">IF(Variants!$Y429="","",Variants!$Y429)</f>
        <v/>
      </c>
      <c r="S428" s="21" t="n">
        <f aca="false">IFERROR(VLOOKUP(Variants!$B429,Designs!$A$3:$AP$165,37,FALSE()),"")</f>
        <v>0</v>
      </c>
      <c r="T428" s="21" t="str">
        <f aca="false">IFERROR(VLOOKUP(Variants!$B429,Designs!$A$3:$AP$165,38,FALSE()),"")</f>
        <v>No</v>
      </c>
      <c r="U428" s="21" t="str">
        <f aca="false">IF(Variants!$AD429="Active","active","draft")</f>
        <v>active</v>
      </c>
    </row>
    <row r="429" customFormat="false" ht="15.75" hidden="false" customHeight="true" outlineLevel="0" collapsed="false">
      <c r="A429" s="21" t="str">
        <f aca="false">IF(Variants!$B430="","",LOWER(Variants!$B430))</f>
        <v>dsgn-chneck-marash</v>
      </c>
      <c r="B429" s="21" t="str">
        <f aca="false">IF(Variants!$B430="","",Variants!$C430&amp;IF(Variants!$F430="",""," "&amp;Variants!$F430))</f>
        <v>Marash Chain Necklace</v>
      </c>
      <c r="C429" s="21" t="str">
        <f aca="false">IFERROR(IF(Variants!$B430="","","&lt;p&gt;"&amp;VLOOKUP(Variants!$B430,Designs!$A$3:$AP$165,9,FALSE())&amp;"&lt;/p&gt;"),"")</f>
        <v>&lt;p&gt;Marash-work is a distinctive Armenian embroidery style from Cilician Marash, known for its interlaced geometric patterns.&lt;/p&gt;</v>
      </c>
      <c r="D429" s="21" t="str">
        <f aca="false">IF(Variants!$B430="","","Karni Jewellery")</f>
        <v>Karni Jewellery</v>
      </c>
      <c r="E429" s="21" t="str">
        <f aca="false">IF(Variants!$B430="","","Apparel &amp; Accessories &gt; Jewelry")</f>
        <v>Apparel &amp; Accessories &gt; Jewelry</v>
      </c>
      <c r="F429" s="21" t="str">
        <f aca="false">IF(Variants!$D430="","",Variants!$D430)</f>
        <v>chain necklace</v>
      </c>
      <c r="G429" s="21" t="str">
        <f aca="false">IF(Variants!$E430="","",Variants!$E430&amp;", Armenian jewellery, handmade")</f>
        <v>Marash, Armenian jewellery, handmade</v>
      </c>
      <c r="H429" s="21" t="str">
        <f aca="false">IF(Variants!$AD430="Active","TRUE","FALSE")</f>
        <v>TRUE</v>
      </c>
      <c r="I429" s="21" t="str">
        <f aca="false">IF(Variants!$H430="","","Color")</f>
        <v>Color</v>
      </c>
      <c r="J429" s="21" t="str">
        <f aca="false">IF(Variants!$H430="","",Variants!$H430)</f>
        <v>turquoise</v>
      </c>
      <c r="K429" s="21" t="str">
        <f aca="false">IF(Variants!$G430="","","Size")</f>
        <v/>
      </c>
      <c r="L429" s="21" t="str">
        <f aca="false">IF(Variants!$G430="","",Variants!$G430)</f>
        <v/>
      </c>
      <c r="M429" s="21" t="str">
        <f aca="false">Variants!$A430</f>
        <v>KARNI-CHNECK-MARASH-TURQUOISE</v>
      </c>
      <c r="N429" s="21" t="str">
        <f aca="false">IF(Variants!$X430="","",Variants!$X430)</f>
        <v/>
      </c>
      <c r="O429" s="21" t="n">
        <f aca="false">IF(Variants!$O430="","",Variants!$O430)</f>
        <v>0</v>
      </c>
      <c r="P429" s="18" t="n">
        <f aca="false">IF(Variants!$J430="","",Variants!$J430)</f>
        <v>52</v>
      </c>
      <c r="Q429" s="21" t="str">
        <f aca="false">IF(Variants!$U430="","",Variants!$U430)</f>
        <v/>
      </c>
      <c r="R429" s="21" t="str">
        <f aca="false">IF(Variants!$Y430="","",Variants!$Y430)</f>
        <v/>
      </c>
      <c r="S429" s="21" t="n">
        <f aca="false">IFERROR(VLOOKUP(Variants!$B430,Designs!$A$3:$AP$165,37,FALSE()),"")</f>
        <v>0</v>
      </c>
      <c r="T429" s="21" t="str">
        <f aca="false">IFERROR(VLOOKUP(Variants!$B430,Designs!$A$3:$AP$165,38,FALSE()),"")</f>
        <v>No</v>
      </c>
      <c r="U429" s="21" t="str">
        <f aca="false">IF(Variants!$AD430="Active","active","draft")</f>
        <v>active</v>
      </c>
    </row>
    <row r="430" customFormat="false" ht="15.75" hidden="false" customHeight="true" outlineLevel="0" collapsed="false">
      <c r="A430" s="21" t="str">
        <f aca="false">IF(Variants!$B431="","",LOWER(Variants!$B431))</f>
        <v>dsgn-chneck-marash</v>
      </c>
      <c r="B430" s="21" t="str">
        <f aca="false">IF(Variants!$B431="","",Variants!$C431&amp;IF(Variants!$F431="",""," "&amp;Variants!$F431))</f>
        <v>Marash Chain Necklace</v>
      </c>
      <c r="C430" s="21" t="str">
        <f aca="false">IFERROR(IF(Variants!$B431="","","&lt;p&gt;"&amp;VLOOKUP(Variants!$B431,Designs!$A$3:$AP$165,9,FALSE())&amp;"&lt;/p&gt;"),"")</f>
        <v>&lt;p&gt;Marash-work is a distinctive Armenian embroidery style from Cilician Marash, known for its interlaced geometric patterns.&lt;/p&gt;</v>
      </c>
      <c r="D430" s="21" t="str">
        <f aca="false">IF(Variants!$B431="","","Karni Jewellery")</f>
        <v>Karni Jewellery</v>
      </c>
      <c r="E430" s="21" t="str">
        <f aca="false">IF(Variants!$B431="","","Apparel &amp; Accessories &gt; Jewelry")</f>
        <v>Apparel &amp; Accessories &gt; Jewelry</v>
      </c>
      <c r="F430" s="21" t="str">
        <f aca="false">IF(Variants!$D431="","",Variants!$D431)</f>
        <v>chain necklace</v>
      </c>
      <c r="G430" s="21" t="str">
        <f aca="false">IF(Variants!$E431="","",Variants!$E431&amp;", Armenian jewellery, handmade")</f>
        <v>Marash, Armenian jewellery, handmade</v>
      </c>
      <c r="H430" s="21" t="str">
        <f aca="false">IF(Variants!$AD431="Active","TRUE","FALSE")</f>
        <v>TRUE</v>
      </c>
      <c r="I430" s="21" t="str">
        <f aca="false">IF(Variants!$H431="","","Color")</f>
        <v>Color</v>
      </c>
      <c r="J430" s="21" t="str">
        <f aca="false">IF(Variants!$H431="","",Variants!$H431)</f>
        <v>green</v>
      </c>
      <c r="K430" s="21" t="str">
        <f aca="false">IF(Variants!$G431="","","Size")</f>
        <v/>
      </c>
      <c r="L430" s="21" t="str">
        <f aca="false">IF(Variants!$G431="","",Variants!$G431)</f>
        <v/>
      </c>
      <c r="M430" s="21" t="str">
        <f aca="false">Variants!$A431</f>
        <v>KARNI-CHNECK-MARASH-GREEN</v>
      </c>
      <c r="N430" s="21" t="str">
        <f aca="false">IF(Variants!$X431="","",Variants!$X431)</f>
        <v/>
      </c>
      <c r="O430" s="21" t="n">
        <f aca="false">IF(Variants!$O431="","",Variants!$O431)</f>
        <v>0</v>
      </c>
      <c r="P430" s="18" t="n">
        <f aca="false">IF(Variants!$J431="","",Variants!$J431)</f>
        <v>52</v>
      </c>
      <c r="Q430" s="21" t="str">
        <f aca="false">IF(Variants!$U431="","",Variants!$U431)</f>
        <v/>
      </c>
      <c r="R430" s="21" t="str">
        <f aca="false">IF(Variants!$Y431="","",Variants!$Y431)</f>
        <v/>
      </c>
      <c r="S430" s="21" t="n">
        <f aca="false">IFERROR(VLOOKUP(Variants!$B431,Designs!$A$3:$AP$165,37,FALSE()),"")</f>
        <v>0</v>
      </c>
      <c r="T430" s="21" t="str">
        <f aca="false">IFERROR(VLOOKUP(Variants!$B431,Designs!$A$3:$AP$165,38,FALSE()),"")</f>
        <v>No</v>
      </c>
      <c r="U430" s="21" t="str">
        <f aca="false">IF(Variants!$AD431="Active","active","draft")</f>
        <v>active</v>
      </c>
    </row>
    <row r="431" customFormat="false" ht="15.75" hidden="false" customHeight="true" outlineLevel="0" collapsed="false">
      <c r="A431" s="21" t="str">
        <f aca="false">IF(Variants!$B432="","",LOWER(Variants!$B432))</f>
        <v>dsgn-chneck-van</v>
      </c>
      <c r="B431" s="21" t="str">
        <f aca="false">IF(Variants!$B432="","",Variants!$C432&amp;IF(Variants!$F432="",""," "&amp;Variants!$F432))</f>
        <v>Van Chain Necklace</v>
      </c>
      <c r="C431" s="21" t="str">
        <f aca="false">IFERROR(IF(Variants!$B432="","","&lt;p&gt;"&amp;VLOOKUP(Variants!$B432,Designs!$A$3:$AP$165,9,FALSE())&amp;"&lt;/p&gt;"),"")</f>
        <v>&lt;p&gt;Motifs from the Van/Vaspurakan region, echoing the ornament of the Lake Van heartland of historic Armenia.&lt;/p&gt;</v>
      </c>
      <c r="D431" s="21" t="str">
        <f aca="false">IF(Variants!$B432="","","Karni Jewellery")</f>
        <v>Karni Jewellery</v>
      </c>
      <c r="E431" s="21" t="str">
        <f aca="false">IF(Variants!$B432="","","Apparel &amp; Accessories &gt; Jewelry")</f>
        <v>Apparel &amp; Accessories &gt; Jewelry</v>
      </c>
      <c r="F431" s="21" t="str">
        <f aca="false">IF(Variants!$D432="","",Variants!$D432)</f>
        <v>chain necklace</v>
      </c>
      <c r="G431" s="21" t="str">
        <f aca="false">IF(Variants!$E432="","",Variants!$E432&amp;", Armenian jewellery, handmade")</f>
        <v>Van, Armenian jewellery, handmade</v>
      </c>
      <c r="H431" s="21" t="str">
        <f aca="false">IF(Variants!$AD432="Active","TRUE","FALSE")</f>
        <v>TRUE</v>
      </c>
      <c r="I431" s="21" t="str">
        <f aca="false">IF(Variants!$H432="","","Color")</f>
        <v>Color</v>
      </c>
      <c r="J431" s="21" t="str">
        <f aca="false">IF(Variants!$H432="","",Variants!$H432)</f>
        <v>blue</v>
      </c>
      <c r="K431" s="21" t="str">
        <f aca="false">IF(Variants!$G432="","","Size")</f>
        <v/>
      </c>
      <c r="L431" s="21" t="str">
        <f aca="false">IF(Variants!$G432="","",Variants!$G432)</f>
        <v/>
      </c>
      <c r="M431" s="21" t="str">
        <f aca="false">Variants!$A432</f>
        <v>KARNI-CHNECK-VAN-BLUE</v>
      </c>
      <c r="N431" s="21" t="str">
        <f aca="false">IF(Variants!$X432="","",Variants!$X432)</f>
        <v/>
      </c>
      <c r="O431" s="21" t="n">
        <f aca="false">IF(Variants!$O432="","",Variants!$O432)</f>
        <v>0</v>
      </c>
      <c r="P431" s="18" t="n">
        <f aca="false">IF(Variants!$J432="","",Variants!$J432)</f>
        <v>52</v>
      </c>
      <c r="Q431" s="21" t="str">
        <f aca="false">IF(Variants!$U432="","",Variants!$U432)</f>
        <v/>
      </c>
      <c r="R431" s="21" t="str">
        <f aca="false">IF(Variants!$Y432="","",Variants!$Y432)</f>
        <v/>
      </c>
      <c r="S431" s="21" t="n">
        <f aca="false">IFERROR(VLOOKUP(Variants!$B432,Designs!$A$3:$AP$165,37,FALSE()),"")</f>
        <v>0</v>
      </c>
      <c r="T431" s="21" t="str">
        <f aca="false">IFERROR(VLOOKUP(Variants!$B432,Designs!$A$3:$AP$165,38,FALSE()),"")</f>
        <v>No</v>
      </c>
      <c r="U431" s="21" t="str">
        <f aca="false">IF(Variants!$AD432="Active","active","draft")</f>
        <v>active</v>
      </c>
    </row>
    <row r="432" customFormat="false" ht="15.75" hidden="false" customHeight="true" outlineLevel="0" collapsed="false">
      <c r="A432" s="21" t="str">
        <f aca="false">IF(Variants!$B433="","",LOWER(Variants!$B433))</f>
        <v>dsgn-chneck-van</v>
      </c>
      <c r="B432" s="21" t="str">
        <f aca="false">IF(Variants!$B433="","",Variants!$C433&amp;IF(Variants!$F433="",""," "&amp;Variants!$F433))</f>
        <v>Van Chain Necklace</v>
      </c>
      <c r="C432" s="21" t="str">
        <f aca="false">IFERROR(IF(Variants!$B433="","","&lt;p&gt;"&amp;VLOOKUP(Variants!$B433,Designs!$A$3:$AP$165,9,FALSE())&amp;"&lt;/p&gt;"),"")</f>
        <v>&lt;p&gt;Motifs from the Van/Vaspurakan region, echoing the ornament of the Lake Van heartland of historic Armenia.&lt;/p&gt;</v>
      </c>
      <c r="D432" s="21" t="str">
        <f aca="false">IF(Variants!$B433="","","Karni Jewellery")</f>
        <v>Karni Jewellery</v>
      </c>
      <c r="E432" s="21" t="str">
        <f aca="false">IF(Variants!$B433="","","Apparel &amp; Accessories &gt; Jewelry")</f>
        <v>Apparel &amp; Accessories &gt; Jewelry</v>
      </c>
      <c r="F432" s="21" t="str">
        <f aca="false">IF(Variants!$D433="","",Variants!$D433)</f>
        <v>chain necklace</v>
      </c>
      <c r="G432" s="21" t="str">
        <f aca="false">IF(Variants!$E433="","",Variants!$E433&amp;", Armenian jewellery, handmade")</f>
        <v>Van, Armenian jewellery, handmade</v>
      </c>
      <c r="H432" s="21" t="str">
        <f aca="false">IF(Variants!$AD433="Active","TRUE","FALSE")</f>
        <v>TRUE</v>
      </c>
      <c r="I432" s="21" t="str">
        <f aca="false">IF(Variants!$H433="","","Color")</f>
        <v>Color</v>
      </c>
      <c r="J432" s="21" t="str">
        <f aca="false">IF(Variants!$H433="","",Variants!$H433)</f>
        <v>white</v>
      </c>
      <c r="K432" s="21" t="str">
        <f aca="false">IF(Variants!$G433="","","Size")</f>
        <v/>
      </c>
      <c r="L432" s="21" t="str">
        <f aca="false">IF(Variants!$G433="","",Variants!$G433)</f>
        <v/>
      </c>
      <c r="M432" s="21" t="str">
        <f aca="false">Variants!$A433</f>
        <v>KARNI-CHNECK-VAN-WHITE</v>
      </c>
      <c r="N432" s="21" t="str">
        <f aca="false">IF(Variants!$X433="","",Variants!$X433)</f>
        <v/>
      </c>
      <c r="O432" s="21" t="n">
        <f aca="false">IF(Variants!$O433="","",Variants!$O433)</f>
        <v>0</v>
      </c>
      <c r="P432" s="18" t="n">
        <f aca="false">IF(Variants!$J433="","",Variants!$J433)</f>
        <v>52</v>
      </c>
      <c r="Q432" s="21" t="str">
        <f aca="false">IF(Variants!$U433="","",Variants!$U433)</f>
        <v/>
      </c>
      <c r="R432" s="21" t="str">
        <f aca="false">IF(Variants!$Y433="","",Variants!$Y433)</f>
        <v/>
      </c>
      <c r="S432" s="21" t="n">
        <f aca="false">IFERROR(VLOOKUP(Variants!$B433,Designs!$A$3:$AP$165,37,FALSE()),"")</f>
        <v>0</v>
      </c>
      <c r="T432" s="21" t="str">
        <f aca="false">IFERROR(VLOOKUP(Variants!$B433,Designs!$A$3:$AP$165,38,FALSE()),"")</f>
        <v>No</v>
      </c>
      <c r="U432" s="21" t="str">
        <f aca="false">IF(Variants!$AD433="Active","active","draft")</f>
        <v>active</v>
      </c>
    </row>
    <row r="433" customFormat="false" ht="15.75" hidden="false" customHeight="true" outlineLevel="0" collapsed="false">
      <c r="A433" s="21" t="str">
        <f aca="false">IF(Variants!$B434="","",LOWER(Variants!$B434))</f>
        <v>dsgn-chneck-van</v>
      </c>
      <c r="B433" s="21" t="str">
        <f aca="false">IF(Variants!$B434="","",Variants!$C434&amp;IF(Variants!$F434="",""," "&amp;Variants!$F434))</f>
        <v>Van Chain Necklace</v>
      </c>
      <c r="C433" s="21" t="str">
        <f aca="false">IFERROR(IF(Variants!$B434="","","&lt;p&gt;"&amp;VLOOKUP(Variants!$B434,Designs!$A$3:$AP$165,9,FALSE())&amp;"&lt;/p&gt;"),"")</f>
        <v>&lt;p&gt;Motifs from the Van/Vaspurakan region, echoing the ornament of the Lake Van heartland of historic Armenia.&lt;/p&gt;</v>
      </c>
      <c r="D433" s="21" t="str">
        <f aca="false">IF(Variants!$B434="","","Karni Jewellery")</f>
        <v>Karni Jewellery</v>
      </c>
      <c r="E433" s="21" t="str">
        <f aca="false">IF(Variants!$B434="","","Apparel &amp; Accessories &gt; Jewelry")</f>
        <v>Apparel &amp; Accessories &gt; Jewelry</v>
      </c>
      <c r="F433" s="21" t="str">
        <f aca="false">IF(Variants!$D434="","",Variants!$D434)</f>
        <v>chain necklace</v>
      </c>
      <c r="G433" s="21" t="str">
        <f aca="false">IF(Variants!$E434="","",Variants!$E434&amp;", Armenian jewellery, handmade")</f>
        <v>Van, Armenian jewellery, handmade</v>
      </c>
      <c r="H433" s="21" t="str">
        <f aca="false">IF(Variants!$AD434="Active","TRUE","FALSE")</f>
        <v>TRUE</v>
      </c>
      <c r="I433" s="21" t="str">
        <f aca="false">IF(Variants!$H434="","","Color")</f>
        <v>Color</v>
      </c>
      <c r="J433" s="21" t="str">
        <f aca="false">IF(Variants!$H434="","",Variants!$H434)</f>
        <v>bordeaux</v>
      </c>
      <c r="K433" s="21" t="str">
        <f aca="false">IF(Variants!$G434="","","Size")</f>
        <v/>
      </c>
      <c r="L433" s="21" t="str">
        <f aca="false">IF(Variants!$G434="","",Variants!$G434)</f>
        <v/>
      </c>
      <c r="M433" s="21" t="str">
        <f aca="false">Variants!$A434</f>
        <v>KARNI-CHNECK-VAN-BORDEAUX</v>
      </c>
      <c r="N433" s="21" t="str">
        <f aca="false">IF(Variants!$X434="","",Variants!$X434)</f>
        <v/>
      </c>
      <c r="O433" s="21" t="n">
        <f aca="false">IF(Variants!$O434="","",Variants!$O434)</f>
        <v>0</v>
      </c>
      <c r="P433" s="18" t="n">
        <f aca="false">IF(Variants!$J434="","",Variants!$J434)</f>
        <v>52</v>
      </c>
      <c r="Q433" s="21" t="str">
        <f aca="false">IF(Variants!$U434="","",Variants!$U434)</f>
        <v/>
      </c>
      <c r="R433" s="21" t="str">
        <f aca="false">IF(Variants!$Y434="","",Variants!$Y434)</f>
        <v/>
      </c>
      <c r="S433" s="21" t="n">
        <f aca="false">IFERROR(VLOOKUP(Variants!$B434,Designs!$A$3:$AP$165,37,FALSE()),"")</f>
        <v>0</v>
      </c>
      <c r="T433" s="21" t="str">
        <f aca="false">IFERROR(VLOOKUP(Variants!$B434,Designs!$A$3:$AP$165,38,FALSE()),"")</f>
        <v>No</v>
      </c>
      <c r="U433" s="21" t="str">
        <f aca="false">IF(Variants!$AD434="Active","active","draft")</f>
        <v>active</v>
      </c>
    </row>
    <row r="434" customFormat="false" ht="15.75" hidden="false" customHeight="true" outlineLevel="0" collapsed="false">
      <c r="A434" s="21" t="str">
        <f aca="false">IF(Variants!$B435="","",LOWER(Variants!$B435))</f>
        <v>dsgn-chneck-van</v>
      </c>
      <c r="B434" s="21" t="str">
        <f aca="false">IF(Variants!$B435="","",Variants!$C435&amp;IF(Variants!$F435="",""," "&amp;Variants!$F435))</f>
        <v>Van Chain Necklace</v>
      </c>
      <c r="C434" s="21" t="str">
        <f aca="false">IFERROR(IF(Variants!$B435="","","&lt;p&gt;"&amp;VLOOKUP(Variants!$B435,Designs!$A$3:$AP$165,9,FALSE())&amp;"&lt;/p&gt;"),"")</f>
        <v>&lt;p&gt;Motifs from the Van/Vaspurakan region, echoing the ornament of the Lake Van heartland of historic Armenia.&lt;/p&gt;</v>
      </c>
      <c r="D434" s="21" t="str">
        <f aca="false">IF(Variants!$B435="","","Karni Jewellery")</f>
        <v>Karni Jewellery</v>
      </c>
      <c r="E434" s="21" t="str">
        <f aca="false">IF(Variants!$B435="","","Apparel &amp; Accessories &gt; Jewelry")</f>
        <v>Apparel &amp; Accessories &gt; Jewelry</v>
      </c>
      <c r="F434" s="21" t="str">
        <f aca="false">IF(Variants!$D435="","",Variants!$D435)</f>
        <v>chain necklace</v>
      </c>
      <c r="G434" s="21" t="str">
        <f aca="false">IF(Variants!$E435="","",Variants!$E435&amp;", Armenian jewellery, handmade")</f>
        <v>Van, Armenian jewellery, handmade</v>
      </c>
      <c r="H434" s="21" t="str">
        <f aca="false">IF(Variants!$AD435="Active","TRUE","FALSE")</f>
        <v>TRUE</v>
      </c>
      <c r="I434" s="21" t="str">
        <f aca="false">IF(Variants!$H435="","","Color")</f>
        <v>Color</v>
      </c>
      <c r="J434" s="21" t="str">
        <f aca="false">IF(Variants!$H435="","",Variants!$H435)</f>
        <v>turquoise</v>
      </c>
      <c r="K434" s="21" t="str">
        <f aca="false">IF(Variants!$G435="","","Size")</f>
        <v/>
      </c>
      <c r="L434" s="21" t="str">
        <f aca="false">IF(Variants!$G435="","",Variants!$G435)</f>
        <v/>
      </c>
      <c r="M434" s="21" t="str">
        <f aca="false">Variants!$A435</f>
        <v>KARNI-CHNECK-VAN-TURQUOISE</v>
      </c>
      <c r="N434" s="21" t="str">
        <f aca="false">IF(Variants!$X435="","",Variants!$X435)</f>
        <v/>
      </c>
      <c r="O434" s="21" t="n">
        <f aca="false">IF(Variants!$O435="","",Variants!$O435)</f>
        <v>0</v>
      </c>
      <c r="P434" s="18" t="n">
        <f aca="false">IF(Variants!$J435="","",Variants!$J435)</f>
        <v>52</v>
      </c>
      <c r="Q434" s="21" t="str">
        <f aca="false">IF(Variants!$U435="","",Variants!$U435)</f>
        <v/>
      </c>
      <c r="R434" s="21" t="str">
        <f aca="false">IF(Variants!$Y435="","",Variants!$Y435)</f>
        <v/>
      </c>
      <c r="S434" s="21" t="n">
        <f aca="false">IFERROR(VLOOKUP(Variants!$B435,Designs!$A$3:$AP$165,37,FALSE()),"")</f>
        <v>0</v>
      </c>
      <c r="T434" s="21" t="str">
        <f aca="false">IFERROR(VLOOKUP(Variants!$B435,Designs!$A$3:$AP$165,38,FALSE()),"")</f>
        <v>No</v>
      </c>
      <c r="U434" s="21" t="str">
        <f aca="false">IF(Variants!$AD435="Active","active","draft")</f>
        <v>active</v>
      </c>
    </row>
    <row r="435" customFormat="false" ht="15.75" hidden="false" customHeight="true" outlineLevel="0" collapsed="false">
      <c r="A435" s="21" t="str">
        <f aca="false">IF(Variants!$B436="","",LOWER(Variants!$B436))</f>
        <v>dsgn-chneck-van</v>
      </c>
      <c r="B435" s="21" t="str">
        <f aca="false">IF(Variants!$B436="","",Variants!$C436&amp;IF(Variants!$F436="",""," "&amp;Variants!$F436))</f>
        <v>Van Chain Necklace</v>
      </c>
      <c r="C435" s="21" t="str">
        <f aca="false">IFERROR(IF(Variants!$B436="","","&lt;p&gt;"&amp;VLOOKUP(Variants!$B436,Designs!$A$3:$AP$165,9,FALSE())&amp;"&lt;/p&gt;"),"")</f>
        <v>&lt;p&gt;Motifs from the Van/Vaspurakan region, echoing the ornament of the Lake Van heartland of historic Armenia.&lt;/p&gt;</v>
      </c>
      <c r="D435" s="21" t="str">
        <f aca="false">IF(Variants!$B436="","","Karni Jewellery")</f>
        <v>Karni Jewellery</v>
      </c>
      <c r="E435" s="21" t="str">
        <f aca="false">IF(Variants!$B436="","","Apparel &amp; Accessories &gt; Jewelry")</f>
        <v>Apparel &amp; Accessories &gt; Jewelry</v>
      </c>
      <c r="F435" s="21" t="str">
        <f aca="false">IF(Variants!$D436="","",Variants!$D436)</f>
        <v>chain necklace</v>
      </c>
      <c r="G435" s="21" t="str">
        <f aca="false">IF(Variants!$E436="","",Variants!$E436&amp;", Armenian jewellery, handmade")</f>
        <v>Van, Armenian jewellery, handmade</v>
      </c>
      <c r="H435" s="21" t="str">
        <f aca="false">IF(Variants!$AD436="Active","TRUE","FALSE")</f>
        <v>TRUE</v>
      </c>
      <c r="I435" s="21" t="str">
        <f aca="false">IF(Variants!$H436="","","Color")</f>
        <v>Color</v>
      </c>
      <c r="J435" s="21" t="str">
        <f aca="false">IF(Variants!$H436="","",Variants!$H436)</f>
        <v>green</v>
      </c>
      <c r="K435" s="21" t="str">
        <f aca="false">IF(Variants!$G436="","","Size")</f>
        <v/>
      </c>
      <c r="L435" s="21" t="str">
        <f aca="false">IF(Variants!$G436="","",Variants!$G436)</f>
        <v/>
      </c>
      <c r="M435" s="21" t="str">
        <f aca="false">Variants!$A436</f>
        <v>KARNI-CHNECK-VAN-GREEN</v>
      </c>
      <c r="N435" s="21" t="str">
        <f aca="false">IF(Variants!$X436="","",Variants!$X436)</f>
        <v/>
      </c>
      <c r="O435" s="21" t="n">
        <f aca="false">IF(Variants!$O436="","",Variants!$O436)</f>
        <v>0</v>
      </c>
      <c r="P435" s="18" t="n">
        <f aca="false">IF(Variants!$J436="","",Variants!$J436)</f>
        <v>52</v>
      </c>
      <c r="Q435" s="21" t="str">
        <f aca="false">IF(Variants!$U436="","",Variants!$U436)</f>
        <v/>
      </c>
      <c r="R435" s="21" t="str">
        <f aca="false">IF(Variants!$Y436="","",Variants!$Y436)</f>
        <v/>
      </c>
      <c r="S435" s="21" t="n">
        <f aca="false">IFERROR(VLOOKUP(Variants!$B436,Designs!$A$3:$AP$165,37,FALSE()),"")</f>
        <v>0</v>
      </c>
      <c r="T435" s="21" t="str">
        <f aca="false">IFERROR(VLOOKUP(Variants!$B436,Designs!$A$3:$AP$165,38,FALSE()),"")</f>
        <v>No</v>
      </c>
      <c r="U435" s="21" t="str">
        <f aca="false">IF(Variants!$AD436="Active","active","draft")</f>
        <v>active</v>
      </c>
    </row>
    <row r="436" customFormat="false" ht="15.75" hidden="false" customHeight="true" outlineLevel="0" collapsed="false">
      <c r="A436" s="21" t="str">
        <f aca="false">IF(Variants!$B437="","",LOWER(Variants!$B437))</f>
        <v>dsgn-chneck-vishab</v>
      </c>
      <c r="B436" s="21" t="str">
        <f aca="false">IF(Variants!$B437="","",Variants!$C437&amp;IF(Variants!$F437="",""," "&amp;Variants!$F437))</f>
        <v>Vishab Chain Necklace</v>
      </c>
      <c r="C436" s="21" t="str">
        <f aca="false">IFERROR(IF(Variants!$B437="","","&lt;p&gt;"&amp;VLOOKUP(Variants!$B437,Designs!$A$3:$AP$165,9,FALSE())&amp;"&lt;/p&gt;"),"")</f>
        <v>&lt;p&gt;Vishaps are ancient Armenian dragon-stones (vishapakar) found in the highlands, among the oldest carved monuments in the region.&lt;/p&gt;</v>
      </c>
      <c r="D436" s="21" t="str">
        <f aca="false">IF(Variants!$B437="","","Karni Jewellery")</f>
        <v>Karni Jewellery</v>
      </c>
      <c r="E436" s="21" t="str">
        <f aca="false">IF(Variants!$B437="","","Apparel &amp; Accessories &gt; Jewelry")</f>
        <v>Apparel &amp; Accessories &gt; Jewelry</v>
      </c>
      <c r="F436" s="21" t="str">
        <f aca="false">IF(Variants!$D437="","",Variants!$D437)</f>
        <v>chain necklace</v>
      </c>
      <c r="G436" s="21" t="str">
        <f aca="false">IF(Variants!$E437="","",Variants!$E437&amp;", Armenian jewellery, handmade")</f>
        <v>Vishab, Armenian jewellery, handmade</v>
      </c>
      <c r="H436" s="21" t="str">
        <f aca="false">IF(Variants!$AD437="Active","TRUE","FALSE")</f>
        <v>TRUE</v>
      </c>
      <c r="I436" s="21" t="str">
        <f aca="false">IF(Variants!$H437="","","Color")</f>
        <v>Color</v>
      </c>
      <c r="J436" s="21" t="str">
        <f aca="false">IF(Variants!$H437="","",Variants!$H437)</f>
        <v>blue</v>
      </c>
      <c r="K436" s="21" t="str">
        <f aca="false">IF(Variants!$G437="","","Size")</f>
        <v/>
      </c>
      <c r="L436" s="21" t="str">
        <f aca="false">IF(Variants!$G437="","",Variants!$G437)</f>
        <v/>
      </c>
      <c r="M436" s="21" t="str">
        <f aca="false">Variants!$A437</f>
        <v>KARNI-CHNECK-VISHAB-BLUE</v>
      </c>
      <c r="N436" s="21" t="str">
        <f aca="false">IF(Variants!$X437="","",Variants!$X437)</f>
        <v/>
      </c>
      <c r="O436" s="21" t="n">
        <f aca="false">IF(Variants!$O437="","",Variants!$O437)</f>
        <v>0</v>
      </c>
      <c r="P436" s="18" t="n">
        <f aca="false">IF(Variants!$J437="","",Variants!$J437)</f>
        <v>52</v>
      </c>
      <c r="Q436" s="21" t="str">
        <f aca="false">IF(Variants!$U437="","",Variants!$U437)</f>
        <v/>
      </c>
      <c r="R436" s="21" t="str">
        <f aca="false">IF(Variants!$Y437="","",Variants!$Y437)</f>
        <v/>
      </c>
      <c r="S436" s="21" t="n">
        <f aca="false">IFERROR(VLOOKUP(Variants!$B437,Designs!$A$3:$AP$165,37,FALSE()),"")</f>
        <v>0</v>
      </c>
      <c r="T436" s="21" t="str">
        <f aca="false">IFERROR(VLOOKUP(Variants!$B437,Designs!$A$3:$AP$165,38,FALSE()),"")</f>
        <v>No</v>
      </c>
      <c r="U436" s="21" t="str">
        <f aca="false">IF(Variants!$AD437="Active","active","draft")</f>
        <v>active</v>
      </c>
    </row>
    <row r="437" customFormat="false" ht="15.75" hidden="false" customHeight="true" outlineLevel="0" collapsed="false">
      <c r="A437" s="21" t="str">
        <f aca="false">IF(Variants!$B438="","",LOWER(Variants!$B438))</f>
        <v>dsgn-chneck-vishab</v>
      </c>
      <c r="B437" s="21" t="str">
        <f aca="false">IF(Variants!$B438="","",Variants!$C438&amp;IF(Variants!$F438="",""," "&amp;Variants!$F438))</f>
        <v>Vishab Chain Necklace</v>
      </c>
      <c r="C437" s="21" t="str">
        <f aca="false">IFERROR(IF(Variants!$B438="","","&lt;p&gt;"&amp;VLOOKUP(Variants!$B438,Designs!$A$3:$AP$165,9,FALSE())&amp;"&lt;/p&gt;"),"")</f>
        <v>&lt;p&gt;Vishaps are ancient Armenian dragon-stones (vishapakar) found in the highlands, among the oldest carved monuments in the region.&lt;/p&gt;</v>
      </c>
      <c r="D437" s="21" t="str">
        <f aca="false">IF(Variants!$B438="","","Karni Jewellery")</f>
        <v>Karni Jewellery</v>
      </c>
      <c r="E437" s="21" t="str">
        <f aca="false">IF(Variants!$B438="","","Apparel &amp; Accessories &gt; Jewelry")</f>
        <v>Apparel &amp; Accessories &gt; Jewelry</v>
      </c>
      <c r="F437" s="21" t="str">
        <f aca="false">IF(Variants!$D438="","",Variants!$D438)</f>
        <v>chain necklace</v>
      </c>
      <c r="G437" s="21" t="str">
        <f aca="false">IF(Variants!$E438="","",Variants!$E438&amp;", Armenian jewellery, handmade")</f>
        <v>Vishab, Armenian jewellery, handmade</v>
      </c>
      <c r="H437" s="21" t="str">
        <f aca="false">IF(Variants!$AD438="Active","TRUE","FALSE")</f>
        <v>TRUE</v>
      </c>
      <c r="I437" s="21" t="str">
        <f aca="false">IF(Variants!$H438="","","Color")</f>
        <v>Color</v>
      </c>
      <c r="J437" s="21" t="str">
        <f aca="false">IF(Variants!$H438="","",Variants!$H438)</f>
        <v>white</v>
      </c>
      <c r="K437" s="21" t="str">
        <f aca="false">IF(Variants!$G438="","","Size")</f>
        <v/>
      </c>
      <c r="L437" s="21" t="str">
        <f aca="false">IF(Variants!$G438="","",Variants!$G438)</f>
        <v/>
      </c>
      <c r="M437" s="21" t="str">
        <f aca="false">Variants!$A438</f>
        <v>KARNI-CHNECK-VISHAB-WHITE</v>
      </c>
      <c r="N437" s="21" t="str">
        <f aca="false">IF(Variants!$X438="","",Variants!$X438)</f>
        <v/>
      </c>
      <c r="O437" s="21" t="n">
        <f aca="false">IF(Variants!$O438="","",Variants!$O438)</f>
        <v>0</v>
      </c>
      <c r="P437" s="18" t="n">
        <f aca="false">IF(Variants!$J438="","",Variants!$J438)</f>
        <v>52</v>
      </c>
      <c r="Q437" s="21" t="str">
        <f aca="false">IF(Variants!$U438="","",Variants!$U438)</f>
        <v/>
      </c>
      <c r="R437" s="21" t="str">
        <f aca="false">IF(Variants!$Y438="","",Variants!$Y438)</f>
        <v/>
      </c>
      <c r="S437" s="21" t="n">
        <f aca="false">IFERROR(VLOOKUP(Variants!$B438,Designs!$A$3:$AP$165,37,FALSE()),"")</f>
        <v>0</v>
      </c>
      <c r="T437" s="21" t="str">
        <f aca="false">IFERROR(VLOOKUP(Variants!$B438,Designs!$A$3:$AP$165,38,FALSE()),"")</f>
        <v>No</v>
      </c>
      <c r="U437" s="21" t="str">
        <f aca="false">IF(Variants!$AD438="Active","active","draft")</f>
        <v>active</v>
      </c>
    </row>
    <row r="438" customFormat="false" ht="15.75" hidden="false" customHeight="true" outlineLevel="0" collapsed="false">
      <c r="A438" s="21" t="str">
        <f aca="false">IF(Variants!$B439="","",LOWER(Variants!$B439))</f>
        <v>dsgn-chneck-vishab</v>
      </c>
      <c r="B438" s="21" t="str">
        <f aca="false">IF(Variants!$B439="","",Variants!$C439&amp;IF(Variants!$F439="",""," "&amp;Variants!$F439))</f>
        <v>Vishab Chain Necklace</v>
      </c>
      <c r="C438" s="21" t="str">
        <f aca="false">IFERROR(IF(Variants!$B439="","","&lt;p&gt;"&amp;VLOOKUP(Variants!$B439,Designs!$A$3:$AP$165,9,FALSE())&amp;"&lt;/p&gt;"),"")</f>
        <v>&lt;p&gt;Vishaps are ancient Armenian dragon-stones (vishapakar) found in the highlands, among the oldest carved monuments in the region.&lt;/p&gt;</v>
      </c>
      <c r="D438" s="21" t="str">
        <f aca="false">IF(Variants!$B439="","","Karni Jewellery")</f>
        <v>Karni Jewellery</v>
      </c>
      <c r="E438" s="21" t="str">
        <f aca="false">IF(Variants!$B439="","","Apparel &amp; Accessories &gt; Jewelry")</f>
        <v>Apparel &amp; Accessories &gt; Jewelry</v>
      </c>
      <c r="F438" s="21" t="str">
        <f aca="false">IF(Variants!$D439="","",Variants!$D439)</f>
        <v>chain necklace</v>
      </c>
      <c r="G438" s="21" t="str">
        <f aca="false">IF(Variants!$E439="","",Variants!$E439&amp;", Armenian jewellery, handmade")</f>
        <v>Vishab, Armenian jewellery, handmade</v>
      </c>
      <c r="H438" s="21" t="str">
        <f aca="false">IF(Variants!$AD439="Active","TRUE","FALSE")</f>
        <v>TRUE</v>
      </c>
      <c r="I438" s="21" t="str">
        <f aca="false">IF(Variants!$H439="","","Color")</f>
        <v>Color</v>
      </c>
      <c r="J438" s="21" t="str">
        <f aca="false">IF(Variants!$H439="","",Variants!$H439)</f>
        <v>bordeaux</v>
      </c>
      <c r="K438" s="21" t="str">
        <f aca="false">IF(Variants!$G439="","","Size")</f>
        <v/>
      </c>
      <c r="L438" s="21" t="str">
        <f aca="false">IF(Variants!$G439="","",Variants!$G439)</f>
        <v/>
      </c>
      <c r="M438" s="21" t="str">
        <f aca="false">Variants!$A439</f>
        <v>KARNI-CHNECK-VISHAB-BORDEAUX</v>
      </c>
      <c r="N438" s="21" t="str">
        <f aca="false">IF(Variants!$X439="","",Variants!$X439)</f>
        <v/>
      </c>
      <c r="O438" s="21" t="n">
        <f aca="false">IF(Variants!$O439="","",Variants!$O439)</f>
        <v>0</v>
      </c>
      <c r="P438" s="18" t="n">
        <f aca="false">IF(Variants!$J439="","",Variants!$J439)</f>
        <v>52</v>
      </c>
      <c r="Q438" s="21" t="str">
        <f aca="false">IF(Variants!$U439="","",Variants!$U439)</f>
        <v/>
      </c>
      <c r="R438" s="21" t="str">
        <f aca="false">IF(Variants!$Y439="","",Variants!$Y439)</f>
        <v/>
      </c>
      <c r="S438" s="21" t="n">
        <f aca="false">IFERROR(VLOOKUP(Variants!$B439,Designs!$A$3:$AP$165,37,FALSE()),"")</f>
        <v>0</v>
      </c>
      <c r="T438" s="21" t="str">
        <f aca="false">IFERROR(VLOOKUP(Variants!$B439,Designs!$A$3:$AP$165,38,FALSE()),"")</f>
        <v>No</v>
      </c>
      <c r="U438" s="21" t="str">
        <f aca="false">IF(Variants!$AD439="Active","active","draft")</f>
        <v>active</v>
      </c>
    </row>
    <row r="439" customFormat="false" ht="15.75" hidden="false" customHeight="true" outlineLevel="0" collapsed="false">
      <c r="A439" s="21" t="str">
        <f aca="false">IF(Variants!$B440="","",LOWER(Variants!$B440))</f>
        <v>dsgn-chneck-vishab</v>
      </c>
      <c r="B439" s="21" t="str">
        <f aca="false">IF(Variants!$B440="","",Variants!$C440&amp;IF(Variants!$F440="",""," "&amp;Variants!$F440))</f>
        <v>Vishab Chain Necklace</v>
      </c>
      <c r="C439" s="21" t="str">
        <f aca="false">IFERROR(IF(Variants!$B440="","","&lt;p&gt;"&amp;VLOOKUP(Variants!$B440,Designs!$A$3:$AP$165,9,FALSE())&amp;"&lt;/p&gt;"),"")</f>
        <v>&lt;p&gt;Vishaps are ancient Armenian dragon-stones (vishapakar) found in the highlands, among the oldest carved monuments in the region.&lt;/p&gt;</v>
      </c>
      <c r="D439" s="21" t="str">
        <f aca="false">IF(Variants!$B440="","","Karni Jewellery")</f>
        <v>Karni Jewellery</v>
      </c>
      <c r="E439" s="21" t="str">
        <f aca="false">IF(Variants!$B440="","","Apparel &amp; Accessories &gt; Jewelry")</f>
        <v>Apparel &amp; Accessories &gt; Jewelry</v>
      </c>
      <c r="F439" s="21" t="str">
        <f aca="false">IF(Variants!$D440="","",Variants!$D440)</f>
        <v>chain necklace</v>
      </c>
      <c r="G439" s="21" t="str">
        <f aca="false">IF(Variants!$E440="","",Variants!$E440&amp;", Armenian jewellery, handmade")</f>
        <v>Vishab, Armenian jewellery, handmade</v>
      </c>
      <c r="H439" s="21" t="str">
        <f aca="false">IF(Variants!$AD440="Active","TRUE","FALSE")</f>
        <v>TRUE</v>
      </c>
      <c r="I439" s="21" t="str">
        <f aca="false">IF(Variants!$H440="","","Color")</f>
        <v>Color</v>
      </c>
      <c r="J439" s="21" t="str">
        <f aca="false">IF(Variants!$H440="","",Variants!$H440)</f>
        <v>turquoise</v>
      </c>
      <c r="K439" s="21" t="str">
        <f aca="false">IF(Variants!$G440="","","Size")</f>
        <v/>
      </c>
      <c r="L439" s="21" t="str">
        <f aca="false">IF(Variants!$G440="","",Variants!$G440)</f>
        <v/>
      </c>
      <c r="M439" s="21" t="str">
        <f aca="false">Variants!$A440</f>
        <v>KARNI-CHNECK-VISHAB-TURQUOISE</v>
      </c>
      <c r="N439" s="21" t="str">
        <f aca="false">IF(Variants!$X440="","",Variants!$X440)</f>
        <v/>
      </c>
      <c r="O439" s="21" t="n">
        <f aca="false">IF(Variants!$O440="","",Variants!$O440)</f>
        <v>0</v>
      </c>
      <c r="P439" s="18" t="n">
        <f aca="false">IF(Variants!$J440="","",Variants!$J440)</f>
        <v>52</v>
      </c>
      <c r="Q439" s="21" t="str">
        <f aca="false">IF(Variants!$U440="","",Variants!$U440)</f>
        <v/>
      </c>
      <c r="R439" s="21" t="str">
        <f aca="false">IF(Variants!$Y440="","",Variants!$Y440)</f>
        <v/>
      </c>
      <c r="S439" s="21" t="n">
        <f aca="false">IFERROR(VLOOKUP(Variants!$B440,Designs!$A$3:$AP$165,37,FALSE()),"")</f>
        <v>0</v>
      </c>
      <c r="T439" s="21" t="str">
        <f aca="false">IFERROR(VLOOKUP(Variants!$B440,Designs!$A$3:$AP$165,38,FALSE()),"")</f>
        <v>No</v>
      </c>
      <c r="U439" s="21" t="str">
        <f aca="false">IF(Variants!$AD440="Active","active","draft")</f>
        <v>active</v>
      </c>
    </row>
    <row r="440" customFormat="false" ht="15.75" hidden="false" customHeight="true" outlineLevel="0" collapsed="false">
      <c r="A440" s="21" t="str">
        <f aca="false">IF(Variants!$B441="","",LOWER(Variants!$B441))</f>
        <v>dsgn-chneck-vishab</v>
      </c>
      <c r="B440" s="21" t="str">
        <f aca="false">IF(Variants!$B441="","",Variants!$C441&amp;IF(Variants!$F441="",""," "&amp;Variants!$F441))</f>
        <v>Vishab Chain Necklace</v>
      </c>
      <c r="C440" s="21" t="str">
        <f aca="false">IFERROR(IF(Variants!$B441="","","&lt;p&gt;"&amp;VLOOKUP(Variants!$B441,Designs!$A$3:$AP$165,9,FALSE())&amp;"&lt;/p&gt;"),"")</f>
        <v>&lt;p&gt;Vishaps are ancient Armenian dragon-stones (vishapakar) found in the highlands, among the oldest carved monuments in the region.&lt;/p&gt;</v>
      </c>
      <c r="D440" s="21" t="str">
        <f aca="false">IF(Variants!$B441="","","Karni Jewellery")</f>
        <v>Karni Jewellery</v>
      </c>
      <c r="E440" s="21" t="str">
        <f aca="false">IF(Variants!$B441="","","Apparel &amp; Accessories &gt; Jewelry")</f>
        <v>Apparel &amp; Accessories &gt; Jewelry</v>
      </c>
      <c r="F440" s="21" t="str">
        <f aca="false">IF(Variants!$D441="","",Variants!$D441)</f>
        <v>chain necklace</v>
      </c>
      <c r="G440" s="21" t="str">
        <f aca="false">IF(Variants!$E441="","",Variants!$E441&amp;", Armenian jewellery, handmade")</f>
        <v>Vishab, Armenian jewellery, handmade</v>
      </c>
      <c r="H440" s="21" t="str">
        <f aca="false">IF(Variants!$AD441="Active","TRUE","FALSE")</f>
        <v>TRUE</v>
      </c>
      <c r="I440" s="21" t="str">
        <f aca="false">IF(Variants!$H441="","","Color")</f>
        <v>Color</v>
      </c>
      <c r="J440" s="21" t="str">
        <f aca="false">IF(Variants!$H441="","",Variants!$H441)</f>
        <v>green</v>
      </c>
      <c r="K440" s="21" t="str">
        <f aca="false">IF(Variants!$G441="","","Size")</f>
        <v/>
      </c>
      <c r="L440" s="21" t="str">
        <f aca="false">IF(Variants!$G441="","",Variants!$G441)</f>
        <v/>
      </c>
      <c r="M440" s="21" t="str">
        <f aca="false">Variants!$A441</f>
        <v>KARNI-CHNECK-VISHAB-GREEN</v>
      </c>
      <c r="N440" s="21" t="str">
        <f aca="false">IF(Variants!$X441="","",Variants!$X441)</f>
        <v/>
      </c>
      <c r="O440" s="21" t="n">
        <f aca="false">IF(Variants!$O441="","",Variants!$O441)</f>
        <v>0</v>
      </c>
      <c r="P440" s="18" t="n">
        <f aca="false">IF(Variants!$J441="","",Variants!$J441)</f>
        <v>52</v>
      </c>
      <c r="Q440" s="21" t="str">
        <f aca="false">IF(Variants!$U441="","",Variants!$U441)</f>
        <v/>
      </c>
      <c r="R440" s="21" t="str">
        <f aca="false">IF(Variants!$Y441="","",Variants!$Y441)</f>
        <v/>
      </c>
      <c r="S440" s="21" t="n">
        <f aca="false">IFERROR(VLOOKUP(Variants!$B441,Designs!$A$3:$AP$165,37,FALSE()),"")</f>
        <v>0</v>
      </c>
      <c r="T440" s="21" t="str">
        <f aca="false">IFERROR(VLOOKUP(Variants!$B441,Designs!$A$3:$AP$165,38,FALSE()),"")</f>
        <v>No</v>
      </c>
      <c r="U440" s="21" t="str">
        <f aca="false">IF(Variants!$AD441="Active","active","draft")</f>
        <v>active</v>
      </c>
    </row>
    <row r="441" customFormat="false" ht="15.75" hidden="false" customHeight="true" outlineLevel="0" collapsed="false">
      <c r="A441" s="21" t="str">
        <f aca="false">IF(Variants!$B442="","",LOWER(Variants!$B442))</f>
        <v>dsgn-chneck-vishabarevagorg</v>
      </c>
      <c r="B441" s="21" t="str">
        <f aca="false">IF(Variants!$B442="","",Variants!$C442&amp;IF(Variants!$F442="",""," "&amp;Variants!$F442))</f>
        <v>Արեւագորգի Վիշապ</v>
      </c>
      <c r="C441" s="21" t="str">
        <f aca="false">IFERROR(IF(Variants!$B442="","","&lt;p&gt;"&amp;VLOOKUP(Variants!$B442,Designs!$A$3:$AP$165,9,FALSE())&amp;"&lt;/p&gt;"),"")</f>
        <v>&lt;p&gt;Combines the vishap (dragon) motif with the arevagorg (sun-carpet) — an Armenian solar ornament symbolising life and eternity.&lt;/p&gt;</v>
      </c>
      <c r="D441" s="21" t="str">
        <f aca="false">IF(Variants!$B442="","","Karni Jewellery")</f>
        <v>Karni Jewellery</v>
      </c>
      <c r="E441" s="21" t="str">
        <f aca="false">IF(Variants!$B442="","","Apparel &amp; Accessories &gt; Jewelry")</f>
        <v>Apparel &amp; Accessories &gt; Jewelry</v>
      </c>
      <c r="F441" s="21" t="str">
        <f aca="false">IF(Variants!$D442="","",Variants!$D442)</f>
        <v>chain necklace</v>
      </c>
      <c r="G441" s="21" t="str">
        <f aca="false">IF(Variants!$E442="","",Variants!$E442&amp;", Armenian jewellery, handmade")</f>
        <v>Vishab Arevagorg, Armenian jewellery, handmade</v>
      </c>
      <c r="H441" s="21" t="str">
        <f aca="false">IF(Variants!$AD442="Active","TRUE","FALSE")</f>
        <v>TRUE</v>
      </c>
      <c r="I441" s="21" t="str">
        <f aca="false">IF(Variants!$H442="","","Color")</f>
        <v>Color</v>
      </c>
      <c r="J441" s="21" t="str">
        <f aca="false">IF(Variants!$H442="","",Variants!$H442)</f>
        <v>blue</v>
      </c>
      <c r="K441" s="21" t="str">
        <f aca="false">IF(Variants!$G442="","","Size")</f>
        <v/>
      </c>
      <c r="L441" s="21" t="str">
        <f aca="false">IF(Variants!$G442="","",Variants!$G442)</f>
        <v/>
      </c>
      <c r="M441" s="21" t="str">
        <f aca="false">Variants!$A442</f>
        <v>KARNI-CHNECK-VISHABAREVAGORG-BLUE</v>
      </c>
      <c r="N441" s="21" t="str">
        <f aca="false">IF(Variants!$X442="","",Variants!$X442)</f>
        <v/>
      </c>
      <c r="O441" s="21" t="n">
        <f aca="false">IF(Variants!$O442="","",Variants!$O442)</f>
        <v>0</v>
      </c>
      <c r="P441" s="18" t="n">
        <f aca="false">IF(Variants!$J442="","",Variants!$J442)</f>
        <v>52</v>
      </c>
      <c r="Q441" s="21" t="str">
        <f aca="false">IF(Variants!$U442="","",Variants!$U442)</f>
        <v/>
      </c>
      <c r="R441" s="21" t="str">
        <f aca="false">IF(Variants!$Y442="","",Variants!$Y442)</f>
        <v/>
      </c>
      <c r="S441" s="21" t="n">
        <f aca="false">IFERROR(VLOOKUP(Variants!$B442,Designs!$A$3:$AP$165,37,FALSE()),"")</f>
        <v>0</v>
      </c>
      <c r="T441" s="21" t="str">
        <f aca="false">IFERROR(VLOOKUP(Variants!$B442,Designs!$A$3:$AP$165,38,FALSE()),"")</f>
        <v>No</v>
      </c>
      <c r="U441" s="21" t="str">
        <f aca="false">IF(Variants!$AD442="Active","active","draft")</f>
        <v>active</v>
      </c>
    </row>
    <row r="442" customFormat="false" ht="15.75" hidden="false" customHeight="true" outlineLevel="0" collapsed="false">
      <c r="A442" s="21" t="str">
        <f aca="false">IF(Variants!$B443="","",LOWER(Variants!$B443))</f>
        <v>dsgn-chneck-vishabarevagorg</v>
      </c>
      <c r="B442" s="21" t="str">
        <f aca="false">IF(Variants!$B443="","",Variants!$C443&amp;IF(Variants!$F443="",""," "&amp;Variants!$F443))</f>
        <v>Արեւագորգի Վիշապ</v>
      </c>
      <c r="C442" s="21" t="str">
        <f aca="false">IFERROR(IF(Variants!$B443="","","&lt;p&gt;"&amp;VLOOKUP(Variants!$B443,Designs!$A$3:$AP$165,9,FALSE())&amp;"&lt;/p&gt;"),"")</f>
        <v>&lt;p&gt;Combines the vishap (dragon) motif with the arevagorg (sun-carpet) — an Armenian solar ornament symbolising life and eternity.&lt;/p&gt;</v>
      </c>
      <c r="D442" s="21" t="str">
        <f aca="false">IF(Variants!$B443="","","Karni Jewellery")</f>
        <v>Karni Jewellery</v>
      </c>
      <c r="E442" s="21" t="str">
        <f aca="false">IF(Variants!$B443="","","Apparel &amp; Accessories &gt; Jewelry")</f>
        <v>Apparel &amp; Accessories &gt; Jewelry</v>
      </c>
      <c r="F442" s="21" t="str">
        <f aca="false">IF(Variants!$D443="","",Variants!$D443)</f>
        <v>chain necklace</v>
      </c>
      <c r="G442" s="21" t="str">
        <f aca="false">IF(Variants!$E443="","",Variants!$E443&amp;", Armenian jewellery, handmade")</f>
        <v>Vishab Arevagorg, Armenian jewellery, handmade</v>
      </c>
      <c r="H442" s="21" t="str">
        <f aca="false">IF(Variants!$AD443="Active","TRUE","FALSE")</f>
        <v>TRUE</v>
      </c>
      <c r="I442" s="21" t="str">
        <f aca="false">IF(Variants!$H443="","","Color")</f>
        <v>Color</v>
      </c>
      <c r="J442" s="21" t="str">
        <f aca="false">IF(Variants!$H443="","",Variants!$H443)</f>
        <v>white</v>
      </c>
      <c r="K442" s="21" t="str">
        <f aca="false">IF(Variants!$G443="","","Size")</f>
        <v/>
      </c>
      <c r="L442" s="21" t="str">
        <f aca="false">IF(Variants!$G443="","",Variants!$G443)</f>
        <v/>
      </c>
      <c r="M442" s="21" t="str">
        <f aca="false">Variants!$A443</f>
        <v>KARNI-CHNECK-VISHABAREVAGORG-WHITE</v>
      </c>
      <c r="N442" s="21" t="str">
        <f aca="false">IF(Variants!$X443="","",Variants!$X443)</f>
        <v/>
      </c>
      <c r="O442" s="21" t="n">
        <f aca="false">IF(Variants!$O443="","",Variants!$O443)</f>
        <v>0</v>
      </c>
      <c r="P442" s="18" t="n">
        <f aca="false">IF(Variants!$J443="","",Variants!$J443)</f>
        <v>52</v>
      </c>
      <c r="Q442" s="21" t="str">
        <f aca="false">IF(Variants!$U443="","",Variants!$U443)</f>
        <v/>
      </c>
      <c r="R442" s="21" t="str">
        <f aca="false">IF(Variants!$Y443="","",Variants!$Y443)</f>
        <v/>
      </c>
      <c r="S442" s="21" t="n">
        <f aca="false">IFERROR(VLOOKUP(Variants!$B443,Designs!$A$3:$AP$165,37,FALSE()),"")</f>
        <v>0</v>
      </c>
      <c r="T442" s="21" t="str">
        <f aca="false">IFERROR(VLOOKUP(Variants!$B443,Designs!$A$3:$AP$165,38,FALSE()),"")</f>
        <v>No</v>
      </c>
      <c r="U442" s="21" t="str">
        <f aca="false">IF(Variants!$AD443="Active","active","draft")</f>
        <v>active</v>
      </c>
    </row>
    <row r="443" customFormat="false" ht="15.75" hidden="false" customHeight="true" outlineLevel="0" collapsed="false">
      <c r="A443" s="21" t="str">
        <f aca="false">IF(Variants!$B444="","",LOWER(Variants!$B444))</f>
        <v>dsgn-chneck-vishabarevagorg</v>
      </c>
      <c r="B443" s="21" t="str">
        <f aca="false">IF(Variants!$B444="","",Variants!$C444&amp;IF(Variants!$F444="",""," "&amp;Variants!$F444))</f>
        <v>Արեւագորգի Վիշապ</v>
      </c>
      <c r="C443" s="21" t="str">
        <f aca="false">IFERROR(IF(Variants!$B444="","","&lt;p&gt;"&amp;VLOOKUP(Variants!$B444,Designs!$A$3:$AP$165,9,FALSE())&amp;"&lt;/p&gt;"),"")</f>
        <v>&lt;p&gt;Combines the vishap (dragon) motif with the arevagorg (sun-carpet) — an Armenian solar ornament symbolising life and eternity.&lt;/p&gt;</v>
      </c>
      <c r="D443" s="21" t="str">
        <f aca="false">IF(Variants!$B444="","","Karni Jewellery")</f>
        <v>Karni Jewellery</v>
      </c>
      <c r="E443" s="21" t="str">
        <f aca="false">IF(Variants!$B444="","","Apparel &amp; Accessories &gt; Jewelry")</f>
        <v>Apparel &amp; Accessories &gt; Jewelry</v>
      </c>
      <c r="F443" s="21" t="str">
        <f aca="false">IF(Variants!$D444="","",Variants!$D444)</f>
        <v>chain necklace</v>
      </c>
      <c r="G443" s="21" t="str">
        <f aca="false">IF(Variants!$E444="","",Variants!$E444&amp;", Armenian jewellery, handmade")</f>
        <v>Vishab Arevagorg, Armenian jewellery, handmade</v>
      </c>
      <c r="H443" s="21" t="str">
        <f aca="false">IF(Variants!$AD444="Active","TRUE","FALSE")</f>
        <v>TRUE</v>
      </c>
      <c r="I443" s="21" t="str">
        <f aca="false">IF(Variants!$H444="","","Color")</f>
        <v>Color</v>
      </c>
      <c r="J443" s="21" t="str">
        <f aca="false">IF(Variants!$H444="","",Variants!$H444)</f>
        <v>bordeaux</v>
      </c>
      <c r="K443" s="21" t="str">
        <f aca="false">IF(Variants!$G444="","","Size")</f>
        <v/>
      </c>
      <c r="L443" s="21" t="str">
        <f aca="false">IF(Variants!$G444="","",Variants!$G444)</f>
        <v/>
      </c>
      <c r="M443" s="21" t="str">
        <f aca="false">Variants!$A444</f>
        <v>KARNI-CHNECK-VISHABAREVAGORG-BORDEAUX</v>
      </c>
      <c r="N443" s="21" t="str">
        <f aca="false">IF(Variants!$X444="","",Variants!$X444)</f>
        <v/>
      </c>
      <c r="O443" s="21" t="n">
        <f aca="false">IF(Variants!$O444="","",Variants!$O444)</f>
        <v>0</v>
      </c>
      <c r="P443" s="18" t="n">
        <f aca="false">IF(Variants!$J444="","",Variants!$J444)</f>
        <v>52</v>
      </c>
      <c r="Q443" s="21" t="str">
        <f aca="false">IF(Variants!$U444="","",Variants!$U444)</f>
        <v/>
      </c>
      <c r="R443" s="21" t="str">
        <f aca="false">IF(Variants!$Y444="","",Variants!$Y444)</f>
        <v/>
      </c>
      <c r="S443" s="21" t="n">
        <f aca="false">IFERROR(VLOOKUP(Variants!$B444,Designs!$A$3:$AP$165,37,FALSE()),"")</f>
        <v>0</v>
      </c>
      <c r="T443" s="21" t="str">
        <f aca="false">IFERROR(VLOOKUP(Variants!$B444,Designs!$A$3:$AP$165,38,FALSE()),"")</f>
        <v>No</v>
      </c>
      <c r="U443" s="21" t="str">
        <f aca="false">IF(Variants!$AD444="Active","active","draft")</f>
        <v>active</v>
      </c>
    </row>
    <row r="444" customFormat="false" ht="15.75" hidden="false" customHeight="true" outlineLevel="0" collapsed="false">
      <c r="A444" s="21" t="str">
        <f aca="false">IF(Variants!$B445="","",LOWER(Variants!$B445))</f>
        <v>dsgn-chneck-vishabarevagorg</v>
      </c>
      <c r="B444" s="21" t="str">
        <f aca="false">IF(Variants!$B445="","",Variants!$C445&amp;IF(Variants!$F445="",""," "&amp;Variants!$F445))</f>
        <v>Արեւագորգի Վիշապ</v>
      </c>
      <c r="C444" s="21" t="str">
        <f aca="false">IFERROR(IF(Variants!$B445="","","&lt;p&gt;"&amp;VLOOKUP(Variants!$B445,Designs!$A$3:$AP$165,9,FALSE())&amp;"&lt;/p&gt;"),"")</f>
        <v>&lt;p&gt;Combines the vishap (dragon) motif with the arevagorg (sun-carpet) — an Armenian solar ornament symbolising life and eternity.&lt;/p&gt;</v>
      </c>
      <c r="D444" s="21" t="str">
        <f aca="false">IF(Variants!$B445="","","Karni Jewellery")</f>
        <v>Karni Jewellery</v>
      </c>
      <c r="E444" s="21" t="str">
        <f aca="false">IF(Variants!$B445="","","Apparel &amp; Accessories &gt; Jewelry")</f>
        <v>Apparel &amp; Accessories &gt; Jewelry</v>
      </c>
      <c r="F444" s="21" t="str">
        <f aca="false">IF(Variants!$D445="","",Variants!$D445)</f>
        <v>chain necklace</v>
      </c>
      <c r="G444" s="21" t="str">
        <f aca="false">IF(Variants!$E445="","",Variants!$E445&amp;", Armenian jewellery, handmade")</f>
        <v>Vishab Arevagorg, Armenian jewellery, handmade</v>
      </c>
      <c r="H444" s="21" t="str">
        <f aca="false">IF(Variants!$AD445="Active","TRUE","FALSE")</f>
        <v>TRUE</v>
      </c>
      <c r="I444" s="21" t="str">
        <f aca="false">IF(Variants!$H445="","","Color")</f>
        <v>Color</v>
      </c>
      <c r="J444" s="21" t="str">
        <f aca="false">IF(Variants!$H445="","",Variants!$H445)</f>
        <v>turquoise</v>
      </c>
      <c r="K444" s="21" t="str">
        <f aca="false">IF(Variants!$G445="","","Size")</f>
        <v/>
      </c>
      <c r="L444" s="21" t="str">
        <f aca="false">IF(Variants!$G445="","",Variants!$G445)</f>
        <v/>
      </c>
      <c r="M444" s="21" t="str">
        <f aca="false">Variants!$A445</f>
        <v>KARNI-CHNECK-VISHABAREVAGORG-TURQUOISE</v>
      </c>
      <c r="N444" s="21" t="str">
        <f aca="false">IF(Variants!$X445="","",Variants!$X445)</f>
        <v/>
      </c>
      <c r="O444" s="21" t="n">
        <f aca="false">IF(Variants!$O445="","",Variants!$O445)</f>
        <v>0</v>
      </c>
      <c r="P444" s="18" t="n">
        <f aca="false">IF(Variants!$J445="","",Variants!$J445)</f>
        <v>52</v>
      </c>
      <c r="Q444" s="21" t="str">
        <f aca="false">IF(Variants!$U445="","",Variants!$U445)</f>
        <v/>
      </c>
      <c r="R444" s="21" t="str">
        <f aca="false">IF(Variants!$Y445="","",Variants!$Y445)</f>
        <v/>
      </c>
      <c r="S444" s="21" t="n">
        <f aca="false">IFERROR(VLOOKUP(Variants!$B445,Designs!$A$3:$AP$165,37,FALSE()),"")</f>
        <v>0</v>
      </c>
      <c r="T444" s="21" t="str">
        <f aca="false">IFERROR(VLOOKUP(Variants!$B445,Designs!$A$3:$AP$165,38,FALSE()),"")</f>
        <v>No</v>
      </c>
      <c r="U444" s="21" t="str">
        <f aca="false">IF(Variants!$AD445="Active","active","draft")</f>
        <v>active</v>
      </c>
    </row>
    <row r="445" customFormat="false" ht="15.75" hidden="false" customHeight="true" outlineLevel="0" collapsed="false">
      <c r="A445" s="21" t="str">
        <f aca="false">IF(Variants!$B446="","",LOWER(Variants!$B446))</f>
        <v>dsgn-chneck-vishabarevagorg</v>
      </c>
      <c r="B445" s="21" t="str">
        <f aca="false">IF(Variants!$B446="","",Variants!$C446&amp;IF(Variants!$F446="",""," "&amp;Variants!$F446))</f>
        <v>Արեւագորգի Վիշապ</v>
      </c>
      <c r="C445" s="21" t="str">
        <f aca="false">IFERROR(IF(Variants!$B446="","","&lt;p&gt;"&amp;VLOOKUP(Variants!$B446,Designs!$A$3:$AP$165,9,FALSE())&amp;"&lt;/p&gt;"),"")</f>
        <v>&lt;p&gt;Combines the vishap (dragon) motif with the arevagorg (sun-carpet) — an Armenian solar ornament symbolising life and eternity.&lt;/p&gt;</v>
      </c>
      <c r="D445" s="21" t="str">
        <f aca="false">IF(Variants!$B446="","","Karni Jewellery")</f>
        <v>Karni Jewellery</v>
      </c>
      <c r="E445" s="21" t="str">
        <f aca="false">IF(Variants!$B446="","","Apparel &amp; Accessories &gt; Jewelry")</f>
        <v>Apparel &amp; Accessories &gt; Jewelry</v>
      </c>
      <c r="F445" s="21" t="str">
        <f aca="false">IF(Variants!$D446="","",Variants!$D446)</f>
        <v>chain necklace</v>
      </c>
      <c r="G445" s="21" t="str">
        <f aca="false">IF(Variants!$E446="","",Variants!$E446&amp;", Armenian jewellery, handmade")</f>
        <v>Vishab Arevagorg, Armenian jewellery, handmade</v>
      </c>
      <c r="H445" s="21" t="str">
        <f aca="false">IF(Variants!$AD446="Active","TRUE","FALSE")</f>
        <v>TRUE</v>
      </c>
      <c r="I445" s="21" t="str">
        <f aca="false">IF(Variants!$H446="","","Color")</f>
        <v>Color</v>
      </c>
      <c r="J445" s="21" t="str">
        <f aca="false">IF(Variants!$H446="","",Variants!$H446)</f>
        <v>green</v>
      </c>
      <c r="K445" s="21" t="str">
        <f aca="false">IF(Variants!$G446="","","Size")</f>
        <v/>
      </c>
      <c r="L445" s="21" t="str">
        <f aca="false">IF(Variants!$G446="","",Variants!$G446)</f>
        <v/>
      </c>
      <c r="M445" s="21" t="str">
        <f aca="false">Variants!$A446</f>
        <v>KARNI-CHNECK-VISHABAREVAGORG-GREEN</v>
      </c>
      <c r="N445" s="21" t="str">
        <f aca="false">IF(Variants!$X446="","",Variants!$X446)</f>
        <v/>
      </c>
      <c r="O445" s="21" t="n">
        <f aca="false">IF(Variants!$O446="","",Variants!$O446)</f>
        <v>0</v>
      </c>
      <c r="P445" s="18" t="n">
        <f aca="false">IF(Variants!$J446="","",Variants!$J446)</f>
        <v>52</v>
      </c>
      <c r="Q445" s="21" t="str">
        <f aca="false">IF(Variants!$U446="","",Variants!$U446)</f>
        <v/>
      </c>
      <c r="R445" s="21" t="str">
        <f aca="false">IF(Variants!$Y446="","",Variants!$Y446)</f>
        <v/>
      </c>
      <c r="S445" s="21" t="n">
        <f aca="false">IFERROR(VLOOKUP(Variants!$B446,Designs!$A$3:$AP$165,37,FALSE()),"")</f>
        <v>0</v>
      </c>
      <c r="T445" s="21" t="str">
        <f aca="false">IFERROR(VLOOKUP(Variants!$B446,Designs!$A$3:$AP$165,38,FALSE()),"")</f>
        <v>No</v>
      </c>
      <c r="U445" s="21" t="str">
        <f aca="false">IF(Variants!$AD446="Active","active","draft")</f>
        <v>active</v>
      </c>
    </row>
    <row r="446" customFormat="false" ht="15.75" hidden="false" customHeight="true" outlineLevel="0" collapsed="false">
      <c r="A446" s="21" t="str">
        <f aca="false">IF(Variants!$B447="","",LOWER(Variants!$B447))</f>
        <v>dsgn-chneck-artsakhikhachanakhsh</v>
      </c>
      <c r="B446" s="21" t="str">
        <f aca="false">IF(Variants!$B447="","",Variants!$C447&amp;IF(Variants!$F447="",""," "&amp;Variants!$F447))</f>
        <v>Artsakhi Khachanakhsh Chain Necklace</v>
      </c>
      <c r="C446" s="21" t="str">
        <f aca="false">IFERROR(IF(Variants!$B447="","","&lt;p&gt;"&amp;VLOOKUP(Variants!$B447,Designs!$A$3:$AP$165,9,FALSE())&amp;"&lt;/p&gt;"),"")</f>
        <v>&lt;p&gt;Cross-ornament patterns from Artsakh, carrying the carved cross-stone heritage of the region.&lt;/p&gt;</v>
      </c>
      <c r="D446" s="21" t="str">
        <f aca="false">IF(Variants!$B447="","","Karni Jewellery")</f>
        <v>Karni Jewellery</v>
      </c>
      <c r="E446" s="21" t="str">
        <f aca="false">IF(Variants!$B447="","","Apparel &amp; Accessories &gt; Jewelry")</f>
        <v>Apparel &amp; Accessories &gt; Jewelry</v>
      </c>
      <c r="F446" s="21" t="str">
        <f aca="false">IF(Variants!$D447="","",Variants!$D447)</f>
        <v>chain necklace</v>
      </c>
      <c r="G446" s="21" t="str">
        <f aca="false">IF(Variants!$E447="","",Variants!$E447&amp;", Armenian jewellery, handmade")</f>
        <v>Artsakhi Khachanakhsh, Armenian jewellery, handmade</v>
      </c>
      <c r="H446" s="21" t="str">
        <f aca="false">IF(Variants!$AD447="Active","TRUE","FALSE")</f>
        <v>TRUE</v>
      </c>
      <c r="I446" s="21" t="str">
        <f aca="false">IF(Variants!$H447="","","Color")</f>
        <v>Color</v>
      </c>
      <c r="J446" s="21" t="str">
        <f aca="false">IF(Variants!$H447="","",Variants!$H447)</f>
        <v>white</v>
      </c>
      <c r="K446" s="21" t="str">
        <f aca="false">IF(Variants!$G447="","","Size")</f>
        <v/>
      </c>
      <c r="L446" s="21" t="str">
        <f aca="false">IF(Variants!$G447="","",Variants!$G447)</f>
        <v/>
      </c>
      <c r="M446" s="21" t="str">
        <f aca="false">Variants!$A447</f>
        <v>KARNI-CHNECK-ARTSAKHIKHACHANAKHSH-WHITE</v>
      </c>
      <c r="N446" s="21" t="str">
        <f aca="false">IF(Variants!$X447="","",Variants!$X447)</f>
        <v/>
      </c>
      <c r="O446" s="21" t="n">
        <f aca="false">IF(Variants!$O447="","",Variants!$O447)</f>
        <v>0</v>
      </c>
      <c r="P446" s="18" t="n">
        <f aca="false">IF(Variants!$J447="","",Variants!$J447)</f>
        <v>52</v>
      </c>
      <c r="Q446" s="21" t="str">
        <f aca="false">IF(Variants!$U447="","",Variants!$U447)</f>
        <v/>
      </c>
      <c r="R446" s="21" t="str">
        <f aca="false">IF(Variants!$Y447="","",Variants!$Y447)</f>
        <v/>
      </c>
      <c r="S446" s="21" t="n">
        <f aca="false">IFERROR(VLOOKUP(Variants!$B447,Designs!$A$3:$AP$165,37,FALSE()),"")</f>
        <v>0</v>
      </c>
      <c r="T446" s="21" t="str">
        <f aca="false">IFERROR(VLOOKUP(Variants!$B447,Designs!$A$3:$AP$165,38,FALSE()),"")</f>
        <v>No</v>
      </c>
      <c r="U446" s="21" t="str">
        <f aca="false">IF(Variants!$AD447="Active","active","draft")</f>
        <v>active</v>
      </c>
    </row>
    <row r="447" customFormat="false" ht="15.75" hidden="false" customHeight="true" outlineLevel="0" collapsed="false">
      <c r="A447" s="21" t="str">
        <f aca="false">IF(Variants!$B448="","",LOWER(Variants!$B448))</f>
        <v>dsgn-chneck-artsakhikhachanakhsh</v>
      </c>
      <c r="B447" s="21" t="str">
        <f aca="false">IF(Variants!$B448="","",Variants!$C448&amp;IF(Variants!$F448="",""," "&amp;Variants!$F448))</f>
        <v>Artsakhi Khachanakhsh Chain Necklace</v>
      </c>
      <c r="C447" s="21" t="str">
        <f aca="false">IFERROR(IF(Variants!$B448="","","&lt;p&gt;"&amp;VLOOKUP(Variants!$B448,Designs!$A$3:$AP$165,9,FALSE())&amp;"&lt;/p&gt;"),"")</f>
        <v>&lt;p&gt;Cross-ornament patterns from Artsakh, carrying the carved cross-stone heritage of the region.&lt;/p&gt;</v>
      </c>
      <c r="D447" s="21" t="str">
        <f aca="false">IF(Variants!$B448="","","Karni Jewellery")</f>
        <v>Karni Jewellery</v>
      </c>
      <c r="E447" s="21" t="str">
        <f aca="false">IF(Variants!$B448="","","Apparel &amp; Accessories &gt; Jewelry")</f>
        <v>Apparel &amp; Accessories &gt; Jewelry</v>
      </c>
      <c r="F447" s="21" t="str">
        <f aca="false">IF(Variants!$D448="","",Variants!$D448)</f>
        <v>chain necklace</v>
      </c>
      <c r="G447" s="21" t="str">
        <f aca="false">IF(Variants!$E448="","",Variants!$E448&amp;", Armenian jewellery, handmade")</f>
        <v>Artsakhi Khachanakhsh, Armenian jewellery, handmade</v>
      </c>
      <c r="H447" s="21" t="str">
        <f aca="false">IF(Variants!$AD448="Active","TRUE","FALSE")</f>
        <v>TRUE</v>
      </c>
      <c r="I447" s="21" t="str">
        <f aca="false">IF(Variants!$H448="","","Color")</f>
        <v>Color</v>
      </c>
      <c r="J447" s="21" t="str">
        <f aca="false">IF(Variants!$H448="","",Variants!$H448)</f>
        <v>white-red</v>
      </c>
      <c r="K447" s="21" t="str">
        <f aca="false">IF(Variants!$G448="","","Size")</f>
        <v/>
      </c>
      <c r="L447" s="21" t="str">
        <f aca="false">IF(Variants!$G448="","",Variants!$G448)</f>
        <v/>
      </c>
      <c r="M447" s="21" t="str">
        <f aca="false">Variants!$A448</f>
        <v>KARNI-CHNECK-ARTSAKHIKHACHANAKHSH-WHITE-RED</v>
      </c>
      <c r="N447" s="21" t="str">
        <f aca="false">IF(Variants!$X448="","",Variants!$X448)</f>
        <v/>
      </c>
      <c r="O447" s="21" t="n">
        <f aca="false">IF(Variants!$O448="","",Variants!$O448)</f>
        <v>0</v>
      </c>
      <c r="P447" s="18" t="n">
        <f aca="false">IF(Variants!$J448="","",Variants!$J448)</f>
        <v>52</v>
      </c>
      <c r="Q447" s="21" t="str">
        <f aca="false">IF(Variants!$U448="","",Variants!$U448)</f>
        <v/>
      </c>
      <c r="R447" s="21" t="str">
        <f aca="false">IF(Variants!$Y448="","",Variants!$Y448)</f>
        <v/>
      </c>
      <c r="S447" s="21" t="n">
        <f aca="false">IFERROR(VLOOKUP(Variants!$B448,Designs!$A$3:$AP$165,37,FALSE()),"")</f>
        <v>0</v>
      </c>
      <c r="T447" s="21" t="str">
        <f aca="false">IFERROR(VLOOKUP(Variants!$B448,Designs!$A$3:$AP$165,38,FALSE()),"")</f>
        <v>No</v>
      </c>
      <c r="U447" s="21" t="str">
        <f aca="false">IF(Variants!$AD448="Active","active","draft")</f>
        <v>active</v>
      </c>
    </row>
    <row r="448" customFormat="false" ht="15.75" hidden="false" customHeight="true" outlineLevel="0" collapsed="false">
      <c r="A448" s="21" t="str">
        <f aca="false">IF(Variants!$B449="","",LOWER(Variants!$B449))</f>
        <v>dsgn-chneck-artsakhikhachanakhsh</v>
      </c>
      <c r="B448" s="21" t="str">
        <f aca="false">IF(Variants!$B449="","",Variants!$C449&amp;IF(Variants!$F449="",""," "&amp;Variants!$F449))</f>
        <v>Artsakhi Khachanakhsh Chain Necklace</v>
      </c>
      <c r="C448" s="21" t="str">
        <f aca="false">IFERROR(IF(Variants!$B449="","","&lt;p&gt;"&amp;VLOOKUP(Variants!$B449,Designs!$A$3:$AP$165,9,FALSE())&amp;"&lt;/p&gt;"),"")</f>
        <v>&lt;p&gt;Cross-ornament patterns from Artsakh, carrying the carved cross-stone heritage of the region.&lt;/p&gt;</v>
      </c>
      <c r="D448" s="21" t="str">
        <f aca="false">IF(Variants!$B449="","","Karni Jewellery")</f>
        <v>Karni Jewellery</v>
      </c>
      <c r="E448" s="21" t="str">
        <f aca="false">IF(Variants!$B449="","","Apparel &amp; Accessories &gt; Jewelry")</f>
        <v>Apparel &amp; Accessories &gt; Jewelry</v>
      </c>
      <c r="F448" s="21" t="str">
        <f aca="false">IF(Variants!$D449="","",Variants!$D449)</f>
        <v>chain necklace</v>
      </c>
      <c r="G448" s="21" t="str">
        <f aca="false">IF(Variants!$E449="","",Variants!$E449&amp;", Armenian jewellery, handmade")</f>
        <v>Artsakhi Khachanakhsh, Armenian jewellery, handmade</v>
      </c>
      <c r="H448" s="21" t="str">
        <f aca="false">IF(Variants!$AD449="Active","TRUE","FALSE")</f>
        <v>TRUE</v>
      </c>
      <c r="I448" s="21" t="str">
        <f aca="false">IF(Variants!$H449="","","Color")</f>
        <v>Color</v>
      </c>
      <c r="J448" s="21" t="str">
        <f aca="false">IF(Variants!$H449="","",Variants!$H449)</f>
        <v>white-blue</v>
      </c>
      <c r="K448" s="21" t="str">
        <f aca="false">IF(Variants!$G449="","","Size")</f>
        <v/>
      </c>
      <c r="L448" s="21" t="str">
        <f aca="false">IF(Variants!$G449="","",Variants!$G449)</f>
        <v/>
      </c>
      <c r="M448" s="21" t="str">
        <f aca="false">Variants!$A449</f>
        <v>KARNI-CHNECK-ARTSAKHIKHACHANAKHSH-WHITE-BLUE</v>
      </c>
      <c r="N448" s="21" t="str">
        <f aca="false">IF(Variants!$X449="","",Variants!$X449)</f>
        <v/>
      </c>
      <c r="O448" s="21" t="n">
        <f aca="false">IF(Variants!$O449="","",Variants!$O449)</f>
        <v>0</v>
      </c>
      <c r="P448" s="18" t="n">
        <f aca="false">IF(Variants!$J449="","",Variants!$J449)</f>
        <v>52</v>
      </c>
      <c r="Q448" s="21" t="str">
        <f aca="false">IF(Variants!$U449="","",Variants!$U449)</f>
        <v/>
      </c>
      <c r="R448" s="21" t="str">
        <f aca="false">IF(Variants!$Y449="","",Variants!$Y449)</f>
        <v/>
      </c>
      <c r="S448" s="21" t="n">
        <f aca="false">IFERROR(VLOOKUP(Variants!$B449,Designs!$A$3:$AP$165,37,FALSE()),"")</f>
        <v>0</v>
      </c>
      <c r="T448" s="21" t="str">
        <f aca="false">IFERROR(VLOOKUP(Variants!$B449,Designs!$A$3:$AP$165,38,FALSE()),"")</f>
        <v>No</v>
      </c>
      <c r="U448" s="21" t="str">
        <f aca="false">IF(Variants!$AD449="Active","active","draft")</f>
        <v>active</v>
      </c>
    </row>
    <row r="449" customFormat="false" ht="15.75" hidden="false" customHeight="true" outlineLevel="0" collapsed="false">
      <c r="A449" s="21" t="str">
        <f aca="false">IF(Variants!$B450="","",LOWER(Variants!$B450))</f>
        <v>dsgn-chneck-artsakhikhachanakhsh</v>
      </c>
      <c r="B449" s="21" t="str">
        <f aca="false">IF(Variants!$B450="","",Variants!$C450&amp;IF(Variants!$F450="",""," "&amp;Variants!$F450))</f>
        <v>Artsakhi Khachanakhsh Chain Necklace</v>
      </c>
      <c r="C449" s="21" t="str">
        <f aca="false">IFERROR(IF(Variants!$B450="","","&lt;p&gt;"&amp;VLOOKUP(Variants!$B450,Designs!$A$3:$AP$165,9,FALSE())&amp;"&lt;/p&gt;"),"")</f>
        <v>&lt;p&gt;Cross-ornament patterns from Artsakh, carrying the carved cross-stone heritage of the region.&lt;/p&gt;</v>
      </c>
      <c r="D449" s="21" t="str">
        <f aca="false">IF(Variants!$B450="","","Karni Jewellery")</f>
        <v>Karni Jewellery</v>
      </c>
      <c r="E449" s="21" t="str">
        <f aca="false">IF(Variants!$B450="","","Apparel &amp; Accessories &gt; Jewelry")</f>
        <v>Apparel &amp; Accessories &gt; Jewelry</v>
      </c>
      <c r="F449" s="21" t="str">
        <f aca="false">IF(Variants!$D450="","",Variants!$D450)</f>
        <v>chain necklace</v>
      </c>
      <c r="G449" s="21" t="str">
        <f aca="false">IF(Variants!$E450="","",Variants!$E450&amp;", Armenian jewellery, handmade")</f>
        <v>Artsakhi Khachanakhsh, Armenian jewellery, handmade</v>
      </c>
      <c r="H449" s="21" t="str">
        <f aca="false">IF(Variants!$AD450="Active","TRUE","FALSE")</f>
        <v>TRUE</v>
      </c>
      <c r="I449" s="21" t="str">
        <f aca="false">IF(Variants!$H450="","","Color")</f>
        <v>Color</v>
      </c>
      <c r="J449" s="21" t="str">
        <f aca="false">IF(Variants!$H450="","",Variants!$H450)</f>
        <v>blue</v>
      </c>
      <c r="K449" s="21" t="str">
        <f aca="false">IF(Variants!$G450="","","Size")</f>
        <v/>
      </c>
      <c r="L449" s="21" t="str">
        <f aca="false">IF(Variants!$G450="","",Variants!$G450)</f>
        <v/>
      </c>
      <c r="M449" s="21" t="str">
        <f aca="false">Variants!$A450</f>
        <v>KARNI-CHNECK-ARTSAKHIKHACHANAKHSH-BLUE</v>
      </c>
      <c r="N449" s="21" t="str">
        <f aca="false">IF(Variants!$X450="","",Variants!$X450)</f>
        <v/>
      </c>
      <c r="O449" s="21" t="n">
        <f aca="false">IF(Variants!$O450="","",Variants!$O450)</f>
        <v>0</v>
      </c>
      <c r="P449" s="18" t="n">
        <f aca="false">IF(Variants!$J450="","",Variants!$J450)</f>
        <v>52</v>
      </c>
      <c r="Q449" s="21" t="str">
        <f aca="false">IF(Variants!$U450="","",Variants!$U450)</f>
        <v/>
      </c>
      <c r="R449" s="21" t="str">
        <f aca="false">IF(Variants!$Y450="","",Variants!$Y450)</f>
        <v/>
      </c>
      <c r="S449" s="21" t="n">
        <f aca="false">IFERROR(VLOOKUP(Variants!$B450,Designs!$A$3:$AP$165,37,FALSE()),"")</f>
        <v>0</v>
      </c>
      <c r="T449" s="21" t="str">
        <f aca="false">IFERROR(VLOOKUP(Variants!$B450,Designs!$A$3:$AP$165,38,FALSE()),"")</f>
        <v>No</v>
      </c>
      <c r="U449" s="21" t="str">
        <f aca="false">IF(Variants!$AD450="Active","active","draft")</f>
        <v>active</v>
      </c>
    </row>
    <row r="450" customFormat="false" ht="15.75" hidden="false" customHeight="true" outlineLevel="0" collapsed="false">
      <c r="A450" s="21" t="str">
        <f aca="false">IF(Variants!$B451="","",LOWER(Variants!$B451))</f>
        <v>dsgn-chneck-artsakhikhachanakhsh</v>
      </c>
      <c r="B450" s="21" t="str">
        <f aca="false">IF(Variants!$B451="","",Variants!$C451&amp;IF(Variants!$F451="",""," "&amp;Variants!$F451))</f>
        <v>Artsakhi Khachanakhsh Chain Necklace</v>
      </c>
      <c r="C450" s="21" t="str">
        <f aca="false">IFERROR(IF(Variants!$B451="","","&lt;p&gt;"&amp;VLOOKUP(Variants!$B451,Designs!$A$3:$AP$165,9,FALSE())&amp;"&lt;/p&gt;"),"")</f>
        <v>&lt;p&gt;Cross-ornament patterns from Artsakh, carrying the carved cross-stone heritage of the region.&lt;/p&gt;</v>
      </c>
      <c r="D450" s="21" t="str">
        <f aca="false">IF(Variants!$B451="","","Karni Jewellery")</f>
        <v>Karni Jewellery</v>
      </c>
      <c r="E450" s="21" t="str">
        <f aca="false">IF(Variants!$B451="","","Apparel &amp; Accessories &gt; Jewelry")</f>
        <v>Apparel &amp; Accessories &gt; Jewelry</v>
      </c>
      <c r="F450" s="21" t="str">
        <f aca="false">IF(Variants!$D451="","",Variants!$D451)</f>
        <v>chain necklace</v>
      </c>
      <c r="G450" s="21" t="str">
        <f aca="false">IF(Variants!$E451="","",Variants!$E451&amp;", Armenian jewellery, handmade")</f>
        <v>Artsakhi Khachanakhsh, Armenian jewellery, handmade</v>
      </c>
      <c r="H450" s="21" t="str">
        <f aca="false">IF(Variants!$AD451="Active","TRUE","FALSE")</f>
        <v>TRUE</v>
      </c>
      <c r="I450" s="21" t="str">
        <f aca="false">IF(Variants!$H451="","","Color")</f>
        <v>Color</v>
      </c>
      <c r="J450" s="21" t="str">
        <f aca="false">IF(Variants!$H451="","",Variants!$H451)</f>
        <v>bordeaux-green</v>
      </c>
      <c r="K450" s="21" t="str">
        <f aca="false">IF(Variants!$G451="","","Size")</f>
        <v/>
      </c>
      <c r="L450" s="21" t="str">
        <f aca="false">IF(Variants!$G451="","",Variants!$G451)</f>
        <v/>
      </c>
      <c r="M450" s="21" t="str">
        <f aca="false">Variants!$A451</f>
        <v>KARNI-CHNECK-ARTSAKHIKHACHANAKHSH-BORDEAUX-GREEN</v>
      </c>
      <c r="N450" s="21" t="str">
        <f aca="false">IF(Variants!$X451="","",Variants!$X451)</f>
        <v/>
      </c>
      <c r="O450" s="21" t="n">
        <f aca="false">IF(Variants!$O451="","",Variants!$O451)</f>
        <v>0</v>
      </c>
      <c r="P450" s="18" t="n">
        <f aca="false">IF(Variants!$J451="","",Variants!$J451)</f>
        <v>52</v>
      </c>
      <c r="Q450" s="21" t="str">
        <f aca="false">IF(Variants!$U451="","",Variants!$U451)</f>
        <v/>
      </c>
      <c r="R450" s="21" t="str">
        <f aca="false">IF(Variants!$Y451="","",Variants!$Y451)</f>
        <v/>
      </c>
      <c r="S450" s="21" t="n">
        <f aca="false">IFERROR(VLOOKUP(Variants!$B451,Designs!$A$3:$AP$165,37,FALSE()),"")</f>
        <v>0</v>
      </c>
      <c r="T450" s="21" t="str">
        <f aca="false">IFERROR(VLOOKUP(Variants!$B451,Designs!$A$3:$AP$165,38,FALSE()),"")</f>
        <v>No</v>
      </c>
      <c r="U450" s="21" t="str">
        <f aca="false">IF(Variants!$AD451="Active","active","draft")</f>
        <v>active</v>
      </c>
    </row>
    <row r="451" customFormat="false" ht="15.75" hidden="false" customHeight="true" outlineLevel="0" collapsed="false">
      <c r="A451" s="21" t="str">
        <f aca="false">IF(Variants!$B452="","",LOWER(Variants!$B452))</f>
        <v>dsgn-chbrac-artsakhikhachanakhsh</v>
      </c>
      <c r="B451" s="21" t="str">
        <f aca="false">IF(Variants!$B452="","",Variants!$C452&amp;IF(Variants!$F452="",""," "&amp;Variants!$F452))</f>
        <v>Artsakhi Khachanakhsh Chain Bracelet</v>
      </c>
      <c r="C451" s="21" t="str">
        <f aca="false">IFERROR(IF(Variants!$B452="","","&lt;p&gt;"&amp;VLOOKUP(Variants!$B452,Designs!$A$3:$AP$165,9,FALSE())&amp;"&lt;/p&gt;"),"")</f>
        <v>&lt;p&gt;Cross-ornament patterns from Artsakh, carrying the carved cross-stone heritage of the region.&lt;/p&gt;</v>
      </c>
      <c r="D451" s="21" t="str">
        <f aca="false">IF(Variants!$B452="","","Karni Jewellery")</f>
        <v>Karni Jewellery</v>
      </c>
      <c r="E451" s="21" t="str">
        <f aca="false">IF(Variants!$B452="","","Apparel &amp; Accessories &gt; Jewelry")</f>
        <v>Apparel &amp; Accessories &gt; Jewelry</v>
      </c>
      <c r="F451" s="21" t="str">
        <f aca="false">IF(Variants!$D452="","",Variants!$D452)</f>
        <v>chain bracelet</v>
      </c>
      <c r="G451" s="21" t="str">
        <f aca="false">IF(Variants!$E452="","",Variants!$E452&amp;", Armenian jewellery, handmade")</f>
        <v>Artsakhi Khachanakhsh, Armenian jewellery, handmade</v>
      </c>
      <c r="H451" s="21" t="str">
        <f aca="false">IF(Variants!$AD452="Active","TRUE","FALSE")</f>
        <v>TRUE</v>
      </c>
      <c r="I451" s="21" t="str">
        <f aca="false">IF(Variants!$H452="","","Color")</f>
        <v>Color</v>
      </c>
      <c r="J451" s="21" t="str">
        <f aca="false">IF(Variants!$H452="","",Variants!$H452)</f>
        <v>white</v>
      </c>
      <c r="K451" s="21" t="str">
        <f aca="false">IF(Variants!$G452="","","Size")</f>
        <v/>
      </c>
      <c r="L451" s="21" t="str">
        <f aca="false">IF(Variants!$G452="","",Variants!$G452)</f>
        <v/>
      </c>
      <c r="M451" s="21" t="str">
        <f aca="false">Variants!$A452</f>
        <v>KARNI-CHBRAC-ARTSAKHIKHACHANAKHSH-WHITE</v>
      </c>
      <c r="N451" s="21" t="str">
        <f aca="false">IF(Variants!$X452="","",Variants!$X452)</f>
        <v/>
      </c>
      <c r="O451" s="21" t="n">
        <f aca="false">IF(Variants!$O452="","",Variants!$O452)</f>
        <v>0</v>
      </c>
      <c r="P451" s="18" t="n">
        <f aca="false">IF(Variants!$J452="","",Variants!$J452)</f>
        <v>44.2</v>
      </c>
      <c r="Q451" s="21" t="str">
        <f aca="false">IF(Variants!$U452="","",Variants!$U452)</f>
        <v/>
      </c>
      <c r="R451" s="21" t="str">
        <f aca="false">IF(Variants!$Y452="","",Variants!$Y452)</f>
        <v/>
      </c>
      <c r="S451" s="21" t="n">
        <f aca="false">IFERROR(VLOOKUP(Variants!$B452,Designs!$A$3:$AP$165,37,FALSE()),"")</f>
        <v>0</v>
      </c>
      <c r="T451" s="21" t="str">
        <f aca="false">IFERROR(VLOOKUP(Variants!$B452,Designs!$A$3:$AP$165,38,FALSE()),"")</f>
        <v>No</v>
      </c>
      <c r="U451" s="21" t="str">
        <f aca="false">IF(Variants!$AD452="Active","active","draft")</f>
        <v>active</v>
      </c>
    </row>
    <row r="452" customFormat="false" ht="15.75" hidden="false" customHeight="true" outlineLevel="0" collapsed="false">
      <c r="A452" s="21" t="str">
        <f aca="false">IF(Variants!$B453="","",LOWER(Variants!$B453))</f>
        <v>dsgn-chbrac-artsakhikhachanakhsh</v>
      </c>
      <c r="B452" s="21" t="str">
        <f aca="false">IF(Variants!$B453="","",Variants!$C453&amp;IF(Variants!$F453="",""," "&amp;Variants!$F453))</f>
        <v>Artsakhi Khachanakhsh Chain Bracelet</v>
      </c>
      <c r="C452" s="21" t="str">
        <f aca="false">IFERROR(IF(Variants!$B453="","","&lt;p&gt;"&amp;VLOOKUP(Variants!$B453,Designs!$A$3:$AP$165,9,FALSE())&amp;"&lt;/p&gt;"),"")</f>
        <v>&lt;p&gt;Cross-ornament patterns from Artsakh, carrying the carved cross-stone heritage of the region.&lt;/p&gt;</v>
      </c>
      <c r="D452" s="21" t="str">
        <f aca="false">IF(Variants!$B453="","","Karni Jewellery")</f>
        <v>Karni Jewellery</v>
      </c>
      <c r="E452" s="21" t="str">
        <f aca="false">IF(Variants!$B453="","","Apparel &amp; Accessories &gt; Jewelry")</f>
        <v>Apparel &amp; Accessories &gt; Jewelry</v>
      </c>
      <c r="F452" s="21" t="str">
        <f aca="false">IF(Variants!$D453="","",Variants!$D453)</f>
        <v>chain bracelet</v>
      </c>
      <c r="G452" s="21" t="str">
        <f aca="false">IF(Variants!$E453="","",Variants!$E453&amp;", Armenian jewellery, handmade")</f>
        <v>Artsakhi Khachanakhsh, Armenian jewellery, handmade</v>
      </c>
      <c r="H452" s="21" t="str">
        <f aca="false">IF(Variants!$AD453="Active","TRUE","FALSE")</f>
        <v>TRUE</v>
      </c>
      <c r="I452" s="21" t="str">
        <f aca="false">IF(Variants!$H453="","","Color")</f>
        <v>Color</v>
      </c>
      <c r="J452" s="21" t="str">
        <f aca="false">IF(Variants!$H453="","",Variants!$H453)</f>
        <v>white-red</v>
      </c>
      <c r="K452" s="21" t="str">
        <f aca="false">IF(Variants!$G453="","","Size")</f>
        <v/>
      </c>
      <c r="L452" s="21" t="str">
        <f aca="false">IF(Variants!$G453="","",Variants!$G453)</f>
        <v/>
      </c>
      <c r="M452" s="21" t="str">
        <f aca="false">Variants!$A453</f>
        <v>KARNI-CHBRAC-ARTSAKHIKHACHANAKHSH-WHITE-RED</v>
      </c>
      <c r="N452" s="21" t="str">
        <f aca="false">IF(Variants!$X453="","",Variants!$X453)</f>
        <v/>
      </c>
      <c r="O452" s="21" t="n">
        <f aca="false">IF(Variants!$O453="","",Variants!$O453)</f>
        <v>0</v>
      </c>
      <c r="P452" s="18" t="n">
        <f aca="false">IF(Variants!$J453="","",Variants!$J453)</f>
        <v>44.2</v>
      </c>
      <c r="Q452" s="21" t="str">
        <f aca="false">IF(Variants!$U453="","",Variants!$U453)</f>
        <v/>
      </c>
      <c r="R452" s="21" t="str">
        <f aca="false">IF(Variants!$Y453="","",Variants!$Y453)</f>
        <v/>
      </c>
      <c r="S452" s="21" t="n">
        <f aca="false">IFERROR(VLOOKUP(Variants!$B453,Designs!$A$3:$AP$165,37,FALSE()),"")</f>
        <v>0</v>
      </c>
      <c r="T452" s="21" t="str">
        <f aca="false">IFERROR(VLOOKUP(Variants!$B453,Designs!$A$3:$AP$165,38,FALSE()),"")</f>
        <v>No</v>
      </c>
      <c r="U452" s="21" t="str">
        <f aca="false">IF(Variants!$AD453="Active","active","draft")</f>
        <v>active</v>
      </c>
    </row>
    <row r="453" customFormat="false" ht="15.75" hidden="false" customHeight="true" outlineLevel="0" collapsed="false">
      <c r="A453" s="21" t="str">
        <f aca="false">IF(Variants!$B454="","",LOWER(Variants!$B454))</f>
        <v>dsgn-chbrac-artsakhikhachanakhsh</v>
      </c>
      <c r="B453" s="21" t="str">
        <f aca="false">IF(Variants!$B454="","",Variants!$C454&amp;IF(Variants!$F454="",""," "&amp;Variants!$F454))</f>
        <v>Artsakhi Khachanakhsh Chain Bracelet</v>
      </c>
      <c r="C453" s="21" t="str">
        <f aca="false">IFERROR(IF(Variants!$B454="","","&lt;p&gt;"&amp;VLOOKUP(Variants!$B454,Designs!$A$3:$AP$165,9,FALSE())&amp;"&lt;/p&gt;"),"")</f>
        <v>&lt;p&gt;Cross-ornament patterns from Artsakh, carrying the carved cross-stone heritage of the region.&lt;/p&gt;</v>
      </c>
      <c r="D453" s="21" t="str">
        <f aca="false">IF(Variants!$B454="","","Karni Jewellery")</f>
        <v>Karni Jewellery</v>
      </c>
      <c r="E453" s="21" t="str">
        <f aca="false">IF(Variants!$B454="","","Apparel &amp; Accessories &gt; Jewelry")</f>
        <v>Apparel &amp; Accessories &gt; Jewelry</v>
      </c>
      <c r="F453" s="21" t="str">
        <f aca="false">IF(Variants!$D454="","",Variants!$D454)</f>
        <v>chain bracelet</v>
      </c>
      <c r="G453" s="21" t="str">
        <f aca="false">IF(Variants!$E454="","",Variants!$E454&amp;", Armenian jewellery, handmade")</f>
        <v>Artsakhi Khachanakhsh, Armenian jewellery, handmade</v>
      </c>
      <c r="H453" s="21" t="str">
        <f aca="false">IF(Variants!$AD454="Active","TRUE","FALSE")</f>
        <v>TRUE</v>
      </c>
      <c r="I453" s="21" t="str">
        <f aca="false">IF(Variants!$H454="","","Color")</f>
        <v>Color</v>
      </c>
      <c r="J453" s="21" t="str">
        <f aca="false">IF(Variants!$H454="","",Variants!$H454)</f>
        <v>white-blue</v>
      </c>
      <c r="K453" s="21" t="str">
        <f aca="false">IF(Variants!$G454="","","Size")</f>
        <v/>
      </c>
      <c r="L453" s="21" t="str">
        <f aca="false">IF(Variants!$G454="","",Variants!$G454)</f>
        <v/>
      </c>
      <c r="M453" s="21" t="str">
        <f aca="false">Variants!$A454</f>
        <v>KARNI-CHBRAC-ARTSAKHIKHACHANAKHSH-WHITE-BLUE</v>
      </c>
      <c r="N453" s="21" t="str">
        <f aca="false">IF(Variants!$X454="","",Variants!$X454)</f>
        <v/>
      </c>
      <c r="O453" s="21" t="n">
        <f aca="false">IF(Variants!$O454="","",Variants!$O454)</f>
        <v>0</v>
      </c>
      <c r="P453" s="18" t="n">
        <f aca="false">IF(Variants!$J454="","",Variants!$J454)</f>
        <v>44.2</v>
      </c>
      <c r="Q453" s="21" t="str">
        <f aca="false">IF(Variants!$U454="","",Variants!$U454)</f>
        <v/>
      </c>
      <c r="R453" s="21" t="str">
        <f aca="false">IF(Variants!$Y454="","",Variants!$Y454)</f>
        <v/>
      </c>
      <c r="S453" s="21" t="n">
        <f aca="false">IFERROR(VLOOKUP(Variants!$B454,Designs!$A$3:$AP$165,37,FALSE()),"")</f>
        <v>0</v>
      </c>
      <c r="T453" s="21" t="str">
        <f aca="false">IFERROR(VLOOKUP(Variants!$B454,Designs!$A$3:$AP$165,38,FALSE()),"")</f>
        <v>No</v>
      </c>
      <c r="U453" s="21" t="str">
        <f aca="false">IF(Variants!$AD454="Active","active","draft")</f>
        <v>active</v>
      </c>
    </row>
    <row r="454" customFormat="false" ht="15.75" hidden="false" customHeight="true" outlineLevel="0" collapsed="false">
      <c r="A454" s="21" t="str">
        <f aca="false">IF(Variants!$B455="","",LOWER(Variants!$B455))</f>
        <v>dsgn-chbrac-artsakhikhachanakhsh</v>
      </c>
      <c r="B454" s="21" t="str">
        <f aca="false">IF(Variants!$B455="","",Variants!$C455&amp;IF(Variants!$F455="",""," "&amp;Variants!$F455))</f>
        <v>Artsakhi Khachanakhsh Chain Bracelet</v>
      </c>
      <c r="C454" s="21" t="str">
        <f aca="false">IFERROR(IF(Variants!$B455="","","&lt;p&gt;"&amp;VLOOKUP(Variants!$B455,Designs!$A$3:$AP$165,9,FALSE())&amp;"&lt;/p&gt;"),"")</f>
        <v>&lt;p&gt;Cross-ornament patterns from Artsakh, carrying the carved cross-stone heritage of the region.&lt;/p&gt;</v>
      </c>
      <c r="D454" s="21" t="str">
        <f aca="false">IF(Variants!$B455="","","Karni Jewellery")</f>
        <v>Karni Jewellery</v>
      </c>
      <c r="E454" s="21" t="str">
        <f aca="false">IF(Variants!$B455="","","Apparel &amp; Accessories &gt; Jewelry")</f>
        <v>Apparel &amp; Accessories &gt; Jewelry</v>
      </c>
      <c r="F454" s="21" t="str">
        <f aca="false">IF(Variants!$D455="","",Variants!$D455)</f>
        <v>chain bracelet</v>
      </c>
      <c r="G454" s="21" t="str">
        <f aca="false">IF(Variants!$E455="","",Variants!$E455&amp;", Armenian jewellery, handmade")</f>
        <v>Artsakhi Khachanakhsh, Armenian jewellery, handmade</v>
      </c>
      <c r="H454" s="21" t="str">
        <f aca="false">IF(Variants!$AD455="Active","TRUE","FALSE")</f>
        <v>TRUE</v>
      </c>
      <c r="I454" s="21" t="str">
        <f aca="false">IF(Variants!$H455="","","Color")</f>
        <v>Color</v>
      </c>
      <c r="J454" s="21" t="str">
        <f aca="false">IF(Variants!$H455="","",Variants!$H455)</f>
        <v>blue</v>
      </c>
      <c r="K454" s="21" t="str">
        <f aca="false">IF(Variants!$G455="","","Size")</f>
        <v/>
      </c>
      <c r="L454" s="21" t="str">
        <f aca="false">IF(Variants!$G455="","",Variants!$G455)</f>
        <v/>
      </c>
      <c r="M454" s="21" t="str">
        <f aca="false">Variants!$A455</f>
        <v>KARNI-CHBRAC-ARTSAKHIKHACHANAKHSH-BLUE</v>
      </c>
      <c r="N454" s="21" t="str">
        <f aca="false">IF(Variants!$X455="","",Variants!$X455)</f>
        <v/>
      </c>
      <c r="O454" s="21" t="n">
        <f aca="false">IF(Variants!$O455="","",Variants!$O455)</f>
        <v>0</v>
      </c>
      <c r="P454" s="18" t="n">
        <f aca="false">IF(Variants!$J455="","",Variants!$J455)</f>
        <v>44.2</v>
      </c>
      <c r="Q454" s="21" t="str">
        <f aca="false">IF(Variants!$U455="","",Variants!$U455)</f>
        <v/>
      </c>
      <c r="R454" s="21" t="str">
        <f aca="false">IF(Variants!$Y455="","",Variants!$Y455)</f>
        <v/>
      </c>
      <c r="S454" s="21" t="n">
        <f aca="false">IFERROR(VLOOKUP(Variants!$B455,Designs!$A$3:$AP$165,37,FALSE()),"")</f>
        <v>0</v>
      </c>
      <c r="T454" s="21" t="str">
        <f aca="false">IFERROR(VLOOKUP(Variants!$B455,Designs!$A$3:$AP$165,38,FALSE()),"")</f>
        <v>No</v>
      </c>
      <c r="U454" s="21" t="str">
        <f aca="false">IF(Variants!$AD455="Active","active","draft")</f>
        <v>active</v>
      </c>
    </row>
    <row r="455" customFormat="false" ht="15.75" hidden="false" customHeight="true" outlineLevel="0" collapsed="false">
      <c r="A455" s="21" t="str">
        <f aca="false">IF(Variants!$B456="","",LOWER(Variants!$B456))</f>
        <v>dsgn-chbrac-artsakhikhachanakhsh</v>
      </c>
      <c r="B455" s="21" t="str">
        <f aca="false">IF(Variants!$B456="","",Variants!$C456&amp;IF(Variants!$F456="",""," "&amp;Variants!$F456))</f>
        <v>Artsakhi Khachanakhsh Chain Bracelet</v>
      </c>
      <c r="C455" s="21" t="str">
        <f aca="false">IFERROR(IF(Variants!$B456="","","&lt;p&gt;"&amp;VLOOKUP(Variants!$B456,Designs!$A$3:$AP$165,9,FALSE())&amp;"&lt;/p&gt;"),"")</f>
        <v>&lt;p&gt;Cross-ornament patterns from Artsakh, carrying the carved cross-stone heritage of the region.&lt;/p&gt;</v>
      </c>
      <c r="D455" s="21" t="str">
        <f aca="false">IF(Variants!$B456="","","Karni Jewellery")</f>
        <v>Karni Jewellery</v>
      </c>
      <c r="E455" s="21" t="str">
        <f aca="false">IF(Variants!$B456="","","Apparel &amp; Accessories &gt; Jewelry")</f>
        <v>Apparel &amp; Accessories &gt; Jewelry</v>
      </c>
      <c r="F455" s="21" t="str">
        <f aca="false">IF(Variants!$D456="","",Variants!$D456)</f>
        <v>chain bracelet</v>
      </c>
      <c r="G455" s="21" t="str">
        <f aca="false">IF(Variants!$E456="","",Variants!$E456&amp;", Armenian jewellery, handmade")</f>
        <v>Artsakhi Khachanakhsh, Armenian jewellery, handmade</v>
      </c>
      <c r="H455" s="21" t="str">
        <f aca="false">IF(Variants!$AD456="Active","TRUE","FALSE")</f>
        <v>TRUE</v>
      </c>
      <c r="I455" s="21" t="str">
        <f aca="false">IF(Variants!$H456="","","Color")</f>
        <v>Color</v>
      </c>
      <c r="J455" s="21" t="str">
        <f aca="false">IF(Variants!$H456="","",Variants!$H456)</f>
        <v>bordeaux-green</v>
      </c>
      <c r="K455" s="21" t="str">
        <f aca="false">IF(Variants!$G456="","","Size")</f>
        <v/>
      </c>
      <c r="L455" s="21" t="str">
        <f aca="false">IF(Variants!$G456="","",Variants!$G456)</f>
        <v/>
      </c>
      <c r="M455" s="21" t="str">
        <f aca="false">Variants!$A456</f>
        <v>KARNI-CHBRAC-ARTSAKHIKHACHANAKHSH-BORDEAUX-GREEN</v>
      </c>
      <c r="N455" s="21" t="str">
        <f aca="false">IF(Variants!$X456="","",Variants!$X456)</f>
        <v/>
      </c>
      <c r="O455" s="21" t="n">
        <f aca="false">IF(Variants!$O456="","",Variants!$O456)</f>
        <v>0</v>
      </c>
      <c r="P455" s="18" t="n">
        <f aca="false">IF(Variants!$J456="","",Variants!$J456)</f>
        <v>44.2</v>
      </c>
      <c r="Q455" s="21" t="str">
        <f aca="false">IF(Variants!$U456="","",Variants!$U456)</f>
        <v/>
      </c>
      <c r="R455" s="21" t="str">
        <f aca="false">IF(Variants!$Y456="","",Variants!$Y456)</f>
        <v/>
      </c>
      <c r="S455" s="21" t="n">
        <f aca="false">IFERROR(VLOOKUP(Variants!$B456,Designs!$A$3:$AP$165,37,FALSE()),"")</f>
        <v>0</v>
      </c>
      <c r="T455" s="21" t="str">
        <f aca="false">IFERROR(VLOOKUP(Variants!$B456,Designs!$A$3:$AP$165,38,FALSE()),"")</f>
        <v>No</v>
      </c>
      <c r="U455" s="21" t="str">
        <f aca="false">IF(Variants!$AD456="Active","active","draft")</f>
        <v>active</v>
      </c>
    </row>
    <row r="456" customFormat="false" ht="15.75" hidden="false" customHeight="true" outlineLevel="0" collapsed="false">
      <c r="A456" s="21" t="str">
        <f aca="false">IF(Variants!$B457="","",LOWER(Variants!$B457))</f>
        <v>dsgn-chbrac-marash</v>
      </c>
      <c r="B456" s="21" t="str">
        <f aca="false">IF(Variants!$B457="","",Variants!$C457&amp;IF(Variants!$F457="",""," "&amp;Variants!$F457))</f>
        <v>Marash Chain Bracelet</v>
      </c>
      <c r="C456" s="21" t="str">
        <f aca="false">IFERROR(IF(Variants!$B457="","","&lt;p&gt;"&amp;VLOOKUP(Variants!$B457,Designs!$A$3:$AP$165,9,FALSE())&amp;"&lt;/p&gt;"),"")</f>
        <v>&lt;p&gt;Marash-work is a distinctive Armenian embroidery style from Cilician Marash, known for its interlaced geometric patterns.&lt;/p&gt;</v>
      </c>
      <c r="D456" s="21" t="str">
        <f aca="false">IF(Variants!$B457="","","Karni Jewellery")</f>
        <v>Karni Jewellery</v>
      </c>
      <c r="E456" s="21" t="str">
        <f aca="false">IF(Variants!$B457="","","Apparel &amp; Accessories &gt; Jewelry")</f>
        <v>Apparel &amp; Accessories &gt; Jewelry</v>
      </c>
      <c r="F456" s="21" t="str">
        <f aca="false">IF(Variants!$D457="","",Variants!$D457)</f>
        <v>chain bracelet</v>
      </c>
      <c r="G456" s="21" t="str">
        <f aca="false">IF(Variants!$E457="","",Variants!$E457&amp;", Armenian jewellery, handmade")</f>
        <v>Marash, Armenian jewellery, handmade</v>
      </c>
      <c r="H456" s="21" t="str">
        <f aca="false">IF(Variants!$AD457="Active","TRUE","FALSE")</f>
        <v>TRUE</v>
      </c>
      <c r="I456" s="21" t="str">
        <f aca="false">IF(Variants!$H457="","","Color")</f>
        <v>Color</v>
      </c>
      <c r="J456" s="21" t="str">
        <f aca="false">IF(Variants!$H457="","",Variants!$H457)</f>
        <v>blue</v>
      </c>
      <c r="K456" s="21" t="str">
        <f aca="false">IF(Variants!$G457="","","Size")</f>
        <v/>
      </c>
      <c r="L456" s="21" t="str">
        <f aca="false">IF(Variants!$G457="","",Variants!$G457)</f>
        <v/>
      </c>
      <c r="M456" s="21" t="str">
        <f aca="false">Variants!$A457</f>
        <v>KARNI-CHBRAC-MARASH-BLUE</v>
      </c>
      <c r="N456" s="21" t="str">
        <f aca="false">IF(Variants!$X457="","",Variants!$X457)</f>
        <v/>
      </c>
      <c r="O456" s="21" t="n">
        <f aca="false">IF(Variants!$O457="","",Variants!$O457)</f>
        <v>0</v>
      </c>
      <c r="P456" s="18" t="n">
        <f aca="false">IF(Variants!$J457="","",Variants!$J457)</f>
        <v>44.2</v>
      </c>
      <c r="Q456" s="21" t="str">
        <f aca="false">IF(Variants!$U457="","",Variants!$U457)</f>
        <v/>
      </c>
      <c r="R456" s="21" t="str">
        <f aca="false">IF(Variants!$Y457="","",Variants!$Y457)</f>
        <v/>
      </c>
      <c r="S456" s="21" t="n">
        <f aca="false">IFERROR(VLOOKUP(Variants!$B457,Designs!$A$3:$AP$165,37,FALSE()),"")</f>
        <v>0</v>
      </c>
      <c r="T456" s="21" t="str">
        <f aca="false">IFERROR(VLOOKUP(Variants!$B457,Designs!$A$3:$AP$165,38,FALSE()),"")</f>
        <v>No</v>
      </c>
      <c r="U456" s="21" t="str">
        <f aca="false">IF(Variants!$AD457="Active","active","draft")</f>
        <v>active</v>
      </c>
    </row>
    <row r="457" customFormat="false" ht="15.75" hidden="false" customHeight="true" outlineLevel="0" collapsed="false">
      <c r="A457" s="21" t="str">
        <f aca="false">IF(Variants!$B458="","",LOWER(Variants!$B458))</f>
        <v>dsgn-chbrac-marash</v>
      </c>
      <c r="B457" s="21" t="str">
        <f aca="false">IF(Variants!$B458="","",Variants!$C458&amp;IF(Variants!$F458="",""," "&amp;Variants!$F458))</f>
        <v>Marash Chain Bracelet</v>
      </c>
      <c r="C457" s="21" t="str">
        <f aca="false">IFERROR(IF(Variants!$B458="","","&lt;p&gt;"&amp;VLOOKUP(Variants!$B458,Designs!$A$3:$AP$165,9,FALSE())&amp;"&lt;/p&gt;"),"")</f>
        <v>&lt;p&gt;Marash-work is a distinctive Armenian embroidery style from Cilician Marash, known for its interlaced geometric patterns.&lt;/p&gt;</v>
      </c>
      <c r="D457" s="21" t="str">
        <f aca="false">IF(Variants!$B458="","","Karni Jewellery")</f>
        <v>Karni Jewellery</v>
      </c>
      <c r="E457" s="21" t="str">
        <f aca="false">IF(Variants!$B458="","","Apparel &amp; Accessories &gt; Jewelry")</f>
        <v>Apparel &amp; Accessories &gt; Jewelry</v>
      </c>
      <c r="F457" s="21" t="str">
        <f aca="false">IF(Variants!$D458="","",Variants!$D458)</f>
        <v>chain bracelet</v>
      </c>
      <c r="G457" s="21" t="str">
        <f aca="false">IF(Variants!$E458="","",Variants!$E458&amp;", Armenian jewellery, handmade")</f>
        <v>Marash, Armenian jewellery, handmade</v>
      </c>
      <c r="H457" s="21" t="str">
        <f aca="false">IF(Variants!$AD458="Active","TRUE","FALSE")</f>
        <v>TRUE</v>
      </c>
      <c r="I457" s="21" t="str">
        <f aca="false">IF(Variants!$H458="","","Color")</f>
        <v>Color</v>
      </c>
      <c r="J457" s="21" t="str">
        <f aca="false">IF(Variants!$H458="","",Variants!$H458)</f>
        <v>white</v>
      </c>
      <c r="K457" s="21" t="str">
        <f aca="false">IF(Variants!$G458="","","Size")</f>
        <v/>
      </c>
      <c r="L457" s="21" t="str">
        <f aca="false">IF(Variants!$G458="","",Variants!$G458)</f>
        <v/>
      </c>
      <c r="M457" s="21" t="str">
        <f aca="false">Variants!$A458</f>
        <v>KARNI-CHBRAC-MARASH-WHITE</v>
      </c>
      <c r="N457" s="21" t="str">
        <f aca="false">IF(Variants!$X458="","",Variants!$X458)</f>
        <v/>
      </c>
      <c r="O457" s="21" t="n">
        <f aca="false">IF(Variants!$O458="","",Variants!$O458)</f>
        <v>0</v>
      </c>
      <c r="P457" s="18" t="n">
        <f aca="false">IF(Variants!$J458="","",Variants!$J458)</f>
        <v>44.2</v>
      </c>
      <c r="Q457" s="21" t="str">
        <f aca="false">IF(Variants!$U458="","",Variants!$U458)</f>
        <v/>
      </c>
      <c r="R457" s="21" t="str">
        <f aca="false">IF(Variants!$Y458="","",Variants!$Y458)</f>
        <v/>
      </c>
      <c r="S457" s="21" t="n">
        <f aca="false">IFERROR(VLOOKUP(Variants!$B458,Designs!$A$3:$AP$165,37,FALSE()),"")</f>
        <v>0</v>
      </c>
      <c r="T457" s="21" t="str">
        <f aca="false">IFERROR(VLOOKUP(Variants!$B458,Designs!$A$3:$AP$165,38,FALSE()),"")</f>
        <v>No</v>
      </c>
      <c r="U457" s="21" t="str">
        <f aca="false">IF(Variants!$AD458="Active","active","draft")</f>
        <v>active</v>
      </c>
    </row>
    <row r="458" customFormat="false" ht="15.75" hidden="false" customHeight="true" outlineLevel="0" collapsed="false">
      <c r="A458" s="21" t="str">
        <f aca="false">IF(Variants!$B459="","",LOWER(Variants!$B459))</f>
        <v>dsgn-chbrac-marash</v>
      </c>
      <c r="B458" s="21" t="str">
        <f aca="false">IF(Variants!$B459="","",Variants!$C459&amp;IF(Variants!$F459="",""," "&amp;Variants!$F459))</f>
        <v>Marash Chain Bracelet</v>
      </c>
      <c r="C458" s="21" t="str">
        <f aca="false">IFERROR(IF(Variants!$B459="","","&lt;p&gt;"&amp;VLOOKUP(Variants!$B459,Designs!$A$3:$AP$165,9,FALSE())&amp;"&lt;/p&gt;"),"")</f>
        <v>&lt;p&gt;Marash-work is a distinctive Armenian embroidery style from Cilician Marash, known for its interlaced geometric patterns.&lt;/p&gt;</v>
      </c>
      <c r="D458" s="21" t="str">
        <f aca="false">IF(Variants!$B459="","","Karni Jewellery")</f>
        <v>Karni Jewellery</v>
      </c>
      <c r="E458" s="21" t="str">
        <f aca="false">IF(Variants!$B459="","","Apparel &amp; Accessories &gt; Jewelry")</f>
        <v>Apparel &amp; Accessories &gt; Jewelry</v>
      </c>
      <c r="F458" s="21" t="str">
        <f aca="false">IF(Variants!$D459="","",Variants!$D459)</f>
        <v>chain bracelet</v>
      </c>
      <c r="G458" s="21" t="str">
        <f aca="false">IF(Variants!$E459="","",Variants!$E459&amp;", Armenian jewellery, handmade")</f>
        <v>Marash, Armenian jewellery, handmade</v>
      </c>
      <c r="H458" s="21" t="str">
        <f aca="false">IF(Variants!$AD459="Active","TRUE","FALSE")</f>
        <v>TRUE</v>
      </c>
      <c r="I458" s="21" t="str">
        <f aca="false">IF(Variants!$H459="","","Color")</f>
        <v>Color</v>
      </c>
      <c r="J458" s="21" t="str">
        <f aca="false">IF(Variants!$H459="","",Variants!$H459)</f>
        <v>bordeaux</v>
      </c>
      <c r="K458" s="21" t="str">
        <f aca="false">IF(Variants!$G459="","","Size")</f>
        <v/>
      </c>
      <c r="L458" s="21" t="str">
        <f aca="false">IF(Variants!$G459="","",Variants!$G459)</f>
        <v/>
      </c>
      <c r="M458" s="21" t="str">
        <f aca="false">Variants!$A459</f>
        <v>KARNI-CHBRAC-MARASH-BORDEAUX</v>
      </c>
      <c r="N458" s="21" t="str">
        <f aca="false">IF(Variants!$X459="","",Variants!$X459)</f>
        <v/>
      </c>
      <c r="O458" s="21" t="n">
        <f aca="false">IF(Variants!$O459="","",Variants!$O459)</f>
        <v>0</v>
      </c>
      <c r="P458" s="18" t="n">
        <f aca="false">IF(Variants!$J459="","",Variants!$J459)</f>
        <v>44.2</v>
      </c>
      <c r="Q458" s="21" t="str">
        <f aca="false">IF(Variants!$U459="","",Variants!$U459)</f>
        <v/>
      </c>
      <c r="R458" s="21" t="str">
        <f aca="false">IF(Variants!$Y459="","",Variants!$Y459)</f>
        <v/>
      </c>
      <c r="S458" s="21" t="n">
        <f aca="false">IFERROR(VLOOKUP(Variants!$B459,Designs!$A$3:$AP$165,37,FALSE()),"")</f>
        <v>0</v>
      </c>
      <c r="T458" s="21" t="str">
        <f aca="false">IFERROR(VLOOKUP(Variants!$B459,Designs!$A$3:$AP$165,38,FALSE()),"")</f>
        <v>No</v>
      </c>
      <c r="U458" s="21" t="str">
        <f aca="false">IF(Variants!$AD459="Active","active","draft")</f>
        <v>active</v>
      </c>
    </row>
    <row r="459" customFormat="false" ht="15.75" hidden="false" customHeight="true" outlineLevel="0" collapsed="false">
      <c r="A459" s="21" t="str">
        <f aca="false">IF(Variants!$B460="","",LOWER(Variants!$B460))</f>
        <v>dsgn-chbrac-marash</v>
      </c>
      <c r="B459" s="21" t="str">
        <f aca="false">IF(Variants!$B460="","",Variants!$C460&amp;IF(Variants!$F460="",""," "&amp;Variants!$F460))</f>
        <v>Marash Chain Bracelet</v>
      </c>
      <c r="C459" s="21" t="str">
        <f aca="false">IFERROR(IF(Variants!$B460="","","&lt;p&gt;"&amp;VLOOKUP(Variants!$B460,Designs!$A$3:$AP$165,9,FALSE())&amp;"&lt;/p&gt;"),"")</f>
        <v>&lt;p&gt;Marash-work is a distinctive Armenian embroidery style from Cilician Marash, known for its interlaced geometric patterns.&lt;/p&gt;</v>
      </c>
      <c r="D459" s="21" t="str">
        <f aca="false">IF(Variants!$B460="","","Karni Jewellery")</f>
        <v>Karni Jewellery</v>
      </c>
      <c r="E459" s="21" t="str">
        <f aca="false">IF(Variants!$B460="","","Apparel &amp; Accessories &gt; Jewelry")</f>
        <v>Apparel &amp; Accessories &gt; Jewelry</v>
      </c>
      <c r="F459" s="21" t="str">
        <f aca="false">IF(Variants!$D460="","",Variants!$D460)</f>
        <v>chain bracelet</v>
      </c>
      <c r="G459" s="21" t="str">
        <f aca="false">IF(Variants!$E460="","",Variants!$E460&amp;", Armenian jewellery, handmade")</f>
        <v>Marash, Armenian jewellery, handmade</v>
      </c>
      <c r="H459" s="21" t="str">
        <f aca="false">IF(Variants!$AD460="Active","TRUE","FALSE")</f>
        <v>TRUE</v>
      </c>
      <c r="I459" s="21" t="str">
        <f aca="false">IF(Variants!$H460="","","Color")</f>
        <v>Color</v>
      </c>
      <c r="J459" s="21" t="str">
        <f aca="false">IF(Variants!$H460="","",Variants!$H460)</f>
        <v>turquoise</v>
      </c>
      <c r="K459" s="21" t="str">
        <f aca="false">IF(Variants!$G460="","","Size")</f>
        <v/>
      </c>
      <c r="L459" s="21" t="str">
        <f aca="false">IF(Variants!$G460="","",Variants!$G460)</f>
        <v/>
      </c>
      <c r="M459" s="21" t="str">
        <f aca="false">Variants!$A460</f>
        <v>KARNI-CHBRAC-MARASH-TURQUOISE</v>
      </c>
      <c r="N459" s="21" t="str">
        <f aca="false">IF(Variants!$X460="","",Variants!$X460)</f>
        <v/>
      </c>
      <c r="O459" s="21" t="n">
        <f aca="false">IF(Variants!$O460="","",Variants!$O460)</f>
        <v>0</v>
      </c>
      <c r="P459" s="18" t="n">
        <f aca="false">IF(Variants!$J460="","",Variants!$J460)</f>
        <v>44.2</v>
      </c>
      <c r="Q459" s="21" t="str">
        <f aca="false">IF(Variants!$U460="","",Variants!$U460)</f>
        <v/>
      </c>
      <c r="R459" s="21" t="str">
        <f aca="false">IF(Variants!$Y460="","",Variants!$Y460)</f>
        <v/>
      </c>
      <c r="S459" s="21" t="n">
        <f aca="false">IFERROR(VLOOKUP(Variants!$B460,Designs!$A$3:$AP$165,37,FALSE()),"")</f>
        <v>0</v>
      </c>
      <c r="T459" s="21" t="str">
        <f aca="false">IFERROR(VLOOKUP(Variants!$B460,Designs!$A$3:$AP$165,38,FALSE()),"")</f>
        <v>No</v>
      </c>
      <c r="U459" s="21" t="str">
        <f aca="false">IF(Variants!$AD460="Active","active","draft")</f>
        <v>active</v>
      </c>
    </row>
    <row r="460" customFormat="false" ht="15.75" hidden="false" customHeight="true" outlineLevel="0" collapsed="false">
      <c r="A460" s="21" t="str">
        <f aca="false">IF(Variants!$B461="","",LOWER(Variants!$B461))</f>
        <v>dsgn-chbrac-marash</v>
      </c>
      <c r="B460" s="21" t="str">
        <f aca="false">IF(Variants!$B461="","",Variants!$C461&amp;IF(Variants!$F461="",""," "&amp;Variants!$F461))</f>
        <v>Marash Chain Bracelet</v>
      </c>
      <c r="C460" s="21" t="str">
        <f aca="false">IFERROR(IF(Variants!$B461="","","&lt;p&gt;"&amp;VLOOKUP(Variants!$B461,Designs!$A$3:$AP$165,9,FALSE())&amp;"&lt;/p&gt;"),"")</f>
        <v>&lt;p&gt;Marash-work is a distinctive Armenian embroidery style from Cilician Marash, known for its interlaced geometric patterns.&lt;/p&gt;</v>
      </c>
      <c r="D460" s="21" t="str">
        <f aca="false">IF(Variants!$B461="","","Karni Jewellery")</f>
        <v>Karni Jewellery</v>
      </c>
      <c r="E460" s="21" t="str">
        <f aca="false">IF(Variants!$B461="","","Apparel &amp; Accessories &gt; Jewelry")</f>
        <v>Apparel &amp; Accessories &gt; Jewelry</v>
      </c>
      <c r="F460" s="21" t="str">
        <f aca="false">IF(Variants!$D461="","",Variants!$D461)</f>
        <v>chain bracelet</v>
      </c>
      <c r="G460" s="21" t="str">
        <f aca="false">IF(Variants!$E461="","",Variants!$E461&amp;", Armenian jewellery, handmade")</f>
        <v>Marash, Armenian jewellery, handmade</v>
      </c>
      <c r="H460" s="21" t="str">
        <f aca="false">IF(Variants!$AD461="Active","TRUE","FALSE")</f>
        <v>TRUE</v>
      </c>
      <c r="I460" s="21" t="str">
        <f aca="false">IF(Variants!$H461="","","Color")</f>
        <v>Color</v>
      </c>
      <c r="J460" s="21" t="str">
        <f aca="false">IF(Variants!$H461="","",Variants!$H461)</f>
        <v>green</v>
      </c>
      <c r="K460" s="21" t="str">
        <f aca="false">IF(Variants!$G461="","","Size")</f>
        <v/>
      </c>
      <c r="L460" s="21" t="str">
        <f aca="false">IF(Variants!$G461="","",Variants!$G461)</f>
        <v/>
      </c>
      <c r="M460" s="21" t="str">
        <f aca="false">Variants!$A461</f>
        <v>KARNI-CHBRAC-MARASH-GREEN</v>
      </c>
      <c r="N460" s="21" t="str">
        <f aca="false">IF(Variants!$X461="","",Variants!$X461)</f>
        <v/>
      </c>
      <c r="O460" s="21" t="n">
        <f aca="false">IF(Variants!$O461="","",Variants!$O461)</f>
        <v>0</v>
      </c>
      <c r="P460" s="18" t="n">
        <f aca="false">IF(Variants!$J461="","",Variants!$J461)</f>
        <v>44.2</v>
      </c>
      <c r="Q460" s="21" t="str">
        <f aca="false">IF(Variants!$U461="","",Variants!$U461)</f>
        <v/>
      </c>
      <c r="R460" s="21" t="str">
        <f aca="false">IF(Variants!$Y461="","",Variants!$Y461)</f>
        <v/>
      </c>
      <c r="S460" s="21" t="n">
        <f aca="false">IFERROR(VLOOKUP(Variants!$B461,Designs!$A$3:$AP$165,37,FALSE()),"")</f>
        <v>0</v>
      </c>
      <c r="T460" s="21" t="str">
        <f aca="false">IFERROR(VLOOKUP(Variants!$B461,Designs!$A$3:$AP$165,38,FALSE()),"")</f>
        <v>No</v>
      </c>
      <c r="U460" s="21" t="str">
        <f aca="false">IF(Variants!$AD461="Active","active","draft")</f>
        <v>active</v>
      </c>
    </row>
    <row r="461" customFormat="false" ht="15.75" hidden="false" customHeight="true" outlineLevel="0" collapsed="false">
      <c r="A461" s="21" t="str">
        <f aca="false">IF(Variants!$B462="","",LOWER(Variants!$B462))</f>
        <v>dsgn-chbrac-van</v>
      </c>
      <c r="B461" s="21" t="str">
        <f aca="false">IF(Variants!$B462="","",Variants!$C462&amp;IF(Variants!$F462="",""," "&amp;Variants!$F462))</f>
        <v>Van Chain Bracelet</v>
      </c>
      <c r="C461" s="21" t="str">
        <f aca="false">IFERROR(IF(Variants!$B462="","","&lt;p&gt;"&amp;VLOOKUP(Variants!$B462,Designs!$A$3:$AP$165,9,FALSE())&amp;"&lt;/p&gt;"),"")</f>
        <v>&lt;p&gt;Motifs from the Van/Vaspurakan region, echoing the ornament of the Lake Van heartland of historic Armenia.&lt;/p&gt;</v>
      </c>
      <c r="D461" s="21" t="str">
        <f aca="false">IF(Variants!$B462="","","Karni Jewellery")</f>
        <v>Karni Jewellery</v>
      </c>
      <c r="E461" s="21" t="str">
        <f aca="false">IF(Variants!$B462="","","Apparel &amp; Accessories &gt; Jewelry")</f>
        <v>Apparel &amp; Accessories &gt; Jewelry</v>
      </c>
      <c r="F461" s="21" t="str">
        <f aca="false">IF(Variants!$D462="","",Variants!$D462)</f>
        <v>chain bracelet</v>
      </c>
      <c r="G461" s="21" t="str">
        <f aca="false">IF(Variants!$E462="","",Variants!$E462&amp;", Armenian jewellery, handmade")</f>
        <v>Van, Armenian jewellery, handmade</v>
      </c>
      <c r="H461" s="21" t="str">
        <f aca="false">IF(Variants!$AD462="Active","TRUE","FALSE")</f>
        <v>TRUE</v>
      </c>
      <c r="I461" s="21" t="str">
        <f aca="false">IF(Variants!$H462="","","Color")</f>
        <v>Color</v>
      </c>
      <c r="J461" s="21" t="str">
        <f aca="false">IF(Variants!$H462="","",Variants!$H462)</f>
        <v>blue</v>
      </c>
      <c r="K461" s="21" t="str">
        <f aca="false">IF(Variants!$G462="","","Size")</f>
        <v/>
      </c>
      <c r="L461" s="21" t="str">
        <f aca="false">IF(Variants!$G462="","",Variants!$G462)</f>
        <v/>
      </c>
      <c r="M461" s="21" t="str">
        <f aca="false">Variants!$A462</f>
        <v>KARNI-CHBRAC-VAN-BLUE</v>
      </c>
      <c r="N461" s="21" t="str">
        <f aca="false">IF(Variants!$X462="","",Variants!$X462)</f>
        <v/>
      </c>
      <c r="O461" s="21" t="n">
        <f aca="false">IF(Variants!$O462="","",Variants!$O462)</f>
        <v>0</v>
      </c>
      <c r="P461" s="18" t="n">
        <f aca="false">IF(Variants!$J462="","",Variants!$J462)</f>
        <v>44.2</v>
      </c>
      <c r="Q461" s="21" t="str">
        <f aca="false">IF(Variants!$U462="","",Variants!$U462)</f>
        <v/>
      </c>
      <c r="R461" s="21" t="str">
        <f aca="false">IF(Variants!$Y462="","",Variants!$Y462)</f>
        <v/>
      </c>
      <c r="S461" s="21" t="n">
        <f aca="false">IFERROR(VLOOKUP(Variants!$B462,Designs!$A$3:$AP$165,37,FALSE()),"")</f>
        <v>0</v>
      </c>
      <c r="T461" s="21" t="str">
        <f aca="false">IFERROR(VLOOKUP(Variants!$B462,Designs!$A$3:$AP$165,38,FALSE()),"")</f>
        <v>No</v>
      </c>
      <c r="U461" s="21" t="str">
        <f aca="false">IF(Variants!$AD462="Active","active","draft")</f>
        <v>active</v>
      </c>
    </row>
    <row r="462" customFormat="false" ht="15.75" hidden="false" customHeight="true" outlineLevel="0" collapsed="false">
      <c r="A462" s="21" t="str">
        <f aca="false">IF(Variants!$B463="","",LOWER(Variants!$B463))</f>
        <v>dsgn-chbrac-van</v>
      </c>
      <c r="B462" s="21" t="str">
        <f aca="false">IF(Variants!$B463="","",Variants!$C463&amp;IF(Variants!$F463="",""," "&amp;Variants!$F463))</f>
        <v>Van Chain Bracelet</v>
      </c>
      <c r="C462" s="21" t="str">
        <f aca="false">IFERROR(IF(Variants!$B463="","","&lt;p&gt;"&amp;VLOOKUP(Variants!$B463,Designs!$A$3:$AP$165,9,FALSE())&amp;"&lt;/p&gt;"),"")</f>
        <v>&lt;p&gt;Motifs from the Van/Vaspurakan region, echoing the ornament of the Lake Van heartland of historic Armenia.&lt;/p&gt;</v>
      </c>
      <c r="D462" s="21" t="str">
        <f aca="false">IF(Variants!$B463="","","Karni Jewellery")</f>
        <v>Karni Jewellery</v>
      </c>
      <c r="E462" s="21" t="str">
        <f aca="false">IF(Variants!$B463="","","Apparel &amp; Accessories &gt; Jewelry")</f>
        <v>Apparel &amp; Accessories &gt; Jewelry</v>
      </c>
      <c r="F462" s="21" t="str">
        <f aca="false">IF(Variants!$D463="","",Variants!$D463)</f>
        <v>chain bracelet</v>
      </c>
      <c r="G462" s="21" t="str">
        <f aca="false">IF(Variants!$E463="","",Variants!$E463&amp;", Armenian jewellery, handmade")</f>
        <v>Van, Armenian jewellery, handmade</v>
      </c>
      <c r="H462" s="21" t="str">
        <f aca="false">IF(Variants!$AD463="Active","TRUE","FALSE")</f>
        <v>TRUE</v>
      </c>
      <c r="I462" s="21" t="str">
        <f aca="false">IF(Variants!$H463="","","Color")</f>
        <v>Color</v>
      </c>
      <c r="J462" s="21" t="str">
        <f aca="false">IF(Variants!$H463="","",Variants!$H463)</f>
        <v>white</v>
      </c>
      <c r="K462" s="21" t="str">
        <f aca="false">IF(Variants!$G463="","","Size")</f>
        <v/>
      </c>
      <c r="L462" s="21" t="str">
        <f aca="false">IF(Variants!$G463="","",Variants!$G463)</f>
        <v/>
      </c>
      <c r="M462" s="21" t="str">
        <f aca="false">Variants!$A463</f>
        <v>KARNI-CHBRAC-VAN-WHITE</v>
      </c>
      <c r="N462" s="21" t="str">
        <f aca="false">IF(Variants!$X463="","",Variants!$X463)</f>
        <v/>
      </c>
      <c r="O462" s="21" t="n">
        <f aca="false">IF(Variants!$O463="","",Variants!$O463)</f>
        <v>0</v>
      </c>
      <c r="P462" s="18" t="n">
        <f aca="false">IF(Variants!$J463="","",Variants!$J463)</f>
        <v>44.2</v>
      </c>
      <c r="Q462" s="21" t="str">
        <f aca="false">IF(Variants!$U463="","",Variants!$U463)</f>
        <v/>
      </c>
      <c r="R462" s="21" t="str">
        <f aca="false">IF(Variants!$Y463="","",Variants!$Y463)</f>
        <v/>
      </c>
      <c r="S462" s="21" t="n">
        <f aca="false">IFERROR(VLOOKUP(Variants!$B463,Designs!$A$3:$AP$165,37,FALSE()),"")</f>
        <v>0</v>
      </c>
      <c r="T462" s="21" t="str">
        <f aca="false">IFERROR(VLOOKUP(Variants!$B463,Designs!$A$3:$AP$165,38,FALSE()),"")</f>
        <v>No</v>
      </c>
      <c r="U462" s="21" t="str">
        <f aca="false">IF(Variants!$AD463="Active","active","draft")</f>
        <v>active</v>
      </c>
    </row>
    <row r="463" customFormat="false" ht="15.75" hidden="false" customHeight="true" outlineLevel="0" collapsed="false">
      <c r="A463" s="21" t="str">
        <f aca="false">IF(Variants!$B464="","",LOWER(Variants!$B464))</f>
        <v>dsgn-chbrac-van</v>
      </c>
      <c r="B463" s="21" t="str">
        <f aca="false">IF(Variants!$B464="","",Variants!$C464&amp;IF(Variants!$F464="",""," "&amp;Variants!$F464))</f>
        <v>Van Chain Bracelet</v>
      </c>
      <c r="C463" s="21" t="str">
        <f aca="false">IFERROR(IF(Variants!$B464="","","&lt;p&gt;"&amp;VLOOKUP(Variants!$B464,Designs!$A$3:$AP$165,9,FALSE())&amp;"&lt;/p&gt;"),"")</f>
        <v>&lt;p&gt;Motifs from the Van/Vaspurakan region, echoing the ornament of the Lake Van heartland of historic Armenia.&lt;/p&gt;</v>
      </c>
      <c r="D463" s="21" t="str">
        <f aca="false">IF(Variants!$B464="","","Karni Jewellery")</f>
        <v>Karni Jewellery</v>
      </c>
      <c r="E463" s="21" t="str">
        <f aca="false">IF(Variants!$B464="","","Apparel &amp; Accessories &gt; Jewelry")</f>
        <v>Apparel &amp; Accessories &gt; Jewelry</v>
      </c>
      <c r="F463" s="21" t="str">
        <f aca="false">IF(Variants!$D464="","",Variants!$D464)</f>
        <v>chain bracelet</v>
      </c>
      <c r="G463" s="21" t="str">
        <f aca="false">IF(Variants!$E464="","",Variants!$E464&amp;", Armenian jewellery, handmade")</f>
        <v>Van, Armenian jewellery, handmade</v>
      </c>
      <c r="H463" s="21" t="str">
        <f aca="false">IF(Variants!$AD464="Active","TRUE","FALSE")</f>
        <v>TRUE</v>
      </c>
      <c r="I463" s="21" t="str">
        <f aca="false">IF(Variants!$H464="","","Color")</f>
        <v>Color</v>
      </c>
      <c r="J463" s="21" t="str">
        <f aca="false">IF(Variants!$H464="","",Variants!$H464)</f>
        <v>bordeaux</v>
      </c>
      <c r="K463" s="21" t="str">
        <f aca="false">IF(Variants!$G464="","","Size")</f>
        <v/>
      </c>
      <c r="L463" s="21" t="str">
        <f aca="false">IF(Variants!$G464="","",Variants!$G464)</f>
        <v/>
      </c>
      <c r="M463" s="21" t="str">
        <f aca="false">Variants!$A464</f>
        <v>KARNI-CHBRAC-VAN-BORDEAUX</v>
      </c>
      <c r="N463" s="21" t="str">
        <f aca="false">IF(Variants!$X464="","",Variants!$X464)</f>
        <v/>
      </c>
      <c r="O463" s="21" t="n">
        <f aca="false">IF(Variants!$O464="","",Variants!$O464)</f>
        <v>0</v>
      </c>
      <c r="P463" s="18" t="n">
        <f aca="false">IF(Variants!$J464="","",Variants!$J464)</f>
        <v>44.2</v>
      </c>
      <c r="Q463" s="21" t="str">
        <f aca="false">IF(Variants!$U464="","",Variants!$U464)</f>
        <v/>
      </c>
      <c r="R463" s="21" t="str">
        <f aca="false">IF(Variants!$Y464="","",Variants!$Y464)</f>
        <v/>
      </c>
      <c r="S463" s="21" t="n">
        <f aca="false">IFERROR(VLOOKUP(Variants!$B464,Designs!$A$3:$AP$165,37,FALSE()),"")</f>
        <v>0</v>
      </c>
      <c r="T463" s="21" t="str">
        <f aca="false">IFERROR(VLOOKUP(Variants!$B464,Designs!$A$3:$AP$165,38,FALSE()),"")</f>
        <v>No</v>
      </c>
      <c r="U463" s="21" t="str">
        <f aca="false">IF(Variants!$AD464="Active","active","draft")</f>
        <v>active</v>
      </c>
    </row>
    <row r="464" customFormat="false" ht="15.75" hidden="false" customHeight="true" outlineLevel="0" collapsed="false">
      <c r="A464" s="21" t="str">
        <f aca="false">IF(Variants!$B465="","",LOWER(Variants!$B465))</f>
        <v>dsgn-chbrac-van</v>
      </c>
      <c r="B464" s="21" t="str">
        <f aca="false">IF(Variants!$B465="","",Variants!$C465&amp;IF(Variants!$F465="",""," "&amp;Variants!$F465))</f>
        <v>Van Chain Bracelet</v>
      </c>
      <c r="C464" s="21" t="str">
        <f aca="false">IFERROR(IF(Variants!$B465="","","&lt;p&gt;"&amp;VLOOKUP(Variants!$B465,Designs!$A$3:$AP$165,9,FALSE())&amp;"&lt;/p&gt;"),"")</f>
        <v>&lt;p&gt;Motifs from the Van/Vaspurakan region, echoing the ornament of the Lake Van heartland of historic Armenia.&lt;/p&gt;</v>
      </c>
      <c r="D464" s="21" t="str">
        <f aca="false">IF(Variants!$B465="","","Karni Jewellery")</f>
        <v>Karni Jewellery</v>
      </c>
      <c r="E464" s="21" t="str">
        <f aca="false">IF(Variants!$B465="","","Apparel &amp; Accessories &gt; Jewelry")</f>
        <v>Apparel &amp; Accessories &gt; Jewelry</v>
      </c>
      <c r="F464" s="21" t="str">
        <f aca="false">IF(Variants!$D465="","",Variants!$D465)</f>
        <v>chain bracelet</v>
      </c>
      <c r="G464" s="21" t="str">
        <f aca="false">IF(Variants!$E465="","",Variants!$E465&amp;", Armenian jewellery, handmade")</f>
        <v>Van, Armenian jewellery, handmade</v>
      </c>
      <c r="H464" s="21" t="str">
        <f aca="false">IF(Variants!$AD465="Active","TRUE","FALSE")</f>
        <v>TRUE</v>
      </c>
      <c r="I464" s="21" t="str">
        <f aca="false">IF(Variants!$H465="","","Color")</f>
        <v>Color</v>
      </c>
      <c r="J464" s="21" t="str">
        <f aca="false">IF(Variants!$H465="","",Variants!$H465)</f>
        <v>turquoise</v>
      </c>
      <c r="K464" s="21" t="str">
        <f aca="false">IF(Variants!$G465="","","Size")</f>
        <v/>
      </c>
      <c r="L464" s="21" t="str">
        <f aca="false">IF(Variants!$G465="","",Variants!$G465)</f>
        <v/>
      </c>
      <c r="M464" s="21" t="str">
        <f aca="false">Variants!$A465</f>
        <v>KARNI-CHBRAC-VAN-TURQUOISE</v>
      </c>
      <c r="N464" s="21" t="str">
        <f aca="false">IF(Variants!$X465="","",Variants!$X465)</f>
        <v/>
      </c>
      <c r="O464" s="21" t="n">
        <f aca="false">IF(Variants!$O465="","",Variants!$O465)</f>
        <v>0</v>
      </c>
      <c r="P464" s="18" t="n">
        <f aca="false">IF(Variants!$J465="","",Variants!$J465)</f>
        <v>44.2</v>
      </c>
      <c r="Q464" s="21" t="str">
        <f aca="false">IF(Variants!$U465="","",Variants!$U465)</f>
        <v/>
      </c>
      <c r="R464" s="21" t="str">
        <f aca="false">IF(Variants!$Y465="","",Variants!$Y465)</f>
        <v/>
      </c>
      <c r="S464" s="21" t="n">
        <f aca="false">IFERROR(VLOOKUP(Variants!$B465,Designs!$A$3:$AP$165,37,FALSE()),"")</f>
        <v>0</v>
      </c>
      <c r="T464" s="21" t="str">
        <f aca="false">IFERROR(VLOOKUP(Variants!$B465,Designs!$A$3:$AP$165,38,FALSE()),"")</f>
        <v>No</v>
      </c>
      <c r="U464" s="21" t="str">
        <f aca="false">IF(Variants!$AD465="Active","active","draft")</f>
        <v>active</v>
      </c>
    </row>
    <row r="465" customFormat="false" ht="15.75" hidden="false" customHeight="true" outlineLevel="0" collapsed="false">
      <c r="A465" s="21" t="str">
        <f aca="false">IF(Variants!$B466="","",LOWER(Variants!$B466))</f>
        <v>dsgn-chbrac-van</v>
      </c>
      <c r="B465" s="21" t="str">
        <f aca="false">IF(Variants!$B466="","",Variants!$C466&amp;IF(Variants!$F466="",""," "&amp;Variants!$F466))</f>
        <v>Van Chain Bracelet</v>
      </c>
      <c r="C465" s="21" t="str">
        <f aca="false">IFERROR(IF(Variants!$B466="","","&lt;p&gt;"&amp;VLOOKUP(Variants!$B466,Designs!$A$3:$AP$165,9,FALSE())&amp;"&lt;/p&gt;"),"")</f>
        <v>&lt;p&gt;Motifs from the Van/Vaspurakan region, echoing the ornament of the Lake Van heartland of historic Armenia.&lt;/p&gt;</v>
      </c>
      <c r="D465" s="21" t="str">
        <f aca="false">IF(Variants!$B466="","","Karni Jewellery")</f>
        <v>Karni Jewellery</v>
      </c>
      <c r="E465" s="21" t="str">
        <f aca="false">IF(Variants!$B466="","","Apparel &amp; Accessories &gt; Jewelry")</f>
        <v>Apparel &amp; Accessories &gt; Jewelry</v>
      </c>
      <c r="F465" s="21" t="str">
        <f aca="false">IF(Variants!$D466="","",Variants!$D466)</f>
        <v>chain bracelet</v>
      </c>
      <c r="G465" s="21" t="str">
        <f aca="false">IF(Variants!$E466="","",Variants!$E466&amp;", Armenian jewellery, handmade")</f>
        <v>Van, Armenian jewellery, handmade</v>
      </c>
      <c r="H465" s="21" t="str">
        <f aca="false">IF(Variants!$AD466="Active","TRUE","FALSE")</f>
        <v>TRUE</v>
      </c>
      <c r="I465" s="21" t="str">
        <f aca="false">IF(Variants!$H466="","","Color")</f>
        <v>Color</v>
      </c>
      <c r="J465" s="21" t="str">
        <f aca="false">IF(Variants!$H466="","",Variants!$H466)</f>
        <v>green</v>
      </c>
      <c r="K465" s="21" t="str">
        <f aca="false">IF(Variants!$G466="","","Size")</f>
        <v/>
      </c>
      <c r="L465" s="21" t="str">
        <f aca="false">IF(Variants!$G466="","",Variants!$G466)</f>
        <v/>
      </c>
      <c r="M465" s="21" t="str">
        <f aca="false">Variants!$A466</f>
        <v>KARNI-CHBRAC-VAN-GREEN</v>
      </c>
      <c r="N465" s="21" t="str">
        <f aca="false">IF(Variants!$X466="","",Variants!$X466)</f>
        <v/>
      </c>
      <c r="O465" s="21" t="n">
        <f aca="false">IF(Variants!$O466="","",Variants!$O466)</f>
        <v>0</v>
      </c>
      <c r="P465" s="18" t="n">
        <f aca="false">IF(Variants!$J466="","",Variants!$J466)</f>
        <v>44.2</v>
      </c>
      <c r="Q465" s="21" t="str">
        <f aca="false">IF(Variants!$U466="","",Variants!$U466)</f>
        <v/>
      </c>
      <c r="R465" s="21" t="str">
        <f aca="false">IF(Variants!$Y466="","",Variants!$Y466)</f>
        <v/>
      </c>
      <c r="S465" s="21" t="n">
        <f aca="false">IFERROR(VLOOKUP(Variants!$B466,Designs!$A$3:$AP$165,37,FALSE()),"")</f>
        <v>0</v>
      </c>
      <c r="T465" s="21" t="str">
        <f aca="false">IFERROR(VLOOKUP(Variants!$B466,Designs!$A$3:$AP$165,38,FALSE()),"")</f>
        <v>No</v>
      </c>
      <c r="U465" s="21" t="str">
        <f aca="false">IF(Variants!$AD466="Active","active","draft")</f>
        <v>active</v>
      </c>
    </row>
    <row r="466" customFormat="false" ht="15.75" hidden="false" customHeight="true" outlineLevel="0" collapsed="false">
      <c r="A466" s="21" t="str">
        <f aca="false">IF(Variants!$B467="","",LOWER(Variants!$B467))</f>
        <v>dsgn-chbrac-vishab</v>
      </c>
      <c r="B466" s="21" t="str">
        <f aca="false">IF(Variants!$B467="","",Variants!$C467&amp;IF(Variants!$F467="",""," "&amp;Variants!$F467))</f>
        <v>Vishab Chain Bracelet</v>
      </c>
      <c r="C466" s="21" t="str">
        <f aca="false">IFERROR(IF(Variants!$B467="","","&lt;p&gt;"&amp;VLOOKUP(Variants!$B467,Designs!$A$3:$AP$165,9,FALSE())&amp;"&lt;/p&gt;"),"")</f>
        <v>&lt;p&gt;Vishaps are ancient Armenian dragon-stones (vishapakar) found in the highlands, among the oldest carved monuments in the region.&lt;/p&gt;</v>
      </c>
      <c r="D466" s="21" t="str">
        <f aca="false">IF(Variants!$B467="","","Karni Jewellery")</f>
        <v>Karni Jewellery</v>
      </c>
      <c r="E466" s="21" t="str">
        <f aca="false">IF(Variants!$B467="","","Apparel &amp; Accessories &gt; Jewelry")</f>
        <v>Apparel &amp; Accessories &gt; Jewelry</v>
      </c>
      <c r="F466" s="21" t="str">
        <f aca="false">IF(Variants!$D467="","",Variants!$D467)</f>
        <v>chain bracelet</v>
      </c>
      <c r="G466" s="21" t="str">
        <f aca="false">IF(Variants!$E467="","",Variants!$E467&amp;", Armenian jewellery, handmade")</f>
        <v>Vishab, Armenian jewellery, handmade</v>
      </c>
      <c r="H466" s="21" t="str">
        <f aca="false">IF(Variants!$AD467="Active","TRUE","FALSE")</f>
        <v>TRUE</v>
      </c>
      <c r="I466" s="21" t="str">
        <f aca="false">IF(Variants!$H467="","","Color")</f>
        <v>Color</v>
      </c>
      <c r="J466" s="21" t="str">
        <f aca="false">IF(Variants!$H467="","",Variants!$H467)</f>
        <v>blue</v>
      </c>
      <c r="K466" s="21" t="str">
        <f aca="false">IF(Variants!$G467="","","Size")</f>
        <v/>
      </c>
      <c r="L466" s="21" t="str">
        <f aca="false">IF(Variants!$G467="","",Variants!$G467)</f>
        <v/>
      </c>
      <c r="M466" s="21" t="str">
        <f aca="false">Variants!$A467</f>
        <v>KARNI-CHBRAC-VISHAB-BLUE</v>
      </c>
      <c r="N466" s="21" t="str">
        <f aca="false">IF(Variants!$X467="","",Variants!$X467)</f>
        <v/>
      </c>
      <c r="O466" s="21" t="n">
        <f aca="false">IF(Variants!$O467="","",Variants!$O467)</f>
        <v>0</v>
      </c>
      <c r="P466" s="18" t="n">
        <f aca="false">IF(Variants!$J467="","",Variants!$J467)</f>
        <v>44.2</v>
      </c>
      <c r="Q466" s="21" t="str">
        <f aca="false">IF(Variants!$U467="","",Variants!$U467)</f>
        <v/>
      </c>
      <c r="R466" s="21" t="str">
        <f aca="false">IF(Variants!$Y467="","",Variants!$Y467)</f>
        <v/>
      </c>
      <c r="S466" s="21" t="n">
        <f aca="false">IFERROR(VLOOKUP(Variants!$B467,Designs!$A$3:$AP$165,37,FALSE()),"")</f>
        <v>0</v>
      </c>
      <c r="T466" s="21" t="str">
        <f aca="false">IFERROR(VLOOKUP(Variants!$B467,Designs!$A$3:$AP$165,38,FALSE()),"")</f>
        <v>No</v>
      </c>
      <c r="U466" s="21" t="str">
        <f aca="false">IF(Variants!$AD467="Active","active","draft")</f>
        <v>active</v>
      </c>
    </row>
    <row r="467" customFormat="false" ht="15.75" hidden="false" customHeight="true" outlineLevel="0" collapsed="false">
      <c r="A467" s="21" t="str">
        <f aca="false">IF(Variants!$B468="","",LOWER(Variants!$B468))</f>
        <v>dsgn-chbrac-vishab</v>
      </c>
      <c r="B467" s="21" t="str">
        <f aca="false">IF(Variants!$B468="","",Variants!$C468&amp;IF(Variants!$F468="",""," "&amp;Variants!$F468))</f>
        <v>Vishab Chain Bracelet</v>
      </c>
      <c r="C467" s="21" t="str">
        <f aca="false">IFERROR(IF(Variants!$B468="","","&lt;p&gt;"&amp;VLOOKUP(Variants!$B468,Designs!$A$3:$AP$165,9,FALSE())&amp;"&lt;/p&gt;"),"")</f>
        <v>&lt;p&gt;Vishaps are ancient Armenian dragon-stones (vishapakar) found in the highlands, among the oldest carved monuments in the region.&lt;/p&gt;</v>
      </c>
      <c r="D467" s="21" t="str">
        <f aca="false">IF(Variants!$B468="","","Karni Jewellery")</f>
        <v>Karni Jewellery</v>
      </c>
      <c r="E467" s="21" t="str">
        <f aca="false">IF(Variants!$B468="","","Apparel &amp; Accessories &gt; Jewelry")</f>
        <v>Apparel &amp; Accessories &gt; Jewelry</v>
      </c>
      <c r="F467" s="21" t="str">
        <f aca="false">IF(Variants!$D468="","",Variants!$D468)</f>
        <v>chain bracelet</v>
      </c>
      <c r="G467" s="21" t="str">
        <f aca="false">IF(Variants!$E468="","",Variants!$E468&amp;", Armenian jewellery, handmade")</f>
        <v>Vishab, Armenian jewellery, handmade</v>
      </c>
      <c r="H467" s="21" t="str">
        <f aca="false">IF(Variants!$AD468="Active","TRUE","FALSE")</f>
        <v>TRUE</v>
      </c>
      <c r="I467" s="21" t="str">
        <f aca="false">IF(Variants!$H468="","","Color")</f>
        <v>Color</v>
      </c>
      <c r="J467" s="21" t="str">
        <f aca="false">IF(Variants!$H468="","",Variants!$H468)</f>
        <v>white</v>
      </c>
      <c r="K467" s="21" t="str">
        <f aca="false">IF(Variants!$G468="","","Size")</f>
        <v/>
      </c>
      <c r="L467" s="21" t="str">
        <f aca="false">IF(Variants!$G468="","",Variants!$G468)</f>
        <v/>
      </c>
      <c r="M467" s="21" t="str">
        <f aca="false">Variants!$A468</f>
        <v>KARNI-CHBRAC-VISHAB-WHITE</v>
      </c>
      <c r="N467" s="21" t="str">
        <f aca="false">IF(Variants!$X468="","",Variants!$X468)</f>
        <v/>
      </c>
      <c r="O467" s="21" t="n">
        <f aca="false">IF(Variants!$O468="","",Variants!$O468)</f>
        <v>0</v>
      </c>
      <c r="P467" s="18" t="n">
        <f aca="false">IF(Variants!$J468="","",Variants!$J468)</f>
        <v>44.2</v>
      </c>
      <c r="Q467" s="21" t="str">
        <f aca="false">IF(Variants!$U468="","",Variants!$U468)</f>
        <v/>
      </c>
      <c r="R467" s="21" t="str">
        <f aca="false">IF(Variants!$Y468="","",Variants!$Y468)</f>
        <v/>
      </c>
      <c r="S467" s="21" t="n">
        <f aca="false">IFERROR(VLOOKUP(Variants!$B468,Designs!$A$3:$AP$165,37,FALSE()),"")</f>
        <v>0</v>
      </c>
      <c r="T467" s="21" t="str">
        <f aca="false">IFERROR(VLOOKUP(Variants!$B468,Designs!$A$3:$AP$165,38,FALSE()),"")</f>
        <v>No</v>
      </c>
      <c r="U467" s="21" t="str">
        <f aca="false">IF(Variants!$AD468="Active","active","draft")</f>
        <v>active</v>
      </c>
    </row>
    <row r="468" customFormat="false" ht="15.75" hidden="false" customHeight="true" outlineLevel="0" collapsed="false">
      <c r="A468" s="21" t="str">
        <f aca="false">IF(Variants!$B469="","",LOWER(Variants!$B469))</f>
        <v>dsgn-chbrac-vishab</v>
      </c>
      <c r="B468" s="21" t="str">
        <f aca="false">IF(Variants!$B469="","",Variants!$C469&amp;IF(Variants!$F469="",""," "&amp;Variants!$F469))</f>
        <v>Vishab Chain Bracelet</v>
      </c>
      <c r="C468" s="21" t="str">
        <f aca="false">IFERROR(IF(Variants!$B469="","","&lt;p&gt;"&amp;VLOOKUP(Variants!$B469,Designs!$A$3:$AP$165,9,FALSE())&amp;"&lt;/p&gt;"),"")</f>
        <v>&lt;p&gt;Vishaps are ancient Armenian dragon-stones (vishapakar) found in the highlands, among the oldest carved monuments in the region.&lt;/p&gt;</v>
      </c>
      <c r="D468" s="21" t="str">
        <f aca="false">IF(Variants!$B469="","","Karni Jewellery")</f>
        <v>Karni Jewellery</v>
      </c>
      <c r="E468" s="21" t="str">
        <f aca="false">IF(Variants!$B469="","","Apparel &amp; Accessories &gt; Jewelry")</f>
        <v>Apparel &amp; Accessories &gt; Jewelry</v>
      </c>
      <c r="F468" s="21" t="str">
        <f aca="false">IF(Variants!$D469="","",Variants!$D469)</f>
        <v>chain bracelet</v>
      </c>
      <c r="G468" s="21" t="str">
        <f aca="false">IF(Variants!$E469="","",Variants!$E469&amp;", Armenian jewellery, handmade")</f>
        <v>Vishab, Armenian jewellery, handmade</v>
      </c>
      <c r="H468" s="21" t="str">
        <f aca="false">IF(Variants!$AD469="Active","TRUE","FALSE")</f>
        <v>TRUE</v>
      </c>
      <c r="I468" s="21" t="str">
        <f aca="false">IF(Variants!$H469="","","Color")</f>
        <v>Color</v>
      </c>
      <c r="J468" s="21" t="str">
        <f aca="false">IF(Variants!$H469="","",Variants!$H469)</f>
        <v>bordeaux</v>
      </c>
      <c r="K468" s="21" t="str">
        <f aca="false">IF(Variants!$G469="","","Size")</f>
        <v/>
      </c>
      <c r="L468" s="21" t="str">
        <f aca="false">IF(Variants!$G469="","",Variants!$G469)</f>
        <v/>
      </c>
      <c r="M468" s="21" t="str">
        <f aca="false">Variants!$A469</f>
        <v>KARNI-CHBRAC-VISHAB-BORDEAUX</v>
      </c>
      <c r="N468" s="21" t="str">
        <f aca="false">IF(Variants!$X469="","",Variants!$X469)</f>
        <v/>
      </c>
      <c r="O468" s="21" t="n">
        <f aca="false">IF(Variants!$O469="","",Variants!$O469)</f>
        <v>0</v>
      </c>
      <c r="P468" s="18" t="n">
        <f aca="false">IF(Variants!$J469="","",Variants!$J469)</f>
        <v>44.2</v>
      </c>
      <c r="Q468" s="21" t="str">
        <f aca="false">IF(Variants!$U469="","",Variants!$U469)</f>
        <v/>
      </c>
      <c r="R468" s="21" t="str">
        <f aca="false">IF(Variants!$Y469="","",Variants!$Y469)</f>
        <v/>
      </c>
      <c r="S468" s="21" t="n">
        <f aca="false">IFERROR(VLOOKUP(Variants!$B469,Designs!$A$3:$AP$165,37,FALSE()),"")</f>
        <v>0</v>
      </c>
      <c r="T468" s="21" t="str">
        <f aca="false">IFERROR(VLOOKUP(Variants!$B469,Designs!$A$3:$AP$165,38,FALSE()),"")</f>
        <v>No</v>
      </c>
      <c r="U468" s="21" t="str">
        <f aca="false">IF(Variants!$AD469="Active","active","draft")</f>
        <v>active</v>
      </c>
    </row>
    <row r="469" customFormat="false" ht="15.75" hidden="false" customHeight="true" outlineLevel="0" collapsed="false">
      <c r="A469" s="21" t="str">
        <f aca="false">IF(Variants!$B470="","",LOWER(Variants!$B470))</f>
        <v>dsgn-chbrac-vishab</v>
      </c>
      <c r="B469" s="21" t="str">
        <f aca="false">IF(Variants!$B470="","",Variants!$C470&amp;IF(Variants!$F470="",""," "&amp;Variants!$F470))</f>
        <v>Vishab Chain Bracelet</v>
      </c>
      <c r="C469" s="21" t="str">
        <f aca="false">IFERROR(IF(Variants!$B470="","","&lt;p&gt;"&amp;VLOOKUP(Variants!$B470,Designs!$A$3:$AP$165,9,FALSE())&amp;"&lt;/p&gt;"),"")</f>
        <v>&lt;p&gt;Vishaps are ancient Armenian dragon-stones (vishapakar) found in the highlands, among the oldest carved monuments in the region.&lt;/p&gt;</v>
      </c>
      <c r="D469" s="21" t="str">
        <f aca="false">IF(Variants!$B470="","","Karni Jewellery")</f>
        <v>Karni Jewellery</v>
      </c>
      <c r="E469" s="21" t="str">
        <f aca="false">IF(Variants!$B470="","","Apparel &amp; Accessories &gt; Jewelry")</f>
        <v>Apparel &amp; Accessories &gt; Jewelry</v>
      </c>
      <c r="F469" s="21" t="str">
        <f aca="false">IF(Variants!$D470="","",Variants!$D470)</f>
        <v>chain bracelet</v>
      </c>
      <c r="G469" s="21" t="str">
        <f aca="false">IF(Variants!$E470="","",Variants!$E470&amp;", Armenian jewellery, handmade")</f>
        <v>Vishab, Armenian jewellery, handmade</v>
      </c>
      <c r="H469" s="21" t="str">
        <f aca="false">IF(Variants!$AD470="Active","TRUE","FALSE")</f>
        <v>TRUE</v>
      </c>
      <c r="I469" s="21" t="str">
        <f aca="false">IF(Variants!$H470="","","Color")</f>
        <v>Color</v>
      </c>
      <c r="J469" s="21" t="str">
        <f aca="false">IF(Variants!$H470="","",Variants!$H470)</f>
        <v>turquoise</v>
      </c>
      <c r="K469" s="21" t="str">
        <f aca="false">IF(Variants!$G470="","","Size")</f>
        <v/>
      </c>
      <c r="L469" s="21" t="str">
        <f aca="false">IF(Variants!$G470="","",Variants!$G470)</f>
        <v/>
      </c>
      <c r="M469" s="21" t="str">
        <f aca="false">Variants!$A470</f>
        <v>KARNI-CHBRAC-VISHAB-TURQUOISE</v>
      </c>
      <c r="N469" s="21" t="str">
        <f aca="false">IF(Variants!$X470="","",Variants!$X470)</f>
        <v/>
      </c>
      <c r="O469" s="21" t="n">
        <f aca="false">IF(Variants!$O470="","",Variants!$O470)</f>
        <v>0</v>
      </c>
      <c r="P469" s="18" t="n">
        <f aca="false">IF(Variants!$J470="","",Variants!$J470)</f>
        <v>44.2</v>
      </c>
      <c r="Q469" s="21" t="str">
        <f aca="false">IF(Variants!$U470="","",Variants!$U470)</f>
        <v/>
      </c>
      <c r="R469" s="21" t="str">
        <f aca="false">IF(Variants!$Y470="","",Variants!$Y470)</f>
        <v/>
      </c>
      <c r="S469" s="21" t="n">
        <f aca="false">IFERROR(VLOOKUP(Variants!$B470,Designs!$A$3:$AP$165,37,FALSE()),"")</f>
        <v>0</v>
      </c>
      <c r="T469" s="21" t="str">
        <f aca="false">IFERROR(VLOOKUP(Variants!$B470,Designs!$A$3:$AP$165,38,FALSE()),"")</f>
        <v>No</v>
      </c>
      <c r="U469" s="21" t="str">
        <f aca="false">IF(Variants!$AD470="Active","active","draft")</f>
        <v>active</v>
      </c>
    </row>
    <row r="470" customFormat="false" ht="15.75" hidden="false" customHeight="true" outlineLevel="0" collapsed="false">
      <c r="A470" s="21" t="str">
        <f aca="false">IF(Variants!$B471="","",LOWER(Variants!$B471))</f>
        <v>dsgn-chbrac-vishab</v>
      </c>
      <c r="B470" s="21" t="str">
        <f aca="false">IF(Variants!$B471="","",Variants!$C471&amp;IF(Variants!$F471="",""," "&amp;Variants!$F471))</f>
        <v>Vishab Chain Bracelet</v>
      </c>
      <c r="C470" s="21" t="str">
        <f aca="false">IFERROR(IF(Variants!$B471="","","&lt;p&gt;"&amp;VLOOKUP(Variants!$B471,Designs!$A$3:$AP$165,9,FALSE())&amp;"&lt;/p&gt;"),"")</f>
        <v>&lt;p&gt;Vishaps are ancient Armenian dragon-stones (vishapakar) found in the highlands, among the oldest carved monuments in the region.&lt;/p&gt;</v>
      </c>
      <c r="D470" s="21" t="str">
        <f aca="false">IF(Variants!$B471="","","Karni Jewellery")</f>
        <v>Karni Jewellery</v>
      </c>
      <c r="E470" s="21" t="str">
        <f aca="false">IF(Variants!$B471="","","Apparel &amp; Accessories &gt; Jewelry")</f>
        <v>Apparel &amp; Accessories &gt; Jewelry</v>
      </c>
      <c r="F470" s="21" t="str">
        <f aca="false">IF(Variants!$D471="","",Variants!$D471)</f>
        <v>chain bracelet</v>
      </c>
      <c r="G470" s="21" t="str">
        <f aca="false">IF(Variants!$E471="","",Variants!$E471&amp;", Armenian jewellery, handmade")</f>
        <v>Vishab, Armenian jewellery, handmade</v>
      </c>
      <c r="H470" s="21" t="str">
        <f aca="false">IF(Variants!$AD471="Active","TRUE","FALSE")</f>
        <v>TRUE</v>
      </c>
      <c r="I470" s="21" t="str">
        <f aca="false">IF(Variants!$H471="","","Color")</f>
        <v>Color</v>
      </c>
      <c r="J470" s="21" t="str">
        <f aca="false">IF(Variants!$H471="","",Variants!$H471)</f>
        <v>green</v>
      </c>
      <c r="K470" s="21" t="str">
        <f aca="false">IF(Variants!$G471="","","Size")</f>
        <v/>
      </c>
      <c r="L470" s="21" t="str">
        <f aca="false">IF(Variants!$G471="","",Variants!$G471)</f>
        <v/>
      </c>
      <c r="M470" s="21" t="str">
        <f aca="false">Variants!$A471</f>
        <v>KARNI-CHBRAC-VISHAB-GREEN</v>
      </c>
      <c r="N470" s="21" t="str">
        <f aca="false">IF(Variants!$X471="","",Variants!$X471)</f>
        <v/>
      </c>
      <c r="O470" s="21" t="n">
        <f aca="false">IF(Variants!$O471="","",Variants!$O471)</f>
        <v>0</v>
      </c>
      <c r="P470" s="18" t="n">
        <f aca="false">IF(Variants!$J471="","",Variants!$J471)</f>
        <v>44.2</v>
      </c>
      <c r="Q470" s="21" t="str">
        <f aca="false">IF(Variants!$U471="","",Variants!$U471)</f>
        <v/>
      </c>
      <c r="R470" s="21" t="str">
        <f aca="false">IF(Variants!$Y471="","",Variants!$Y471)</f>
        <v/>
      </c>
      <c r="S470" s="21" t="n">
        <f aca="false">IFERROR(VLOOKUP(Variants!$B471,Designs!$A$3:$AP$165,37,FALSE()),"")</f>
        <v>0</v>
      </c>
      <c r="T470" s="21" t="str">
        <f aca="false">IFERROR(VLOOKUP(Variants!$B471,Designs!$A$3:$AP$165,38,FALSE()),"")</f>
        <v>No</v>
      </c>
      <c r="U470" s="21" t="str">
        <f aca="false">IF(Variants!$AD471="Active","active","draft")</f>
        <v>active</v>
      </c>
    </row>
    <row r="471" customFormat="false" ht="15.75" hidden="false" customHeight="true" outlineLevel="0" collapsed="false">
      <c r="A471" s="21" t="str">
        <f aca="false">IF(Variants!$B472="","",LOWER(Variants!$B472))</f>
        <v>dsgn-chbrac-vishabarevagorg</v>
      </c>
      <c r="B471" s="21" t="str">
        <f aca="false">IF(Variants!$B472="","",Variants!$C472&amp;IF(Variants!$F472="",""," "&amp;Variants!$F472))</f>
        <v>Արեւագորգի Վիշապ</v>
      </c>
      <c r="C471" s="21" t="str">
        <f aca="false">IFERROR(IF(Variants!$B472="","","&lt;p&gt;"&amp;VLOOKUP(Variants!$B472,Designs!$A$3:$AP$165,9,FALSE())&amp;"&lt;/p&gt;"),"")</f>
        <v>&lt;p&gt;Combines the vishap (dragon) motif with the arevagorg (sun-carpet) — an Armenian solar ornament symbolising life and eternity.&lt;/p&gt;</v>
      </c>
      <c r="D471" s="21" t="str">
        <f aca="false">IF(Variants!$B472="","","Karni Jewellery")</f>
        <v>Karni Jewellery</v>
      </c>
      <c r="E471" s="21" t="str">
        <f aca="false">IF(Variants!$B472="","","Apparel &amp; Accessories &gt; Jewelry")</f>
        <v>Apparel &amp; Accessories &gt; Jewelry</v>
      </c>
      <c r="F471" s="21" t="str">
        <f aca="false">IF(Variants!$D472="","",Variants!$D472)</f>
        <v>chain bracelet</v>
      </c>
      <c r="G471" s="21" t="str">
        <f aca="false">IF(Variants!$E472="","",Variants!$E472&amp;", Armenian jewellery, handmade")</f>
        <v>Vishab Arevagorg, Armenian jewellery, handmade</v>
      </c>
      <c r="H471" s="21" t="str">
        <f aca="false">IF(Variants!$AD472="Active","TRUE","FALSE")</f>
        <v>TRUE</v>
      </c>
      <c r="I471" s="21" t="str">
        <f aca="false">IF(Variants!$H472="","","Color")</f>
        <v>Color</v>
      </c>
      <c r="J471" s="21" t="str">
        <f aca="false">IF(Variants!$H472="","",Variants!$H472)</f>
        <v>blue</v>
      </c>
      <c r="K471" s="21" t="str">
        <f aca="false">IF(Variants!$G472="","","Size")</f>
        <v/>
      </c>
      <c r="L471" s="21" t="str">
        <f aca="false">IF(Variants!$G472="","",Variants!$G472)</f>
        <v/>
      </c>
      <c r="M471" s="21" t="str">
        <f aca="false">Variants!$A472</f>
        <v>KARNI-CHBRAC-VISHABAREVAGORG-BLUE</v>
      </c>
      <c r="N471" s="21" t="str">
        <f aca="false">IF(Variants!$X472="","",Variants!$X472)</f>
        <v/>
      </c>
      <c r="O471" s="21" t="n">
        <f aca="false">IF(Variants!$O472="","",Variants!$O472)</f>
        <v>0</v>
      </c>
      <c r="P471" s="18" t="n">
        <f aca="false">IF(Variants!$J472="","",Variants!$J472)</f>
        <v>44.2</v>
      </c>
      <c r="Q471" s="21" t="str">
        <f aca="false">IF(Variants!$U472="","",Variants!$U472)</f>
        <v/>
      </c>
      <c r="R471" s="21" t="str">
        <f aca="false">IF(Variants!$Y472="","",Variants!$Y472)</f>
        <v/>
      </c>
      <c r="S471" s="21" t="n">
        <f aca="false">IFERROR(VLOOKUP(Variants!$B472,Designs!$A$3:$AP$165,37,FALSE()),"")</f>
        <v>0</v>
      </c>
      <c r="T471" s="21" t="str">
        <f aca="false">IFERROR(VLOOKUP(Variants!$B472,Designs!$A$3:$AP$165,38,FALSE()),"")</f>
        <v>No</v>
      </c>
      <c r="U471" s="21" t="str">
        <f aca="false">IF(Variants!$AD472="Active","active","draft")</f>
        <v>active</v>
      </c>
    </row>
    <row r="472" customFormat="false" ht="15.75" hidden="false" customHeight="true" outlineLevel="0" collapsed="false">
      <c r="A472" s="21" t="str">
        <f aca="false">IF(Variants!$B473="","",LOWER(Variants!$B473))</f>
        <v>dsgn-chbrac-vishabarevagorg</v>
      </c>
      <c r="B472" s="21" t="str">
        <f aca="false">IF(Variants!$B473="","",Variants!$C473&amp;IF(Variants!$F473="",""," "&amp;Variants!$F473))</f>
        <v>Արեւագորգի Վիշապ</v>
      </c>
      <c r="C472" s="21" t="str">
        <f aca="false">IFERROR(IF(Variants!$B473="","","&lt;p&gt;"&amp;VLOOKUP(Variants!$B473,Designs!$A$3:$AP$165,9,FALSE())&amp;"&lt;/p&gt;"),"")</f>
        <v>&lt;p&gt;Combines the vishap (dragon) motif with the arevagorg (sun-carpet) — an Armenian solar ornament symbolising life and eternity.&lt;/p&gt;</v>
      </c>
      <c r="D472" s="21" t="str">
        <f aca="false">IF(Variants!$B473="","","Karni Jewellery")</f>
        <v>Karni Jewellery</v>
      </c>
      <c r="E472" s="21" t="str">
        <f aca="false">IF(Variants!$B473="","","Apparel &amp; Accessories &gt; Jewelry")</f>
        <v>Apparel &amp; Accessories &gt; Jewelry</v>
      </c>
      <c r="F472" s="21" t="str">
        <f aca="false">IF(Variants!$D473="","",Variants!$D473)</f>
        <v>chain bracelet</v>
      </c>
      <c r="G472" s="21" t="str">
        <f aca="false">IF(Variants!$E473="","",Variants!$E473&amp;", Armenian jewellery, handmade")</f>
        <v>Vishab Arevagorg, Armenian jewellery, handmade</v>
      </c>
      <c r="H472" s="21" t="str">
        <f aca="false">IF(Variants!$AD473="Active","TRUE","FALSE")</f>
        <v>TRUE</v>
      </c>
      <c r="I472" s="21" t="str">
        <f aca="false">IF(Variants!$H473="","","Color")</f>
        <v>Color</v>
      </c>
      <c r="J472" s="21" t="str">
        <f aca="false">IF(Variants!$H473="","",Variants!$H473)</f>
        <v>white</v>
      </c>
      <c r="K472" s="21" t="str">
        <f aca="false">IF(Variants!$G473="","","Size")</f>
        <v/>
      </c>
      <c r="L472" s="21" t="str">
        <f aca="false">IF(Variants!$G473="","",Variants!$G473)</f>
        <v/>
      </c>
      <c r="M472" s="21" t="str">
        <f aca="false">Variants!$A473</f>
        <v>KARNI-CHBRAC-VISHABAREVAGORG-WHITE</v>
      </c>
      <c r="N472" s="21" t="str">
        <f aca="false">IF(Variants!$X473="","",Variants!$X473)</f>
        <v/>
      </c>
      <c r="O472" s="21" t="n">
        <f aca="false">IF(Variants!$O473="","",Variants!$O473)</f>
        <v>0</v>
      </c>
      <c r="P472" s="18" t="n">
        <f aca="false">IF(Variants!$J473="","",Variants!$J473)</f>
        <v>44.2</v>
      </c>
      <c r="Q472" s="21" t="str">
        <f aca="false">IF(Variants!$U473="","",Variants!$U473)</f>
        <v/>
      </c>
      <c r="R472" s="21" t="str">
        <f aca="false">IF(Variants!$Y473="","",Variants!$Y473)</f>
        <v/>
      </c>
      <c r="S472" s="21" t="n">
        <f aca="false">IFERROR(VLOOKUP(Variants!$B473,Designs!$A$3:$AP$165,37,FALSE()),"")</f>
        <v>0</v>
      </c>
      <c r="T472" s="21" t="str">
        <f aca="false">IFERROR(VLOOKUP(Variants!$B473,Designs!$A$3:$AP$165,38,FALSE()),"")</f>
        <v>No</v>
      </c>
      <c r="U472" s="21" t="str">
        <f aca="false">IF(Variants!$AD473="Active","active","draft")</f>
        <v>active</v>
      </c>
    </row>
    <row r="473" customFormat="false" ht="15.75" hidden="false" customHeight="true" outlineLevel="0" collapsed="false">
      <c r="A473" s="21" t="str">
        <f aca="false">IF(Variants!$B474="","",LOWER(Variants!$B474))</f>
        <v>dsgn-chbrac-vishabarevagorg</v>
      </c>
      <c r="B473" s="21" t="str">
        <f aca="false">IF(Variants!$B474="","",Variants!$C474&amp;IF(Variants!$F474="",""," "&amp;Variants!$F474))</f>
        <v>Արեւագորգի Վիշապ</v>
      </c>
      <c r="C473" s="21" t="str">
        <f aca="false">IFERROR(IF(Variants!$B474="","","&lt;p&gt;"&amp;VLOOKUP(Variants!$B474,Designs!$A$3:$AP$165,9,FALSE())&amp;"&lt;/p&gt;"),"")</f>
        <v>&lt;p&gt;Combines the vishap (dragon) motif with the arevagorg (sun-carpet) — an Armenian solar ornament symbolising life and eternity.&lt;/p&gt;</v>
      </c>
      <c r="D473" s="21" t="str">
        <f aca="false">IF(Variants!$B474="","","Karni Jewellery")</f>
        <v>Karni Jewellery</v>
      </c>
      <c r="E473" s="21" t="str">
        <f aca="false">IF(Variants!$B474="","","Apparel &amp; Accessories &gt; Jewelry")</f>
        <v>Apparel &amp; Accessories &gt; Jewelry</v>
      </c>
      <c r="F473" s="21" t="str">
        <f aca="false">IF(Variants!$D474="","",Variants!$D474)</f>
        <v>chain bracelet</v>
      </c>
      <c r="G473" s="21" t="str">
        <f aca="false">IF(Variants!$E474="","",Variants!$E474&amp;", Armenian jewellery, handmade")</f>
        <v>Vishab Arevagorg, Armenian jewellery, handmade</v>
      </c>
      <c r="H473" s="21" t="str">
        <f aca="false">IF(Variants!$AD474="Active","TRUE","FALSE")</f>
        <v>TRUE</v>
      </c>
      <c r="I473" s="21" t="str">
        <f aca="false">IF(Variants!$H474="","","Color")</f>
        <v>Color</v>
      </c>
      <c r="J473" s="21" t="str">
        <f aca="false">IF(Variants!$H474="","",Variants!$H474)</f>
        <v>bordeaux</v>
      </c>
      <c r="K473" s="21" t="str">
        <f aca="false">IF(Variants!$G474="","","Size")</f>
        <v/>
      </c>
      <c r="L473" s="21" t="str">
        <f aca="false">IF(Variants!$G474="","",Variants!$G474)</f>
        <v/>
      </c>
      <c r="M473" s="21" t="str">
        <f aca="false">Variants!$A474</f>
        <v>KARNI-CHBRAC-VISHABAREVAGORG-BORDEAUX</v>
      </c>
      <c r="N473" s="21" t="str">
        <f aca="false">IF(Variants!$X474="","",Variants!$X474)</f>
        <v/>
      </c>
      <c r="O473" s="21" t="n">
        <f aca="false">IF(Variants!$O474="","",Variants!$O474)</f>
        <v>0</v>
      </c>
      <c r="P473" s="18" t="n">
        <f aca="false">IF(Variants!$J474="","",Variants!$J474)</f>
        <v>44.2</v>
      </c>
      <c r="Q473" s="21" t="str">
        <f aca="false">IF(Variants!$U474="","",Variants!$U474)</f>
        <v/>
      </c>
      <c r="R473" s="21" t="str">
        <f aca="false">IF(Variants!$Y474="","",Variants!$Y474)</f>
        <v/>
      </c>
      <c r="S473" s="21" t="n">
        <f aca="false">IFERROR(VLOOKUP(Variants!$B474,Designs!$A$3:$AP$165,37,FALSE()),"")</f>
        <v>0</v>
      </c>
      <c r="T473" s="21" t="str">
        <f aca="false">IFERROR(VLOOKUP(Variants!$B474,Designs!$A$3:$AP$165,38,FALSE()),"")</f>
        <v>No</v>
      </c>
      <c r="U473" s="21" t="str">
        <f aca="false">IF(Variants!$AD474="Active","active","draft")</f>
        <v>active</v>
      </c>
    </row>
    <row r="474" customFormat="false" ht="15.75" hidden="false" customHeight="true" outlineLevel="0" collapsed="false">
      <c r="A474" s="21" t="str">
        <f aca="false">IF(Variants!$B475="","",LOWER(Variants!$B475))</f>
        <v>dsgn-chbrac-vishabarevagorg</v>
      </c>
      <c r="B474" s="21" t="str">
        <f aca="false">IF(Variants!$B475="","",Variants!$C475&amp;IF(Variants!$F475="",""," "&amp;Variants!$F475))</f>
        <v>Արեւագորգի Վիշապ</v>
      </c>
      <c r="C474" s="21" t="str">
        <f aca="false">IFERROR(IF(Variants!$B475="","","&lt;p&gt;"&amp;VLOOKUP(Variants!$B475,Designs!$A$3:$AP$165,9,FALSE())&amp;"&lt;/p&gt;"),"")</f>
        <v>&lt;p&gt;Combines the vishap (dragon) motif with the arevagorg (sun-carpet) — an Armenian solar ornament symbolising life and eternity.&lt;/p&gt;</v>
      </c>
      <c r="D474" s="21" t="str">
        <f aca="false">IF(Variants!$B475="","","Karni Jewellery")</f>
        <v>Karni Jewellery</v>
      </c>
      <c r="E474" s="21" t="str">
        <f aca="false">IF(Variants!$B475="","","Apparel &amp; Accessories &gt; Jewelry")</f>
        <v>Apparel &amp; Accessories &gt; Jewelry</v>
      </c>
      <c r="F474" s="21" t="str">
        <f aca="false">IF(Variants!$D475="","",Variants!$D475)</f>
        <v>chain bracelet</v>
      </c>
      <c r="G474" s="21" t="str">
        <f aca="false">IF(Variants!$E475="","",Variants!$E475&amp;", Armenian jewellery, handmade")</f>
        <v>Vishab Arevagorg, Armenian jewellery, handmade</v>
      </c>
      <c r="H474" s="21" t="str">
        <f aca="false">IF(Variants!$AD475="Active","TRUE","FALSE")</f>
        <v>TRUE</v>
      </c>
      <c r="I474" s="21" t="str">
        <f aca="false">IF(Variants!$H475="","","Color")</f>
        <v>Color</v>
      </c>
      <c r="J474" s="21" t="str">
        <f aca="false">IF(Variants!$H475="","",Variants!$H475)</f>
        <v>turquoise</v>
      </c>
      <c r="K474" s="21" t="str">
        <f aca="false">IF(Variants!$G475="","","Size")</f>
        <v/>
      </c>
      <c r="L474" s="21" t="str">
        <f aca="false">IF(Variants!$G475="","",Variants!$G475)</f>
        <v/>
      </c>
      <c r="M474" s="21" t="str">
        <f aca="false">Variants!$A475</f>
        <v>KARNI-CHBRAC-VISHABAREVAGORG-TURQUOISE</v>
      </c>
      <c r="N474" s="21" t="str">
        <f aca="false">IF(Variants!$X475="","",Variants!$X475)</f>
        <v/>
      </c>
      <c r="O474" s="21" t="n">
        <f aca="false">IF(Variants!$O475="","",Variants!$O475)</f>
        <v>0</v>
      </c>
      <c r="P474" s="18" t="n">
        <f aca="false">IF(Variants!$J475="","",Variants!$J475)</f>
        <v>44.2</v>
      </c>
      <c r="Q474" s="21" t="str">
        <f aca="false">IF(Variants!$U475="","",Variants!$U475)</f>
        <v/>
      </c>
      <c r="R474" s="21" t="str">
        <f aca="false">IF(Variants!$Y475="","",Variants!$Y475)</f>
        <v/>
      </c>
      <c r="S474" s="21" t="n">
        <f aca="false">IFERROR(VLOOKUP(Variants!$B475,Designs!$A$3:$AP$165,37,FALSE()),"")</f>
        <v>0</v>
      </c>
      <c r="T474" s="21" t="str">
        <f aca="false">IFERROR(VLOOKUP(Variants!$B475,Designs!$A$3:$AP$165,38,FALSE()),"")</f>
        <v>No</v>
      </c>
      <c r="U474" s="21" t="str">
        <f aca="false">IF(Variants!$AD475="Active","active","draft")</f>
        <v>active</v>
      </c>
    </row>
    <row r="475" customFormat="false" ht="15.75" hidden="false" customHeight="true" outlineLevel="0" collapsed="false">
      <c r="A475" s="21" t="str">
        <f aca="false">IF(Variants!$B476="","",LOWER(Variants!$B476))</f>
        <v>dsgn-chbrac-vishabarevagorg</v>
      </c>
      <c r="B475" s="21" t="str">
        <f aca="false">IF(Variants!$B476="","",Variants!$C476&amp;IF(Variants!$F476="",""," "&amp;Variants!$F476))</f>
        <v>Արեւագորգի Վիշապ</v>
      </c>
      <c r="C475" s="21" t="str">
        <f aca="false">IFERROR(IF(Variants!$B476="","","&lt;p&gt;"&amp;VLOOKUP(Variants!$B476,Designs!$A$3:$AP$165,9,FALSE())&amp;"&lt;/p&gt;"),"")</f>
        <v>&lt;p&gt;Combines the vishap (dragon) motif with the arevagorg (sun-carpet) — an Armenian solar ornament symbolising life and eternity.&lt;/p&gt;</v>
      </c>
      <c r="D475" s="21" t="str">
        <f aca="false">IF(Variants!$B476="","","Karni Jewellery")</f>
        <v>Karni Jewellery</v>
      </c>
      <c r="E475" s="21" t="str">
        <f aca="false">IF(Variants!$B476="","","Apparel &amp; Accessories &gt; Jewelry")</f>
        <v>Apparel &amp; Accessories &gt; Jewelry</v>
      </c>
      <c r="F475" s="21" t="str">
        <f aca="false">IF(Variants!$D476="","",Variants!$D476)</f>
        <v>chain bracelet</v>
      </c>
      <c r="G475" s="21" t="str">
        <f aca="false">IF(Variants!$E476="","",Variants!$E476&amp;", Armenian jewellery, handmade")</f>
        <v>Vishab Arevagorg, Armenian jewellery, handmade</v>
      </c>
      <c r="H475" s="21" t="str">
        <f aca="false">IF(Variants!$AD476="Active","TRUE","FALSE")</f>
        <v>TRUE</v>
      </c>
      <c r="I475" s="21" t="str">
        <f aca="false">IF(Variants!$H476="","","Color")</f>
        <v>Color</v>
      </c>
      <c r="J475" s="21" t="str">
        <f aca="false">IF(Variants!$H476="","",Variants!$H476)</f>
        <v>green</v>
      </c>
      <c r="K475" s="21" t="str">
        <f aca="false">IF(Variants!$G476="","","Size")</f>
        <v/>
      </c>
      <c r="L475" s="21" t="str">
        <f aca="false">IF(Variants!$G476="","",Variants!$G476)</f>
        <v/>
      </c>
      <c r="M475" s="21" t="str">
        <f aca="false">Variants!$A476</f>
        <v>KARNI-CHBRAC-VISHABAREVAGORG-GREEN</v>
      </c>
      <c r="N475" s="21" t="str">
        <f aca="false">IF(Variants!$X476="","",Variants!$X476)</f>
        <v/>
      </c>
      <c r="O475" s="21" t="n">
        <f aca="false">IF(Variants!$O476="","",Variants!$O476)</f>
        <v>0</v>
      </c>
      <c r="P475" s="18" t="n">
        <f aca="false">IF(Variants!$J476="","",Variants!$J476)</f>
        <v>44.2</v>
      </c>
      <c r="Q475" s="21" t="str">
        <f aca="false">IF(Variants!$U476="","",Variants!$U476)</f>
        <v/>
      </c>
      <c r="R475" s="21" t="str">
        <f aca="false">IF(Variants!$Y476="","",Variants!$Y476)</f>
        <v/>
      </c>
      <c r="S475" s="21" t="n">
        <f aca="false">IFERROR(VLOOKUP(Variants!$B476,Designs!$A$3:$AP$165,37,FALSE()),"")</f>
        <v>0</v>
      </c>
      <c r="T475" s="21" t="str">
        <f aca="false">IFERROR(VLOOKUP(Variants!$B476,Designs!$A$3:$AP$165,38,FALSE()),"")</f>
        <v>No</v>
      </c>
      <c r="U475" s="21" t="str">
        <f aca="false">IF(Variants!$AD476="Active","active","draft")</f>
        <v>active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4"/>
  </cols>
  <sheetData>
    <row r="1" customFormat="false" ht="30" hidden="false" customHeight="true" outlineLevel="0" collapsed="false">
      <c r="A1" s="41" t="s">
        <v>938</v>
      </c>
      <c r="B1" s="41" t="s">
        <v>956</v>
      </c>
      <c r="C1" s="41" t="s">
        <v>353</v>
      </c>
      <c r="D1" s="41" t="s">
        <v>957</v>
      </c>
      <c r="E1" s="41" t="s">
        <v>886</v>
      </c>
      <c r="F1" s="41" t="s">
        <v>942</v>
      </c>
      <c r="G1" s="41" t="s">
        <v>958</v>
      </c>
      <c r="H1" s="41" t="s">
        <v>959</v>
      </c>
      <c r="I1" s="41" t="s">
        <v>960</v>
      </c>
      <c r="J1" s="41" t="s">
        <v>37</v>
      </c>
      <c r="K1" s="41" t="s">
        <v>961</v>
      </c>
      <c r="L1" s="41" t="s">
        <v>962</v>
      </c>
      <c r="M1" s="41" t="s">
        <v>963</v>
      </c>
    </row>
    <row r="2" customFormat="false" ht="15.75" hidden="false" customHeight="true" outlineLevel="0" collapsed="false">
      <c r="A2" s="21" t="str">
        <f aca="false">IF(Variants!$B3="","",Variants!$C3&amp;" — "&amp;Variants!$E3&amp;IF(Variants!$F3=""," "," "&amp;Variants!$F3)&amp;" — "&amp;Variants!$H3)</f>
        <v>Bird Letter Pendant — Alphabet Ա — red</v>
      </c>
      <c r="B2" s="21" t="str">
        <f aca="false">IFERROR(IF(Variants!$B3="","",VLOOKUP(Variants!$B3,Designs!$A$3:$AP$165,9,FALSE())&amp;" Handmade in Armenia."),"")</f>
        <v>Bird letters are an ornamental medieval Armenian script where each letter is formed from stylised birds, used in illuminated manuscripts. Handmade in Armenia.</v>
      </c>
      <c r="C2" s="18" t="n">
        <f aca="false">IF(Variants!$J3="","",Variants!$J3)</f>
        <v>49.4</v>
      </c>
      <c r="D2" s="21" t="n">
        <f aca="false">IF(Variants!$O3="","",Variants!$O3)</f>
        <v>0</v>
      </c>
      <c r="E2" s="21" t="str">
        <f aca="false">Variants!$A3</f>
        <v>KARNI-PEND-ALPHA-AYB-RED</v>
      </c>
      <c r="F2" s="21" t="str">
        <f aca="false">IF(Variants!$E3="","",Variants!$E3&amp;", Armenian, handmade, enamel, "&amp;Variants!$D3)</f>
        <v>Alphabet, Armenian, handmade, enamel, Pendant</v>
      </c>
      <c r="G2" s="21" t="str">
        <f aca="false">IFERROR(VLOOKUP(Variants!$B3,Designs!$A$3:$AP$165,12,FALSE())&amp;", enamel","")</f>
        <v>925 Silver Gold-Plated, enamel</v>
      </c>
      <c r="H2" s="21" t="str">
        <f aca="false">IF(Variants!$B3="","","I did")</f>
        <v>I did</v>
      </c>
      <c r="I2" s="21" t="str">
        <f aca="false">IF(Variants!$B3="","","Made to order")</f>
        <v>Made to order</v>
      </c>
      <c r="J2" s="21" t="str">
        <f aca="false">IF(Variants!$D3="","",Variants!$D3)</f>
        <v>Pendant</v>
      </c>
      <c r="K2" s="21" t="str">
        <f aca="false">IF(Variants!$Y3="","",Variants!$Y3)</f>
        <v/>
      </c>
      <c r="L2" s="21" t="str">
        <f aca="false">IF(Variants!$H3="","",Variants!$H3)</f>
        <v>red</v>
      </c>
      <c r="M2" s="21" t="str">
        <f aca="false">IF(Variants!$G3="","",Variants!$G3)</f>
        <v/>
      </c>
    </row>
    <row r="3" customFormat="false" ht="15.75" hidden="false" customHeight="true" outlineLevel="0" collapsed="false">
      <c r="A3" s="21" t="str">
        <f aca="false">IF(Variants!$B4="","",Variants!$C4&amp;" — "&amp;Variants!$E4&amp;IF(Variants!$F4=""," "," "&amp;Variants!$F4)&amp;" — "&amp;Variants!$H4)</f>
        <v>Bird Letter Pendant — Alphabet Ա — turquoise</v>
      </c>
      <c r="B3" s="21" t="str">
        <f aca="false">IFERROR(IF(Variants!$B4="","",VLOOKUP(Variants!$B4,Designs!$A$3:$AP$165,9,FALSE())&amp;" Handmade in Armenia."),"")</f>
        <v>Bird letters are an ornamental medieval Armenian script where each letter is formed from stylised birds, used in illuminated manuscripts. Handmade in Armenia.</v>
      </c>
      <c r="C3" s="18" t="n">
        <f aca="false">IF(Variants!$J4="","",Variants!$J4)</f>
        <v>49.4</v>
      </c>
      <c r="D3" s="21" t="n">
        <f aca="false">IF(Variants!$O4="","",Variants!$O4)</f>
        <v>0</v>
      </c>
      <c r="E3" s="21" t="str">
        <f aca="false">Variants!$A4</f>
        <v>KARNI-PEND-ALPHA-AYB-TURQUOISE</v>
      </c>
      <c r="F3" s="21" t="str">
        <f aca="false">IF(Variants!$E4="","",Variants!$E4&amp;", Armenian, handmade, enamel, "&amp;Variants!$D4)</f>
        <v>Alphabet, Armenian, handmade, enamel, Pendant</v>
      </c>
      <c r="G3" s="21" t="str">
        <f aca="false">IFERROR(VLOOKUP(Variants!$B4,Designs!$A$3:$AP$165,12,FALSE())&amp;", enamel","")</f>
        <v>925 Silver Gold-Plated, enamel</v>
      </c>
      <c r="H3" s="21" t="str">
        <f aca="false">IF(Variants!$B4="","","I did")</f>
        <v>I did</v>
      </c>
      <c r="I3" s="21" t="str">
        <f aca="false">IF(Variants!$B4="","","Made to order")</f>
        <v>Made to order</v>
      </c>
      <c r="J3" s="21" t="str">
        <f aca="false">IF(Variants!$D4="","",Variants!$D4)</f>
        <v>Pendant</v>
      </c>
      <c r="K3" s="21" t="str">
        <f aca="false">IF(Variants!$Y4="","",Variants!$Y4)</f>
        <v/>
      </c>
      <c r="L3" s="21" t="str">
        <f aca="false">IF(Variants!$H4="","",Variants!$H4)</f>
        <v>turquoise</v>
      </c>
      <c r="M3" s="21" t="str">
        <f aca="false">IF(Variants!$G4="","",Variants!$G4)</f>
        <v/>
      </c>
    </row>
    <row r="4" customFormat="false" ht="15.75" hidden="false" customHeight="true" outlineLevel="0" collapsed="false">
      <c r="A4" s="21" t="str">
        <f aca="false">IF(Variants!$B5="","",Variants!$C5&amp;" — "&amp;Variants!$E5&amp;IF(Variants!$F5=""," "," "&amp;Variants!$F5)&amp;" — "&amp;Variants!$H5)</f>
        <v>Bird Letter Pendant — Alphabet Ա — white</v>
      </c>
      <c r="B4" s="21" t="str">
        <f aca="false">IFERROR(IF(Variants!$B5="","",VLOOKUP(Variants!$B5,Designs!$A$3:$AP$165,9,FALSE())&amp;" Handmade in Armenia."),"")</f>
        <v>Bird letters are an ornamental medieval Armenian script where each letter is formed from stylised birds, used in illuminated manuscripts. Handmade in Armenia.</v>
      </c>
      <c r="C4" s="18" t="n">
        <f aca="false">IF(Variants!$J5="","",Variants!$J5)</f>
        <v>49.4</v>
      </c>
      <c r="D4" s="21" t="n">
        <f aca="false">IF(Variants!$O5="","",Variants!$O5)</f>
        <v>0</v>
      </c>
      <c r="E4" s="21" t="str">
        <f aca="false">Variants!$A5</f>
        <v>KARNI-PEND-ALPHA-AYB-WHITE</v>
      </c>
      <c r="F4" s="21" t="str">
        <f aca="false">IF(Variants!$E5="","",Variants!$E5&amp;", Armenian, handmade, enamel, "&amp;Variants!$D5)</f>
        <v>Alphabet, Armenian, handmade, enamel, Pendant</v>
      </c>
      <c r="G4" s="21" t="str">
        <f aca="false">IFERROR(VLOOKUP(Variants!$B5,Designs!$A$3:$AP$165,12,FALSE())&amp;", enamel","")</f>
        <v>925 Silver Gold-Plated, enamel</v>
      </c>
      <c r="H4" s="21" t="str">
        <f aca="false">IF(Variants!$B5="","","I did")</f>
        <v>I did</v>
      </c>
      <c r="I4" s="21" t="str">
        <f aca="false">IF(Variants!$B5="","","Made to order")</f>
        <v>Made to order</v>
      </c>
      <c r="J4" s="21" t="str">
        <f aca="false">IF(Variants!$D5="","",Variants!$D5)</f>
        <v>Pendant</v>
      </c>
      <c r="K4" s="21" t="str">
        <f aca="false">IF(Variants!$Y5="","",Variants!$Y5)</f>
        <v/>
      </c>
      <c r="L4" s="21" t="str">
        <f aca="false">IF(Variants!$H5="","",Variants!$H5)</f>
        <v>white</v>
      </c>
      <c r="M4" s="21" t="str">
        <f aca="false">IF(Variants!$G5="","",Variants!$G5)</f>
        <v/>
      </c>
    </row>
    <row r="5" customFormat="false" ht="15.75" hidden="false" customHeight="true" outlineLevel="0" collapsed="false">
      <c r="A5" s="21" t="str">
        <f aca="false">IF(Variants!$B6="","",Variants!$C6&amp;" — "&amp;Variants!$E6&amp;IF(Variants!$F6=""," "," "&amp;Variants!$F6)&amp;" — "&amp;Variants!$H6)</f>
        <v>Bird Letter Pendant — Alphabet Բ — red</v>
      </c>
      <c r="B5" s="21" t="str">
        <f aca="false">IFERROR(IF(Variants!$B6="","",VLOOKUP(Variants!$B6,Designs!$A$3:$AP$165,9,FALSE())&amp;" Handmade in Armenia."),"")</f>
        <v>Bird letters are an ornamental medieval Armenian script where each letter is formed from stylised birds, used in illuminated manuscripts. Handmade in Armenia.</v>
      </c>
      <c r="C5" s="18" t="n">
        <f aca="false">IF(Variants!$J6="","",Variants!$J6)</f>
        <v>49.4</v>
      </c>
      <c r="D5" s="21" t="n">
        <f aca="false">IF(Variants!$O6="","",Variants!$O6)</f>
        <v>0</v>
      </c>
      <c r="E5" s="21" t="str">
        <f aca="false">Variants!$A6</f>
        <v>KARNI-PEND-ALPHA-BEN-RED</v>
      </c>
      <c r="F5" s="21" t="str">
        <f aca="false">IF(Variants!$E6="","",Variants!$E6&amp;", Armenian, handmade, enamel, "&amp;Variants!$D6)</f>
        <v>Alphabet, Armenian, handmade, enamel, Pendant</v>
      </c>
      <c r="G5" s="21" t="str">
        <f aca="false">IFERROR(VLOOKUP(Variants!$B6,Designs!$A$3:$AP$165,12,FALSE())&amp;", enamel","")</f>
        <v>925 Silver Gold-Plated, enamel</v>
      </c>
      <c r="H5" s="21" t="str">
        <f aca="false">IF(Variants!$B6="","","I did")</f>
        <v>I did</v>
      </c>
      <c r="I5" s="21" t="str">
        <f aca="false">IF(Variants!$B6="","","Made to order")</f>
        <v>Made to order</v>
      </c>
      <c r="J5" s="21" t="str">
        <f aca="false">IF(Variants!$D6="","",Variants!$D6)</f>
        <v>Pendant</v>
      </c>
      <c r="K5" s="21" t="str">
        <f aca="false">IF(Variants!$Y6="","",Variants!$Y6)</f>
        <v/>
      </c>
      <c r="L5" s="21" t="str">
        <f aca="false">IF(Variants!$H6="","",Variants!$H6)</f>
        <v>red</v>
      </c>
      <c r="M5" s="21" t="str">
        <f aca="false">IF(Variants!$G6="","",Variants!$G6)</f>
        <v/>
      </c>
    </row>
    <row r="6" customFormat="false" ht="15.75" hidden="false" customHeight="true" outlineLevel="0" collapsed="false">
      <c r="A6" s="21" t="str">
        <f aca="false">IF(Variants!$B7="","",Variants!$C7&amp;" — "&amp;Variants!$E7&amp;IF(Variants!$F7=""," "," "&amp;Variants!$F7)&amp;" — "&amp;Variants!$H7)</f>
        <v>Bird Letter Pendant — Alphabet Բ — turquoise</v>
      </c>
      <c r="B6" s="21" t="str">
        <f aca="false">IFERROR(IF(Variants!$B7="","",VLOOKUP(Variants!$B7,Designs!$A$3:$AP$165,9,FALSE())&amp;" Handmade in Armenia."),"")</f>
        <v>Bird letters are an ornamental medieval Armenian script where each letter is formed from stylised birds, used in illuminated manuscripts. Handmade in Armenia.</v>
      </c>
      <c r="C6" s="18" t="n">
        <f aca="false">IF(Variants!$J7="","",Variants!$J7)</f>
        <v>49.4</v>
      </c>
      <c r="D6" s="21" t="n">
        <f aca="false">IF(Variants!$O7="","",Variants!$O7)</f>
        <v>0</v>
      </c>
      <c r="E6" s="21" t="str">
        <f aca="false">Variants!$A7</f>
        <v>KARNI-PEND-ALPHA-BEN-TURQUOISE</v>
      </c>
      <c r="F6" s="21" t="str">
        <f aca="false">IF(Variants!$E7="","",Variants!$E7&amp;", Armenian, handmade, enamel, "&amp;Variants!$D7)</f>
        <v>Alphabet, Armenian, handmade, enamel, Pendant</v>
      </c>
      <c r="G6" s="21" t="str">
        <f aca="false">IFERROR(VLOOKUP(Variants!$B7,Designs!$A$3:$AP$165,12,FALSE())&amp;", enamel","")</f>
        <v>925 Silver Gold-Plated, enamel</v>
      </c>
      <c r="H6" s="21" t="str">
        <f aca="false">IF(Variants!$B7="","","I did")</f>
        <v>I did</v>
      </c>
      <c r="I6" s="21" t="str">
        <f aca="false">IF(Variants!$B7="","","Made to order")</f>
        <v>Made to order</v>
      </c>
      <c r="J6" s="21" t="str">
        <f aca="false">IF(Variants!$D7="","",Variants!$D7)</f>
        <v>Pendant</v>
      </c>
      <c r="K6" s="21" t="str">
        <f aca="false">IF(Variants!$Y7="","",Variants!$Y7)</f>
        <v/>
      </c>
      <c r="L6" s="21" t="str">
        <f aca="false">IF(Variants!$H7="","",Variants!$H7)</f>
        <v>turquoise</v>
      </c>
      <c r="M6" s="21" t="str">
        <f aca="false">IF(Variants!$G7="","",Variants!$G7)</f>
        <v/>
      </c>
    </row>
    <row r="7" customFormat="false" ht="15.75" hidden="false" customHeight="true" outlineLevel="0" collapsed="false">
      <c r="A7" s="21" t="str">
        <f aca="false">IF(Variants!$B8="","",Variants!$C8&amp;" — "&amp;Variants!$E8&amp;IF(Variants!$F8=""," "," "&amp;Variants!$F8)&amp;" — "&amp;Variants!$H8)</f>
        <v>Bird Letter Pendant — Alphabet Բ — white</v>
      </c>
      <c r="B7" s="21" t="str">
        <f aca="false">IFERROR(IF(Variants!$B8="","",VLOOKUP(Variants!$B8,Designs!$A$3:$AP$165,9,FALSE())&amp;" Handmade in Armenia."),"")</f>
        <v>Bird letters are an ornamental medieval Armenian script where each letter is formed from stylised birds, used in illuminated manuscripts. Handmade in Armenia.</v>
      </c>
      <c r="C7" s="18" t="n">
        <f aca="false">IF(Variants!$J8="","",Variants!$J8)</f>
        <v>49.4</v>
      </c>
      <c r="D7" s="21" t="n">
        <f aca="false">IF(Variants!$O8="","",Variants!$O8)</f>
        <v>0</v>
      </c>
      <c r="E7" s="21" t="str">
        <f aca="false">Variants!$A8</f>
        <v>KARNI-PEND-ALPHA-BEN-WHITE</v>
      </c>
      <c r="F7" s="21" t="str">
        <f aca="false">IF(Variants!$E8="","",Variants!$E8&amp;", Armenian, handmade, enamel, "&amp;Variants!$D8)</f>
        <v>Alphabet, Armenian, handmade, enamel, Pendant</v>
      </c>
      <c r="G7" s="21" t="str">
        <f aca="false">IFERROR(VLOOKUP(Variants!$B8,Designs!$A$3:$AP$165,12,FALSE())&amp;", enamel","")</f>
        <v>925 Silver Gold-Plated, enamel</v>
      </c>
      <c r="H7" s="21" t="str">
        <f aca="false">IF(Variants!$B8="","","I did")</f>
        <v>I did</v>
      </c>
      <c r="I7" s="21" t="str">
        <f aca="false">IF(Variants!$B8="","","Made to order")</f>
        <v>Made to order</v>
      </c>
      <c r="J7" s="21" t="str">
        <f aca="false">IF(Variants!$D8="","",Variants!$D8)</f>
        <v>Pendant</v>
      </c>
      <c r="K7" s="21" t="str">
        <f aca="false">IF(Variants!$Y8="","",Variants!$Y8)</f>
        <v/>
      </c>
      <c r="L7" s="21" t="str">
        <f aca="false">IF(Variants!$H8="","",Variants!$H8)</f>
        <v>white</v>
      </c>
      <c r="M7" s="21" t="str">
        <f aca="false">IF(Variants!$G8="","",Variants!$G8)</f>
        <v/>
      </c>
    </row>
    <row r="8" customFormat="false" ht="15.75" hidden="false" customHeight="true" outlineLevel="0" collapsed="false">
      <c r="A8" s="21" t="str">
        <f aca="false">IF(Variants!$B9="","",Variants!$C9&amp;" — "&amp;Variants!$E9&amp;IF(Variants!$F9=""," "," "&amp;Variants!$F9)&amp;" — "&amp;Variants!$H9)</f>
        <v>Bird Letter Pendant — Alphabet Գ — red</v>
      </c>
      <c r="B8" s="21" t="str">
        <f aca="false">IFERROR(IF(Variants!$B9="","",VLOOKUP(Variants!$B9,Designs!$A$3:$AP$165,9,FALSE())&amp;" Handmade in Armenia."),"")</f>
        <v>Bird letters are an ornamental medieval Armenian script where each letter is formed from stylised birds, used in illuminated manuscripts. Handmade in Armenia.</v>
      </c>
      <c r="C8" s="18" t="n">
        <f aca="false">IF(Variants!$J9="","",Variants!$J9)</f>
        <v>49.4</v>
      </c>
      <c r="D8" s="21" t="n">
        <f aca="false">IF(Variants!$O9="","",Variants!$O9)</f>
        <v>0</v>
      </c>
      <c r="E8" s="21" t="str">
        <f aca="false">Variants!$A9</f>
        <v>KARNI-PEND-ALPHA-GIM-RED</v>
      </c>
      <c r="F8" s="21" t="str">
        <f aca="false">IF(Variants!$E9="","",Variants!$E9&amp;", Armenian, handmade, enamel, "&amp;Variants!$D9)</f>
        <v>Alphabet, Armenian, handmade, enamel, Pendant</v>
      </c>
      <c r="G8" s="21" t="str">
        <f aca="false">IFERROR(VLOOKUP(Variants!$B9,Designs!$A$3:$AP$165,12,FALSE())&amp;", enamel","")</f>
        <v>925 Silver Gold-Plated, enamel</v>
      </c>
      <c r="H8" s="21" t="str">
        <f aca="false">IF(Variants!$B9="","","I did")</f>
        <v>I did</v>
      </c>
      <c r="I8" s="21" t="str">
        <f aca="false">IF(Variants!$B9="","","Made to order")</f>
        <v>Made to order</v>
      </c>
      <c r="J8" s="21" t="str">
        <f aca="false">IF(Variants!$D9="","",Variants!$D9)</f>
        <v>Pendant</v>
      </c>
      <c r="K8" s="21" t="str">
        <f aca="false">IF(Variants!$Y9="","",Variants!$Y9)</f>
        <v/>
      </c>
      <c r="L8" s="21" t="str">
        <f aca="false">IF(Variants!$H9="","",Variants!$H9)</f>
        <v>red</v>
      </c>
      <c r="M8" s="21" t="str">
        <f aca="false">IF(Variants!$G9="","",Variants!$G9)</f>
        <v/>
      </c>
    </row>
    <row r="9" customFormat="false" ht="15.75" hidden="false" customHeight="true" outlineLevel="0" collapsed="false">
      <c r="A9" s="21" t="str">
        <f aca="false">IF(Variants!$B10="","",Variants!$C10&amp;" — "&amp;Variants!$E10&amp;IF(Variants!$F10=""," "," "&amp;Variants!$F10)&amp;" — "&amp;Variants!$H10)</f>
        <v>Bird Letter Pendant — Alphabet Գ — turquoise</v>
      </c>
      <c r="B9" s="21" t="str">
        <f aca="false">IFERROR(IF(Variants!$B10="","",VLOOKUP(Variants!$B10,Designs!$A$3:$AP$165,9,FALSE())&amp;" Handmade in Armenia."),"")</f>
        <v>Bird letters are an ornamental medieval Armenian script where each letter is formed from stylised birds, used in illuminated manuscripts. Handmade in Armenia.</v>
      </c>
      <c r="C9" s="18" t="n">
        <f aca="false">IF(Variants!$J10="","",Variants!$J10)</f>
        <v>49.4</v>
      </c>
      <c r="D9" s="21" t="n">
        <f aca="false">IF(Variants!$O10="","",Variants!$O10)</f>
        <v>0</v>
      </c>
      <c r="E9" s="21" t="str">
        <f aca="false">Variants!$A10</f>
        <v>KARNI-PEND-ALPHA-GIM-TURQUOISE</v>
      </c>
      <c r="F9" s="21" t="str">
        <f aca="false">IF(Variants!$E10="","",Variants!$E10&amp;", Armenian, handmade, enamel, "&amp;Variants!$D10)</f>
        <v>Alphabet, Armenian, handmade, enamel, Pendant</v>
      </c>
      <c r="G9" s="21" t="str">
        <f aca="false">IFERROR(VLOOKUP(Variants!$B10,Designs!$A$3:$AP$165,12,FALSE())&amp;", enamel","")</f>
        <v>925 Silver Gold-Plated, enamel</v>
      </c>
      <c r="H9" s="21" t="str">
        <f aca="false">IF(Variants!$B10="","","I did")</f>
        <v>I did</v>
      </c>
      <c r="I9" s="21" t="str">
        <f aca="false">IF(Variants!$B10="","","Made to order")</f>
        <v>Made to order</v>
      </c>
      <c r="J9" s="21" t="str">
        <f aca="false">IF(Variants!$D10="","",Variants!$D10)</f>
        <v>Pendant</v>
      </c>
      <c r="K9" s="21" t="str">
        <f aca="false">IF(Variants!$Y10="","",Variants!$Y10)</f>
        <v/>
      </c>
      <c r="L9" s="21" t="str">
        <f aca="false">IF(Variants!$H10="","",Variants!$H10)</f>
        <v>turquoise</v>
      </c>
      <c r="M9" s="21" t="str">
        <f aca="false">IF(Variants!$G10="","",Variants!$G10)</f>
        <v/>
      </c>
    </row>
    <row r="10" customFormat="false" ht="15.75" hidden="false" customHeight="true" outlineLevel="0" collapsed="false">
      <c r="A10" s="21" t="str">
        <f aca="false">IF(Variants!$B11="","",Variants!$C11&amp;" — "&amp;Variants!$E11&amp;IF(Variants!$F11=""," "," "&amp;Variants!$F11)&amp;" — "&amp;Variants!$H11)</f>
        <v>Bird Letter Pendant — Alphabet Գ — white</v>
      </c>
      <c r="B10" s="21" t="str">
        <f aca="false">IFERROR(IF(Variants!$B11="","",VLOOKUP(Variants!$B11,Designs!$A$3:$AP$165,9,FALSE())&amp;" Handmade in Armenia."),"")</f>
        <v>Bird letters are an ornamental medieval Armenian script where each letter is formed from stylised birds, used in illuminated manuscripts. Handmade in Armenia.</v>
      </c>
      <c r="C10" s="18" t="n">
        <f aca="false">IF(Variants!$J11="","",Variants!$J11)</f>
        <v>49.4</v>
      </c>
      <c r="D10" s="21" t="n">
        <f aca="false">IF(Variants!$O11="","",Variants!$O11)</f>
        <v>0</v>
      </c>
      <c r="E10" s="21" t="str">
        <f aca="false">Variants!$A11</f>
        <v>KARNI-PEND-ALPHA-GIM-WHITE</v>
      </c>
      <c r="F10" s="21" t="str">
        <f aca="false">IF(Variants!$E11="","",Variants!$E11&amp;", Armenian, handmade, enamel, "&amp;Variants!$D11)</f>
        <v>Alphabet, Armenian, handmade, enamel, Pendant</v>
      </c>
      <c r="G10" s="21" t="str">
        <f aca="false">IFERROR(VLOOKUP(Variants!$B11,Designs!$A$3:$AP$165,12,FALSE())&amp;", enamel","")</f>
        <v>925 Silver Gold-Plated, enamel</v>
      </c>
      <c r="H10" s="21" t="str">
        <f aca="false">IF(Variants!$B11="","","I did")</f>
        <v>I did</v>
      </c>
      <c r="I10" s="21" t="str">
        <f aca="false">IF(Variants!$B11="","","Made to order")</f>
        <v>Made to order</v>
      </c>
      <c r="J10" s="21" t="str">
        <f aca="false">IF(Variants!$D11="","",Variants!$D11)</f>
        <v>Pendant</v>
      </c>
      <c r="K10" s="21" t="str">
        <f aca="false">IF(Variants!$Y11="","",Variants!$Y11)</f>
        <v/>
      </c>
      <c r="L10" s="21" t="str">
        <f aca="false">IF(Variants!$H11="","",Variants!$H11)</f>
        <v>white</v>
      </c>
      <c r="M10" s="21" t="str">
        <f aca="false">IF(Variants!$G11="","",Variants!$G11)</f>
        <v/>
      </c>
    </row>
    <row r="11" customFormat="false" ht="15.75" hidden="false" customHeight="true" outlineLevel="0" collapsed="false">
      <c r="A11" s="21" t="str">
        <f aca="false">IF(Variants!$B12="","",Variants!$C12&amp;" — "&amp;Variants!$E12&amp;IF(Variants!$F12=""," "," "&amp;Variants!$F12)&amp;" — "&amp;Variants!$H12)</f>
        <v>Bird Letter Pendant — Alphabet Դ — red</v>
      </c>
      <c r="B11" s="21" t="str">
        <f aca="false">IFERROR(IF(Variants!$B12="","",VLOOKUP(Variants!$B12,Designs!$A$3:$AP$165,9,FALSE())&amp;" Handmade in Armenia."),"")</f>
        <v>Bird letters are an ornamental medieval Armenian script where each letter is formed from stylised birds, used in illuminated manuscripts. Handmade in Armenia.</v>
      </c>
      <c r="C11" s="18" t="n">
        <f aca="false">IF(Variants!$J12="","",Variants!$J12)</f>
        <v>49.4</v>
      </c>
      <c r="D11" s="21" t="n">
        <f aca="false">IF(Variants!$O12="","",Variants!$O12)</f>
        <v>0</v>
      </c>
      <c r="E11" s="21" t="str">
        <f aca="false">Variants!$A12</f>
        <v>KARNI-PEND-ALPHA-DA-RED</v>
      </c>
      <c r="F11" s="21" t="str">
        <f aca="false">IF(Variants!$E12="","",Variants!$E12&amp;", Armenian, handmade, enamel, "&amp;Variants!$D12)</f>
        <v>Alphabet, Armenian, handmade, enamel, Pendant</v>
      </c>
      <c r="G11" s="21" t="str">
        <f aca="false">IFERROR(VLOOKUP(Variants!$B12,Designs!$A$3:$AP$165,12,FALSE())&amp;", enamel","")</f>
        <v>925 Silver Gold-Plated, enamel</v>
      </c>
      <c r="H11" s="21" t="str">
        <f aca="false">IF(Variants!$B12="","","I did")</f>
        <v>I did</v>
      </c>
      <c r="I11" s="21" t="str">
        <f aca="false">IF(Variants!$B12="","","Made to order")</f>
        <v>Made to order</v>
      </c>
      <c r="J11" s="21" t="str">
        <f aca="false">IF(Variants!$D12="","",Variants!$D12)</f>
        <v>Pendant</v>
      </c>
      <c r="K11" s="21" t="str">
        <f aca="false">IF(Variants!$Y12="","",Variants!$Y12)</f>
        <v/>
      </c>
      <c r="L11" s="21" t="str">
        <f aca="false">IF(Variants!$H12="","",Variants!$H12)</f>
        <v>red</v>
      </c>
      <c r="M11" s="21" t="str">
        <f aca="false">IF(Variants!$G12="","",Variants!$G12)</f>
        <v/>
      </c>
    </row>
    <row r="12" customFormat="false" ht="15.75" hidden="false" customHeight="true" outlineLevel="0" collapsed="false">
      <c r="A12" s="21" t="str">
        <f aca="false">IF(Variants!$B13="","",Variants!$C13&amp;" — "&amp;Variants!$E13&amp;IF(Variants!$F13=""," "," "&amp;Variants!$F13)&amp;" — "&amp;Variants!$H13)</f>
        <v>Bird Letter Pendant — Alphabet Դ — turquoise</v>
      </c>
      <c r="B12" s="21" t="str">
        <f aca="false">IFERROR(IF(Variants!$B13="","",VLOOKUP(Variants!$B13,Designs!$A$3:$AP$165,9,FALSE())&amp;" Handmade in Armenia."),"")</f>
        <v>Bird letters are an ornamental medieval Armenian script where each letter is formed from stylised birds, used in illuminated manuscripts. Handmade in Armenia.</v>
      </c>
      <c r="C12" s="18" t="n">
        <f aca="false">IF(Variants!$J13="","",Variants!$J13)</f>
        <v>49.4</v>
      </c>
      <c r="D12" s="21" t="n">
        <f aca="false">IF(Variants!$O13="","",Variants!$O13)</f>
        <v>0</v>
      </c>
      <c r="E12" s="21" t="str">
        <f aca="false">Variants!$A13</f>
        <v>KARNI-PEND-ALPHA-DA-TURQUOISE</v>
      </c>
      <c r="F12" s="21" t="str">
        <f aca="false">IF(Variants!$E13="","",Variants!$E13&amp;", Armenian, handmade, enamel, "&amp;Variants!$D13)</f>
        <v>Alphabet, Armenian, handmade, enamel, Pendant</v>
      </c>
      <c r="G12" s="21" t="str">
        <f aca="false">IFERROR(VLOOKUP(Variants!$B13,Designs!$A$3:$AP$165,12,FALSE())&amp;", enamel","")</f>
        <v>925 Silver Gold-Plated, enamel</v>
      </c>
      <c r="H12" s="21" t="str">
        <f aca="false">IF(Variants!$B13="","","I did")</f>
        <v>I did</v>
      </c>
      <c r="I12" s="21" t="str">
        <f aca="false">IF(Variants!$B13="","","Made to order")</f>
        <v>Made to order</v>
      </c>
      <c r="J12" s="21" t="str">
        <f aca="false">IF(Variants!$D13="","",Variants!$D13)</f>
        <v>Pendant</v>
      </c>
      <c r="K12" s="21" t="str">
        <f aca="false">IF(Variants!$Y13="","",Variants!$Y13)</f>
        <v/>
      </c>
      <c r="L12" s="21" t="str">
        <f aca="false">IF(Variants!$H13="","",Variants!$H13)</f>
        <v>turquoise</v>
      </c>
      <c r="M12" s="21" t="str">
        <f aca="false">IF(Variants!$G13="","",Variants!$G13)</f>
        <v/>
      </c>
    </row>
    <row r="13" customFormat="false" ht="15.75" hidden="false" customHeight="true" outlineLevel="0" collapsed="false">
      <c r="A13" s="21" t="str">
        <f aca="false">IF(Variants!$B14="","",Variants!$C14&amp;" — "&amp;Variants!$E14&amp;IF(Variants!$F14=""," "," "&amp;Variants!$F14)&amp;" — "&amp;Variants!$H14)</f>
        <v>Bird Letter Pendant — Alphabet Դ — white</v>
      </c>
      <c r="B13" s="21" t="str">
        <f aca="false">IFERROR(IF(Variants!$B14="","",VLOOKUP(Variants!$B14,Designs!$A$3:$AP$165,9,FALSE())&amp;" Handmade in Armenia."),"")</f>
        <v>Bird letters are an ornamental medieval Armenian script where each letter is formed from stylised birds, used in illuminated manuscripts. Handmade in Armenia.</v>
      </c>
      <c r="C13" s="18" t="n">
        <f aca="false">IF(Variants!$J14="","",Variants!$J14)</f>
        <v>49.4</v>
      </c>
      <c r="D13" s="21" t="n">
        <f aca="false">IF(Variants!$O14="","",Variants!$O14)</f>
        <v>0</v>
      </c>
      <c r="E13" s="21" t="str">
        <f aca="false">Variants!$A14</f>
        <v>KARNI-PEND-ALPHA-DA-WHITE</v>
      </c>
      <c r="F13" s="21" t="str">
        <f aca="false">IF(Variants!$E14="","",Variants!$E14&amp;", Armenian, handmade, enamel, "&amp;Variants!$D14)</f>
        <v>Alphabet, Armenian, handmade, enamel, Pendant</v>
      </c>
      <c r="G13" s="21" t="str">
        <f aca="false">IFERROR(VLOOKUP(Variants!$B14,Designs!$A$3:$AP$165,12,FALSE())&amp;", enamel","")</f>
        <v>925 Silver Gold-Plated, enamel</v>
      </c>
      <c r="H13" s="21" t="str">
        <f aca="false">IF(Variants!$B14="","","I did")</f>
        <v>I did</v>
      </c>
      <c r="I13" s="21" t="str">
        <f aca="false">IF(Variants!$B14="","","Made to order")</f>
        <v>Made to order</v>
      </c>
      <c r="J13" s="21" t="str">
        <f aca="false">IF(Variants!$D14="","",Variants!$D14)</f>
        <v>Pendant</v>
      </c>
      <c r="K13" s="21" t="str">
        <f aca="false">IF(Variants!$Y14="","",Variants!$Y14)</f>
        <v/>
      </c>
      <c r="L13" s="21" t="str">
        <f aca="false">IF(Variants!$H14="","",Variants!$H14)</f>
        <v>white</v>
      </c>
      <c r="M13" s="21" t="str">
        <f aca="false">IF(Variants!$G14="","",Variants!$G14)</f>
        <v/>
      </c>
    </row>
    <row r="14" customFormat="false" ht="15.75" hidden="false" customHeight="true" outlineLevel="0" collapsed="false">
      <c r="A14" s="21" t="str">
        <f aca="false">IF(Variants!$B15="","",Variants!$C15&amp;" — "&amp;Variants!$E15&amp;IF(Variants!$F15=""," "," "&amp;Variants!$F15)&amp;" — "&amp;Variants!$H15)</f>
        <v>Bird Letter Pendant — Alphabet Ե — red</v>
      </c>
      <c r="B14" s="21" t="str">
        <f aca="false">IFERROR(IF(Variants!$B15="","",VLOOKUP(Variants!$B15,Designs!$A$3:$AP$165,9,FALSE())&amp;" Handmade in Armenia."),"")</f>
        <v>Bird letters are an ornamental medieval Armenian script where each letter is formed from stylised birds, used in illuminated manuscripts. Handmade in Armenia.</v>
      </c>
      <c r="C14" s="18" t="n">
        <f aca="false">IF(Variants!$J15="","",Variants!$J15)</f>
        <v>49.4</v>
      </c>
      <c r="D14" s="21" t="n">
        <f aca="false">IF(Variants!$O15="","",Variants!$O15)</f>
        <v>0</v>
      </c>
      <c r="E14" s="21" t="str">
        <f aca="false">Variants!$A15</f>
        <v>KARNI-PEND-ALPHA-YECH-RED</v>
      </c>
      <c r="F14" s="21" t="str">
        <f aca="false">IF(Variants!$E15="","",Variants!$E15&amp;", Armenian, handmade, enamel, "&amp;Variants!$D15)</f>
        <v>Alphabet, Armenian, handmade, enamel, Pendant</v>
      </c>
      <c r="G14" s="21" t="str">
        <f aca="false">IFERROR(VLOOKUP(Variants!$B15,Designs!$A$3:$AP$165,12,FALSE())&amp;", enamel","")</f>
        <v>925 Silver Gold-Plated, enamel</v>
      </c>
      <c r="H14" s="21" t="str">
        <f aca="false">IF(Variants!$B15="","","I did")</f>
        <v>I did</v>
      </c>
      <c r="I14" s="21" t="str">
        <f aca="false">IF(Variants!$B15="","","Made to order")</f>
        <v>Made to order</v>
      </c>
      <c r="J14" s="21" t="str">
        <f aca="false">IF(Variants!$D15="","",Variants!$D15)</f>
        <v>Pendant</v>
      </c>
      <c r="K14" s="21" t="str">
        <f aca="false">IF(Variants!$Y15="","",Variants!$Y15)</f>
        <v/>
      </c>
      <c r="L14" s="21" t="str">
        <f aca="false">IF(Variants!$H15="","",Variants!$H15)</f>
        <v>red</v>
      </c>
      <c r="M14" s="21" t="str">
        <f aca="false">IF(Variants!$G15="","",Variants!$G15)</f>
        <v/>
      </c>
    </row>
    <row r="15" customFormat="false" ht="15.75" hidden="false" customHeight="true" outlineLevel="0" collapsed="false">
      <c r="A15" s="21" t="str">
        <f aca="false">IF(Variants!$B16="","",Variants!$C16&amp;" — "&amp;Variants!$E16&amp;IF(Variants!$F16=""," "," "&amp;Variants!$F16)&amp;" — "&amp;Variants!$H16)</f>
        <v>Bird Letter Pendant — Alphabet Ե — turquoise</v>
      </c>
      <c r="B15" s="21" t="str">
        <f aca="false">IFERROR(IF(Variants!$B16="","",VLOOKUP(Variants!$B16,Designs!$A$3:$AP$165,9,FALSE())&amp;" Handmade in Armenia."),"")</f>
        <v>Bird letters are an ornamental medieval Armenian script where each letter is formed from stylised birds, used in illuminated manuscripts. Handmade in Armenia.</v>
      </c>
      <c r="C15" s="18" t="n">
        <f aca="false">IF(Variants!$J16="","",Variants!$J16)</f>
        <v>49.4</v>
      </c>
      <c r="D15" s="21" t="n">
        <f aca="false">IF(Variants!$O16="","",Variants!$O16)</f>
        <v>0</v>
      </c>
      <c r="E15" s="21" t="str">
        <f aca="false">Variants!$A16</f>
        <v>KARNI-PEND-ALPHA-YECH-TURQUOISE</v>
      </c>
      <c r="F15" s="21" t="str">
        <f aca="false">IF(Variants!$E16="","",Variants!$E16&amp;", Armenian, handmade, enamel, "&amp;Variants!$D16)</f>
        <v>Alphabet, Armenian, handmade, enamel, Pendant</v>
      </c>
      <c r="G15" s="21" t="str">
        <f aca="false">IFERROR(VLOOKUP(Variants!$B16,Designs!$A$3:$AP$165,12,FALSE())&amp;", enamel","")</f>
        <v>925 Silver Gold-Plated, enamel</v>
      </c>
      <c r="H15" s="21" t="str">
        <f aca="false">IF(Variants!$B16="","","I did")</f>
        <v>I did</v>
      </c>
      <c r="I15" s="21" t="str">
        <f aca="false">IF(Variants!$B16="","","Made to order")</f>
        <v>Made to order</v>
      </c>
      <c r="J15" s="21" t="str">
        <f aca="false">IF(Variants!$D16="","",Variants!$D16)</f>
        <v>Pendant</v>
      </c>
      <c r="K15" s="21" t="str">
        <f aca="false">IF(Variants!$Y16="","",Variants!$Y16)</f>
        <v/>
      </c>
      <c r="L15" s="21" t="str">
        <f aca="false">IF(Variants!$H16="","",Variants!$H16)</f>
        <v>turquoise</v>
      </c>
      <c r="M15" s="21" t="str">
        <f aca="false">IF(Variants!$G16="","",Variants!$G16)</f>
        <v/>
      </c>
    </row>
    <row r="16" customFormat="false" ht="15.75" hidden="false" customHeight="true" outlineLevel="0" collapsed="false">
      <c r="A16" s="21" t="str">
        <f aca="false">IF(Variants!$B17="","",Variants!$C17&amp;" — "&amp;Variants!$E17&amp;IF(Variants!$F17=""," "," "&amp;Variants!$F17)&amp;" — "&amp;Variants!$H17)</f>
        <v>Bird Letter Pendant — Alphabet Ե — white</v>
      </c>
      <c r="B16" s="21" t="str">
        <f aca="false">IFERROR(IF(Variants!$B17="","",VLOOKUP(Variants!$B17,Designs!$A$3:$AP$165,9,FALSE())&amp;" Handmade in Armenia."),"")</f>
        <v>Bird letters are an ornamental medieval Armenian script where each letter is formed from stylised birds, used in illuminated manuscripts. Handmade in Armenia.</v>
      </c>
      <c r="C16" s="18" t="n">
        <f aca="false">IF(Variants!$J17="","",Variants!$J17)</f>
        <v>49.4</v>
      </c>
      <c r="D16" s="21" t="n">
        <f aca="false">IF(Variants!$O17="","",Variants!$O17)</f>
        <v>0</v>
      </c>
      <c r="E16" s="21" t="str">
        <f aca="false">Variants!$A17</f>
        <v>KARNI-PEND-ALPHA-YECH-WHITE</v>
      </c>
      <c r="F16" s="21" t="str">
        <f aca="false">IF(Variants!$E17="","",Variants!$E17&amp;", Armenian, handmade, enamel, "&amp;Variants!$D17)</f>
        <v>Alphabet, Armenian, handmade, enamel, Pendant</v>
      </c>
      <c r="G16" s="21" t="str">
        <f aca="false">IFERROR(VLOOKUP(Variants!$B17,Designs!$A$3:$AP$165,12,FALSE())&amp;", enamel","")</f>
        <v>925 Silver Gold-Plated, enamel</v>
      </c>
      <c r="H16" s="21" t="str">
        <f aca="false">IF(Variants!$B17="","","I did")</f>
        <v>I did</v>
      </c>
      <c r="I16" s="21" t="str">
        <f aca="false">IF(Variants!$B17="","","Made to order")</f>
        <v>Made to order</v>
      </c>
      <c r="J16" s="21" t="str">
        <f aca="false">IF(Variants!$D17="","",Variants!$D17)</f>
        <v>Pendant</v>
      </c>
      <c r="K16" s="21" t="str">
        <f aca="false">IF(Variants!$Y17="","",Variants!$Y17)</f>
        <v/>
      </c>
      <c r="L16" s="21" t="str">
        <f aca="false">IF(Variants!$H17="","",Variants!$H17)</f>
        <v>white</v>
      </c>
      <c r="M16" s="21" t="str">
        <f aca="false">IF(Variants!$G17="","",Variants!$G17)</f>
        <v/>
      </c>
    </row>
    <row r="17" customFormat="false" ht="15.75" hidden="false" customHeight="true" outlineLevel="0" collapsed="false">
      <c r="A17" s="21" t="str">
        <f aca="false">IF(Variants!$B18="","",Variants!$C18&amp;" — "&amp;Variants!$E18&amp;IF(Variants!$F18=""," "," "&amp;Variants!$F18)&amp;" — "&amp;Variants!$H18)</f>
        <v>Bird Letter Pendant — Alphabet Զ — red</v>
      </c>
      <c r="B17" s="21" t="str">
        <f aca="false">IFERROR(IF(Variants!$B18="","",VLOOKUP(Variants!$B18,Designs!$A$3:$AP$165,9,FALSE())&amp;" Handmade in Armenia."),"")</f>
        <v>Bird letters are an ornamental medieval Armenian script where each letter is formed from stylised birds, used in illuminated manuscripts. Handmade in Armenia.</v>
      </c>
      <c r="C17" s="18" t="n">
        <f aca="false">IF(Variants!$J18="","",Variants!$J18)</f>
        <v>49.4</v>
      </c>
      <c r="D17" s="21" t="n">
        <f aca="false">IF(Variants!$O18="","",Variants!$O18)</f>
        <v>0</v>
      </c>
      <c r="E17" s="21" t="str">
        <f aca="false">Variants!$A18</f>
        <v>KARNI-PEND-ALPHA-ZA-RED</v>
      </c>
      <c r="F17" s="21" t="str">
        <f aca="false">IF(Variants!$E18="","",Variants!$E18&amp;", Armenian, handmade, enamel, "&amp;Variants!$D18)</f>
        <v>Alphabet, Armenian, handmade, enamel, Pendant</v>
      </c>
      <c r="G17" s="21" t="str">
        <f aca="false">IFERROR(VLOOKUP(Variants!$B18,Designs!$A$3:$AP$165,12,FALSE())&amp;", enamel","")</f>
        <v>925 Silver Gold-Plated, enamel</v>
      </c>
      <c r="H17" s="21" t="str">
        <f aca="false">IF(Variants!$B18="","","I did")</f>
        <v>I did</v>
      </c>
      <c r="I17" s="21" t="str">
        <f aca="false">IF(Variants!$B18="","","Made to order")</f>
        <v>Made to order</v>
      </c>
      <c r="J17" s="21" t="str">
        <f aca="false">IF(Variants!$D18="","",Variants!$D18)</f>
        <v>Pendant</v>
      </c>
      <c r="K17" s="21" t="str">
        <f aca="false">IF(Variants!$Y18="","",Variants!$Y18)</f>
        <v/>
      </c>
      <c r="L17" s="21" t="str">
        <f aca="false">IF(Variants!$H18="","",Variants!$H18)</f>
        <v>red</v>
      </c>
      <c r="M17" s="21" t="str">
        <f aca="false">IF(Variants!$G18="","",Variants!$G18)</f>
        <v/>
      </c>
    </row>
    <row r="18" customFormat="false" ht="15.75" hidden="false" customHeight="true" outlineLevel="0" collapsed="false">
      <c r="A18" s="21" t="str">
        <f aca="false">IF(Variants!$B19="","",Variants!$C19&amp;" — "&amp;Variants!$E19&amp;IF(Variants!$F19=""," "," "&amp;Variants!$F19)&amp;" — "&amp;Variants!$H19)</f>
        <v>Bird Letter Pendant — Alphabet Զ — turquoise</v>
      </c>
      <c r="B18" s="21" t="str">
        <f aca="false">IFERROR(IF(Variants!$B19="","",VLOOKUP(Variants!$B19,Designs!$A$3:$AP$165,9,FALSE())&amp;" Handmade in Armenia."),"")</f>
        <v>Bird letters are an ornamental medieval Armenian script where each letter is formed from stylised birds, used in illuminated manuscripts. Handmade in Armenia.</v>
      </c>
      <c r="C18" s="18" t="n">
        <f aca="false">IF(Variants!$J19="","",Variants!$J19)</f>
        <v>49.4</v>
      </c>
      <c r="D18" s="21" t="n">
        <f aca="false">IF(Variants!$O19="","",Variants!$O19)</f>
        <v>0</v>
      </c>
      <c r="E18" s="21" t="str">
        <f aca="false">Variants!$A19</f>
        <v>KARNI-PEND-ALPHA-ZA-TURQUOISE</v>
      </c>
      <c r="F18" s="21" t="str">
        <f aca="false">IF(Variants!$E19="","",Variants!$E19&amp;", Armenian, handmade, enamel, "&amp;Variants!$D19)</f>
        <v>Alphabet, Armenian, handmade, enamel, Pendant</v>
      </c>
      <c r="G18" s="21" t="str">
        <f aca="false">IFERROR(VLOOKUP(Variants!$B19,Designs!$A$3:$AP$165,12,FALSE())&amp;", enamel","")</f>
        <v>925 Silver Gold-Plated, enamel</v>
      </c>
      <c r="H18" s="21" t="str">
        <f aca="false">IF(Variants!$B19="","","I did")</f>
        <v>I did</v>
      </c>
      <c r="I18" s="21" t="str">
        <f aca="false">IF(Variants!$B19="","","Made to order")</f>
        <v>Made to order</v>
      </c>
      <c r="J18" s="21" t="str">
        <f aca="false">IF(Variants!$D19="","",Variants!$D19)</f>
        <v>Pendant</v>
      </c>
      <c r="K18" s="21" t="str">
        <f aca="false">IF(Variants!$Y19="","",Variants!$Y19)</f>
        <v/>
      </c>
      <c r="L18" s="21" t="str">
        <f aca="false">IF(Variants!$H19="","",Variants!$H19)</f>
        <v>turquoise</v>
      </c>
      <c r="M18" s="21" t="str">
        <f aca="false">IF(Variants!$G19="","",Variants!$G19)</f>
        <v/>
      </c>
    </row>
    <row r="19" customFormat="false" ht="15.75" hidden="false" customHeight="true" outlineLevel="0" collapsed="false">
      <c r="A19" s="21" t="str">
        <f aca="false">IF(Variants!$B20="","",Variants!$C20&amp;" — "&amp;Variants!$E20&amp;IF(Variants!$F20=""," "," "&amp;Variants!$F20)&amp;" — "&amp;Variants!$H20)</f>
        <v>Bird Letter Pendant — Alphabet Զ — white</v>
      </c>
      <c r="B19" s="21" t="str">
        <f aca="false">IFERROR(IF(Variants!$B20="","",VLOOKUP(Variants!$B20,Designs!$A$3:$AP$165,9,FALSE())&amp;" Handmade in Armenia."),"")</f>
        <v>Bird letters are an ornamental medieval Armenian script where each letter is formed from stylised birds, used in illuminated manuscripts. Handmade in Armenia.</v>
      </c>
      <c r="C19" s="18" t="n">
        <f aca="false">IF(Variants!$J20="","",Variants!$J20)</f>
        <v>49.4</v>
      </c>
      <c r="D19" s="21" t="n">
        <f aca="false">IF(Variants!$O20="","",Variants!$O20)</f>
        <v>0</v>
      </c>
      <c r="E19" s="21" t="str">
        <f aca="false">Variants!$A20</f>
        <v>KARNI-PEND-ALPHA-ZA-WHITE</v>
      </c>
      <c r="F19" s="21" t="str">
        <f aca="false">IF(Variants!$E20="","",Variants!$E20&amp;", Armenian, handmade, enamel, "&amp;Variants!$D20)</f>
        <v>Alphabet, Armenian, handmade, enamel, Pendant</v>
      </c>
      <c r="G19" s="21" t="str">
        <f aca="false">IFERROR(VLOOKUP(Variants!$B20,Designs!$A$3:$AP$165,12,FALSE())&amp;", enamel","")</f>
        <v>925 Silver Gold-Plated, enamel</v>
      </c>
      <c r="H19" s="21" t="str">
        <f aca="false">IF(Variants!$B20="","","I did")</f>
        <v>I did</v>
      </c>
      <c r="I19" s="21" t="str">
        <f aca="false">IF(Variants!$B20="","","Made to order")</f>
        <v>Made to order</v>
      </c>
      <c r="J19" s="21" t="str">
        <f aca="false">IF(Variants!$D20="","",Variants!$D20)</f>
        <v>Pendant</v>
      </c>
      <c r="K19" s="21" t="str">
        <f aca="false">IF(Variants!$Y20="","",Variants!$Y20)</f>
        <v/>
      </c>
      <c r="L19" s="21" t="str">
        <f aca="false">IF(Variants!$H20="","",Variants!$H20)</f>
        <v>white</v>
      </c>
      <c r="M19" s="21" t="str">
        <f aca="false">IF(Variants!$G20="","",Variants!$G20)</f>
        <v/>
      </c>
    </row>
    <row r="20" customFormat="false" ht="15.75" hidden="false" customHeight="true" outlineLevel="0" collapsed="false">
      <c r="A20" s="21" t="str">
        <f aca="false">IF(Variants!$B21="","",Variants!$C21&amp;" — "&amp;Variants!$E21&amp;IF(Variants!$F21=""," "," "&amp;Variants!$F21)&amp;" — "&amp;Variants!$H21)</f>
        <v>Bird Letter Pendant — Alphabet Է — red</v>
      </c>
      <c r="B20" s="21" t="str">
        <f aca="false">IFERROR(IF(Variants!$B21="","",VLOOKUP(Variants!$B21,Designs!$A$3:$AP$165,9,FALSE())&amp;" Handmade in Armenia."),"")</f>
        <v>Bird letters are an ornamental medieval Armenian script where each letter is formed from stylised birds, used in illuminated manuscripts. Handmade in Armenia.</v>
      </c>
      <c r="C20" s="18" t="n">
        <f aca="false">IF(Variants!$J21="","",Variants!$J21)</f>
        <v>49.4</v>
      </c>
      <c r="D20" s="21" t="n">
        <f aca="false">IF(Variants!$O21="","",Variants!$O21)</f>
        <v>0</v>
      </c>
      <c r="E20" s="21" t="str">
        <f aca="false">Variants!$A21</f>
        <v>KARNI-PEND-ALPHA-E-RED</v>
      </c>
      <c r="F20" s="21" t="str">
        <f aca="false">IF(Variants!$E21="","",Variants!$E21&amp;", Armenian, handmade, enamel, "&amp;Variants!$D21)</f>
        <v>Alphabet, Armenian, handmade, enamel, Pendant</v>
      </c>
      <c r="G20" s="21" t="str">
        <f aca="false">IFERROR(VLOOKUP(Variants!$B21,Designs!$A$3:$AP$165,12,FALSE())&amp;", enamel","")</f>
        <v>925 Silver Gold-Plated, enamel</v>
      </c>
      <c r="H20" s="21" t="str">
        <f aca="false">IF(Variants!$B21="","","I did")</f>
        <v>I did</v>
      </c>
      <c r="I20" s="21" t="str">
        <f aca="false">IF(Variants!$B21="","","Made to order")</f>
        <v>Made to order</v>
      </c>
      <c r="J20" s="21" t="str">
        <f aca="false">IF(Variants!$D21="","",Variants!$D21)</f>
        <v>Pendant</v>
      </c>
      <c r="K20" s="21" t="str">
        <f aca="false">IF(Variants!$Y21="","",Variants!$Y21)</f>
        <v/>
      </c>
      <c r="L20" s="21" t="str">
        <f aca="false">IF(Variants!$H21="","",Variants!$H21)</f>
        <v>red</v>
      </c>
      <c r="M20" s="21" t="str">
        <f aca="false">IF(Variants!$G21="","",Variants!$G21)</f>
        <v/>
      </c>
    </row>
    <row r="21" customFormat="false" ht="15.75" hidden="false" customHeight="true" outlineLevel="0" collapsed="false">
      <c r="A21" s="21" t="str">
        <f aca="false">IF(Variants!$B22="","",Variants!$C22&amp;" — "&amp;Variants!$E22&amp;IF(Variants!$F22=""," "," "&amp;Variants!$F22)&amp;" — "&amp;Variants!$H22)</f>
        <v>Bird Letter Pendant — Alphabet Է — turquoise</v>
      </c>
      <c r="B21" s="21" t="str">
        <f aca="false">IFERROR(IF(Variants!$B22="","",VLOOKUP(Variants!$B22,Designs!$A$3:$AP$165,9,FALSE())&amp;" Handmade in Armenia."),"")</f>
        <v>Bird letters are an ornamental medieval Armenian script where each letter is formed from stylised birds, used in illuminated manuscripts. Handmade in Armenia.</v>
      </c>
      <c r="C21" s="18" t="n">
        <f aca="false">IF(Variants!$J22="","",Variants!$J22)</f>
        <v>49.4</v>
      </c>
      <c r="D21" s="21" t="n">
        <f aca="false">IF(Variants!$O22="","",Variants!$O22)</f>
        <v>0</v>
      </c>
      <c r="E21" s="21" t="str">
        <f aca="false">Variants!$A22</f>
        <v>KARNI-PEND-ALPHA-E-TURQUOISE</v>
      </c>
      <c r="F21" s="21" t="str">
        <f aca="false">IF(Variants!$E22="","",Variants!$E22&amp;", Armenian, handmade, enamel, "&amp;Variants!$D22)</f>
        <v>Alphabet, Armenian, handmade, enamel, Pendant</v>
      </c>
      <c r="G21" s="21" t="str">
        <f aca="false">IFERROR(VLOOKUP(Variants!$B22,Designs!$A$3:$AP$165,12,FALSE())&amp;", enamel","")</f>
        <v>925 Silver Gold-Plated, enamel</v>
      </c>
      <c r="H21" s="21" t="str">
        <f aca="false">IF(Variants!$B22="","","I did")</f>
        <v>I did</v>
      </c>
      <c r="I21" s="21" t="str">
        <f aca="false">IF(Variants!$B22="","","Made to order")</f>
        <v>Made to order</v>
      </c>
      <c r="J21" s="21" t="str">
        <f aca="false">IF(Variants!$D22="","",Variants!$D22)</f>
        <v>Pendant</v>
      </c>
      <c r="K21" s="21" t="str">
        <f aca="false">IF(Variants!$Y22="","",Variants!$Y22)</f>
        <v/>
      </c>
      <c r="L21" s="21" t="str">
        <f aca="false">IF(Variants!$H22="","",Variants!$H22)</f>
        <v>turquoise</v>
      </c>
      <c r="M21" s="21" t="str">
        <f aca="false">IF(Variants!$G22="","",Variants!$G22)</f>
        <v/>
      </c>
    </row>
    <row r="22" customFormat="false" ht="15.75" hidden="false" customHeight="true" outlineLevel="0" collapsed="false">
      <c r="A22" s="21" t="str">
        <f aca="false">IF(Variants!$B23="","",Variants!$C23&amp;" — "&amp;Variants!$E23&amp;IF(Variants!$F23=""," "," "&amp;Variants!$F23)&amp;" — "&amp;Variants!$H23)</f>
        <v>Bird Letter Pendant — Alphabet Է — white</v>
      </c>
      <c r="B22" s="21" t="str">
        <f aca="false">IFERROR(IF(Variants!$B23="","",VLOOKUP(Variants!$B23,Designs!$A$3:$AP$165,9,FALSE())&amp;" Handmade in Armenia."),"")</f>
        <v>Bird letters are an ornamental medieval Armenian script where each letter is formed from stylised birds, used in illuminated manuscripts. Handmade in Armenia.</v>
      </c>
      <c r="C22" s="18" t="n">
        <f aca="false">IF(Variants!$J23="","",Variants!$J23)</f>
        <v>49.4</v>
      </c>
      <c r="D22" s="21" t="n">
        <f aca="false">IF(Variants!$O23="","",Variants!$O23)</f>
        <v>0</v>
      </c>
      <c r="E22" s="21" t="str">
        <f aca="false">Variants!$A23</f>
        <v>KARNI-PEND-ALPHA-E-WHITE</v>
      </c>
      <c r="F22" s="21" t="str">
        <f aca="false">IF(Variants!$E23="","",Variants!$E23&amp;", Armenian, handmade, enamel, "&amp;Variants!$D23)</f>
        <v>Alphabet, Armenian, handmade, enamel, Pendant</v>
      </c>
      <c r="G22" s="21" t="str">
        <f aca="false">IFERROR(VLOOKUP(Variants!$B23,Designs!$A$3:$AP$165,12,FALSE())&amp;", enamel","")</f>
        <v>925 Silver Gold-Plated, enamel</v>
      </c>
      <c r="H22" s="21" t="str">
        <f aca="false">IF(Variants!$B23="","","I did")</f>
        <v>I did</v>
      </c>
      <c r="I22" s="21" t="str">
        <f aca="false">IF(Variants!$B23="","","Made to order")</f>
        <v>Made to order</v>
      </c>
      <c r="J22" s="21" t="str">
        <f aca="false">IF(Variants!$D23="","",Variants!$D23)</f>
        <v>Pendant</v>
      </c>
      <c r="K22" s="21" t="str">
        <f aca="false">IF(Variants!$Y23="","",Variants!$Y23)</f>
        <v/>
      </c>
      <c r="L22" s="21" t="str">
        <f aca="false">IF(Variants!$H23="","",Variants!$H23)</f>
        <v>white</v>
      </c>
      <c r="M22" s="21" t="str">
        <f aca="false">IF(Variants!$G23="","",Variants!$G23)</f>
        <v/>
      </c>
    </row>
    <row r="23" customFormat="false" ht="15.75" hidden="false" customHeight="true" outlineLevel="0" collapsed="false">
      <c r="A23" s="21" t="str">
        <f aca="false">IF(Variants!$B24="","",Variants!$C24&amp;" — "&amp;Variants!$E24&amp;IF(Variants!$F24=""," "," "&amp;Variants!$F24)&amp;" — "&amp;Variants!$H24)</f>
        <v>Bird Letter Pendant — Alphabet Ը — red</v>
      </c>
      <c r="B23" s="21" t="str">
        <f aca="false">IFERROR(IF(Variants!$B24="","",VLOOKUP(Variants!$B24,Designs!$A$3:$AP$165,9,FALSE())&amp;" Handmade in Armenia."),"")</f>
        <v>Bird letters are an ornamental medieval Armenian script where each letter is formed from stylised birds, used in illuminated manuscripts. Handmade in Armenia.</v>
      </c>
      <c r="C23" s="18" t="n">
        <f aca="false">IF(Variants!$J24="","",Variants!$J24)</f>
        <v>49.4</v>
      </c>
      <c r="D23" s="21" t="n">
        <f aca="false">IF(Variants!$O24="","",Variants!$O24)</f>
        <v>0</v>
      </c>
      <c r="E23" s="21" t="str">
        <f aca="false">Variants!$A24</f>
        <v>KARNI-PEND-ALPHA-YT-RED</v>
      </c>
      <c r="F23" s="21" t="str">
        <f aca="false">IF(Variants!$E24="","",Variants!$E24&amp;", Armenian, handmade, enamel, "&amp;Variants!$D24)</f>
        <v>Alphabet, Armenian, handmade, enamel, Pendant</v>
      </c>
      <c r="G23" s="21" t="str">
        <f aca="false">IFERROR(VLOOKUP(Variants!$B24,Designs!$A$3:$AP$165,12,FALSE())&amp;", enamel","")</f>
        <v>925 Silver Gold-Plated, enamel</v>
      </c>
      <c r="H23" s="21" t="str">
        <f aca="false">IF(Variants!$B24="","","I did")</f>
        <v>I did</v>
      </c>
      <c r="I23" s="21" t="str">
        <f aca="false">IF(Variants!$B24="","","Made to order")</f>
        <v>Made to order</v>
      </c>
      <c r="J23" s="21" t="str">
        <f aca="false">IF(Variants!$D24="","",Variants!$D24)</f>
        <v>Pendant</v>
      </c>
      <c r="K23" s="21" t="str">
        <f aca="false">IF(Variants!$Y24="","",Variants!$Y24)</f>
        <v/>
      </c>
      <c r="L23" s="21" t="str">
        <f aca="false">IF(Variants!$H24="","",Variants!$H24)</f>
        <v>red</v>
      </c>
      <c r="M23" s="21" t="str">
        <f aca="false">IF(Variants!$G24="","",Variants!$G24)</f>
        <v/>
      </c>
    </row>
    <row r="24" customFormat="false" ht="15.75" hidden="false" customHeight="true" outlineLevel="0" collapsed="false">
      <c r="A24" s="21" t="str">
        <f aca="false">IF(Variants!$B25="","",Variants!$C25&amp;" — "&amp;Variants!$E25&amp;IF(Variants!$F25=""," "," "&amp;Variants!$F25)&amp;" — "&amp;Variants!$H25)</f>
        <v>Bird Letter Pendant — Alphabet Ը — turquoise</v>
      </c>
      <c r="B24" s="21" t="str">
        <f aca="false">IFERROR(IF(Variants!$B25="","",VLOOKUP(Variants!$B25,Designs!$A$3:$AP$165,9,FALSE())&amp;" Handmade in Armenia."),"")</f>
        <v>Bird letters are an ornamental medieval Armenian script where each letter is formed from stylised birds, used in illuminated manuscripts. Handmade in Armenia.</v>
      </c>
      <c r="C24" s="18" t="n">
        <f aca="false">IF(Variants!$J25="","",Variants!$J25)</f>
        <v>49.4</v>
      </c>
      <c r="D24" s="21" t="n">
        <f aca="false">IF(Variants!$O25="","",Variants!$O25)</f>
        <v>0</v>
      </c>
      <c r="E24" s="21" t="str">
        <f aca="false">Variants!$A25</f>
        <v>KARNI-PEND-ALPHA-YT-TURQUOISE</v>
      </c>
      <c r="F24" s="21" t="str">
        <f aca="false">IF(Variants!$E25="","",Variants!$E25&amp;", Armenian, handmade, enamel, "&amp;Variants!$D25)</f>
        <v>Alphabet, Armenian, handmade, enamel, Pendant</v>
      </c>
      <c r="G24" s="21" t="str">
        <f aca="false">IFERROR(VLOOKUP(Variants!$B25,Designs!$A$3:$AP$165,12,FALSE())&amp;", enamel","")</f>
        <v>925 Silver Gold-Plated, enamel</v>
      </c>
      <c r="H24" s="21" t="str">
        <f aca="false">IF(Variants!$B25="","","I did")</f>
        <v>I did</v>
      </c>
      <c r="I24" s="21" t="str">
        <f aca="false">IF(Variants!$B25="","","Made to order")</f>
        <v>Made to order</v>
      </c>
      <c r="J24" s="21" t="str">
        <f aca="false">IF(Variants!$D25="","",Variants!$D25)</f>
        <v>Pendant</v>
      </c>
      <c r="K24" s="21" t="str">
        <f aca="false">IF(Variants!$Y25="","",Variants!$Y25)</f>
        <v/>
      </c>
      <c r="L24" s="21" t="str">
        <f aca="false">IF(Variants!$H25="","",Variants!$H25)</f>
        <v>turquoise</v>
      </c>
      <c r="M24" s="21" t="str">
        <f aca="false">IF(Variants!$G25="","",Variants!$G25)</f>
        <v/>
      </c>
    </row>
    <row r="25" customFormat="false" ht="15.75" hidden="false" customHeight="true" outlineLevel="0" collapsed="false">
      <c r="A25" s="21" t="str">
        <f aca="false">IF(Variants!$B26="","",Variants!$C26&amp;" — "&amp;Variants!$E26&amp;IF(Variants!$F26=""," "," "&amp;Variants!$F26)&amp;" — "&amp;Variants!$H26)</f>
        <v>Bird Letter Pendant — Alphabet Ը — white</v>
      </c>
      <c r="B25" s="21" t="str">
        <f aca="false">IFERROR(IF(Variants!$B26="","",VLOOKUP(Variants!$B26,Designs!$A$3:$AP$165,9,FALSE())&amp;" Handmade in Armenia."),"")</f>
        <v>Bird letters are an ornamental medieval Armenian script where each letter is formed from stylised birds, used in illuminated manuscripts. Handmade in Armenia.</v>
      </c>
      <c r="C25" s="18" t="n">
        <f aca="false">IF(Variants!$J26="","",Variants!$J26)</f>
        <v>49.4</v>
      </c>
      <c r="D25" s="21" t="n">
        <f aca="false">IF(Variants!$O26="","",Variants!$O26)</f>
        <v>0</v>
      </c>
      <c r="E25" s="21" t="str">
        <f aca="false">Variants!$A26</f>
        <v>KARNI-PEND-ALPHA-YT-WHITE</v>
      </c>
      <c r="F25" s="21" t="str">
        <f aca="false">IF(Variants!$E26="","",Variants!$E26&amp;", Armenian, handmade, enamel, "&amp;Variants!$D26)</f>
        <v>Alphabet, Armenian, handmade, enamel, Pendant</v>
      </c>
      <c r="G25" s="21" t="str">
        <f aca="false">IFERROR(VLOOKUP(Variants!$B26,Designs!$A$3:$AP$165,12,FALSE())&amp;", enamel","")</f>
        <v>925 Silver Gold-Plated, enamel</v>
      </c>
      <c r="H25" s="21" t="str">
        <f aca="false">IF(Variants!$B26="","","I did")</f>
        <v>I did</v>
      </c>
      <c r="I25" s="21" t="str">
        <f aca="false">IF(Variants!$B26="","","Made to order")</f>
        <v>Made to order</v>
      </c>
      <c r="J25" s="21" t="str">
        <f aca="false">IF(Variants!$D26="","",Variants!$D26)</f>
        <v>Pendant</v>
      </c>
      <c r="K25" s="21" t="str">
        <f aca="false">IF(Variants!$Y26="","",Variants!$Y26)</f>
        <v/>
      </c>
      <c r="L25" s="21" t="str">
        <f aca="false">IF(Variants!$H26="","",Variants!$H26)</f>
        <v>white</v>
      </c>
      <c r="M25" s="21" t="str">
        <f aca="false">IF(Variants!$G26="","",Variants!$G26)</f>
        <v/>
      </c>
    </row>
    <row r="26" customFormat="false" ht="15.75" hidden="false" customHeight="true" outlineLevel="0" collapsed="false">
      <c r="A26" s="21" t="str">
        <f aca="false">IF(Variants!$B27="","",Variants!$C27&amp;" — "&amp;Variants!$E27&amp;IF(Variants!$F27=""," "," "&amp;Variants!$F27)&amp;" — "&amp;Variants!$H27)</f>
        <v>Bird Letter Pendant — Alphabet Թ — red</v>
      </c>
      <c r="B26" s="21" t="str">
        <f aca="false">IFERROR(IF(Variants!$B27="","",VLOOKUP(Variants!$B27,Designs!$A$3:$AP$165,9,FALSE())&amp;" Handmade in Armenia."),"")</f>
        <v>Bird letters are an ornamental medieval Armenian script where each letter is formed from stylised birds, used in illuminated manuscripts. Handmade in Armenia.</v>
      </c>
      <c r="C26" s="18" t="n">
        <f aca="false">IF(Variants!$J27="","",Variants!$J27)</f>
        <v>49.4</v>
      </c>
      <c r="D26" s="21" t="n">
        <f aca="false">IF(Variants!$O27="","",Variants!$O27)</f>
        <v>0</v>
      </c>
      <c r="E26" s="21" t="str">
        <f aca="false">Variants!$A27</f>
        <v>KARNI-PEND-ALPHA-TO-RED</v>
      </c>
      <c r="F26" s="21" t="str">
        <f aca="false">IF(Variants!$E27="","",Variants!$E27&amp;", Armenian, handmade, enamel, "&amp;Variants!$D27)</f>
        <v>Alphabet, Armenian, handmade, enamel, Pendant</v>
      </c>
      <c r="G26" s="21" t="str">
        <f aca="false">IFERROR(VLOOKUP(Variants!$B27,Designs!$A$3:$AP$165,12,FALSE())&amp;", enamel","")</f>
        <v>925 Silver Gold-Plated, enamel</v>
      </c>
      <c r="H26" s="21" t="str">
        <f aca="false">IF(Variants!$B27="","","I did")</f>
        <v>I did</v>
      </c>
      <c r="I26" s="21" t="str">
        <f aca="false">IF(Variants!$B27="","","Made to order")</f>
        <v>Made to order</v>
      </c>
      <c r="J26" s="21" t="str">
        <f aca="false">IF(Variants!$D27="","",Variants!$D27)</f>
        <v>Pendant</v>
      </c>
      <c r="K26" s="21" t="str">
        <f aca="false">IF(Variants!$Y27="","",Variants!$Y27)</f>
        <v/>
      </c>
      <c r="L26" s="21" t="str">
        <f aca="false">IF(Variants!$H27="","",Variants!$H27)</f>
        <v>red</v>
      </c>
      <c r="M26" s="21" t="str">
        <f aca="false">IF(Variants!$G27="","",Variants!$G27)</f>
        <v/>
      </c>
    </row>
    <row r="27" customFormat="false" ht="15.75" hidden="false" customHeight="true" outlineLevel="0" collapsed="false">
      <c r="A27" s="21" t="str">
        <f aca="false">IF(Variants!$B28="","",Variants!$C28&amp;" — "&amp;Variants!$E28&amp;IF(Variants!$F28=""," "," "&amp;Variants!$F28)&amp;" — "&amp;Variants!$H28)</f>
        <v>Bird Letter Pendant — Alphabet Թ — turquoise</v>
      </c>
      <c r="B27" s="21" t="str">
        <f aca="false">IFERROR(IF(Variants!$B28="","",VLOOKUP(Variants!$B28,Designs!$A$3:$AP$165,9,FALSE())&amp;" Handmade in Armenia."),"")</f>
        <v>Bird letters are an ornamental medieval Armenian script where each letter is formed from stylised birds, used in illuminated manuscripts. Handmade in Armenia.</v>
      </c>
      <c r="C27" s="18" t="n">
        <f aca="false">IF(Variants!$J28="","",Variants!$J28)</f>
        <v>49.4</v>
      </c>
      <c r="D27" s="21" t="n">
        <f aca="false">IF(Variants!$O28="","",Variants!$O28)</f>
        <v>0</v>
      </c>
      <c r="E27" s="21" t="str">
        <f aca="false">Variants!$A28</f>
        <v>KARNI-PEND-ALPHA-TO-TURQUOISE</v>
      </c>
      <c r="F27" s="21" t="str">
        <f aca="false">IF(Variants!$E28="","",Variants!$E28&amp;", Armenian, handmade, enamel, "&amp;Variants!$D28)</f>
        <v>Alphabet, Armenian, handmade, enamel, Pendant</v>
      </c>
      <c r="G27" s="21" t="str">
        <f aca="false">IFERROR(VLOOKUP(Variants!$B28,Designs!$A$3:$AP$165,12,FALSE())&amp;", enamel","")</f>
        <v>925 Silver Gold-Plated, enamel</v>
      </c>
      <c r="H27" s="21" t="str">
        <f aca="false">IF(Variants!$B28="","","I did")</f>
        <v>I did</v>
      </c>
      <c r="I27" s="21" t="str">
        <f aca="false">IF(Variants!$B28="","","Made to order")</f>
        <v>Made to order</v>
      </c>
      <c r="J27" s="21" t="str">
        <f aca="false">IF(Variants!$D28="","",Variants!$D28)</f>
        <v>Pendant</v>
      </c>
      <c r="K27" s="21" t="str">
        <f aca="false">IF(Variants!$Y28="","",Variants!$Y28)</f>
        <v/>
      </c>
      <c r="L27" s="21" t="str">
        <f aca="false">IF(Variants!$H28="","",Variants!$H28)</f>
        <v>turquoise</v>
      </c>
      <c r="M27" s="21" t="str">
        <f aca="false">IF(Variants!$G28="","",Variants!$G28)</f>
        <v/>
      </c>
    </row>
    <row r="28" customFormat="false" ht="15.75" hidden="false" customHeight="true" outlineLevel="0" collapsed="false">
      <c r="A28" s="21" t="str">
        <f aca="false">IF(Variants!$B29="","",Variants!$C29&amp;" — "&amp;Variants!$E29&amp;IF(Variants!$F29=""," "," "&amp;Variants!$F29)&amp;" — "&amp;Variants!$H29)</f>
        <v>Bird Letter Pendant — Alphabet Թ — white</v>
      </c>
      <c r="B28" s="21" t="str">
        <f aca="false">IFERROR(IF(Variants!$B29="","",VLOOKUP(Variants!$B29,Designs!$A$3:$AP$165,9,FALSE())&amp;" Handmade in Armenia."),"")</f>
        <v>Bird letters are an ornamental medieval Armenian script where each letter is formed from stylised birds, used in illuminated manuscripts. Handmade in Armenia.</v>
      </c>
      <c r="C28" s="18" t="n">
        <f aca="false">IF(Variants!$J29="","",Variants!$J29)</f>
        <v>49.4</v>
      </c>
      <c r="D28" s="21" t="n">
        <f aca="false">IF(Variants!$O29="","",Variants!$O29)</f>
        <v>0</v>
      </c>
      <c r="E28" s="21" t="str">
        <f aca="false">Variants!$A29</f>
        <v>KARNI-PEND-ALPHA-TO-WHITE</v>
      </c>
      <c r="F28" s="21" t="str">
        <f aca="false">IF(Variants!$E29="","",Variants!$E29&amp;", Armenian, handmade, enamel, "&amp;Variants!$D29)</f>
        <v>Alphabet, Armenian, handmade, enamel, Pendant</v>
      </c>
      <c r="G28" s="21" t="str">
        <f aca="false">IFERROR(VLOOKUP(Variants!$B29,Designs!$A$3:$AP$165,12,FALSE())&amp;", enamel","")</f>
        <v>925 Silver Gold-Plated, enamel</v>
      </c>
      <c r="H28" s="21" t="str">
        <f aca="false">IF(Variants!$B29="","","I did")</f>
        <v>I did</v>
      </c>
      <c r="I28" s="21" t="str">
        <f aca="false">IF(Variants!$B29="","","Made to order")</f>
        <v>Made to order</v>
      </c>
      <c r="J28" s="21" t="str">
        <f aca="false">IF(Variants!$D29="","",Variants!$D29)</f>
        <v>Pendant</v>
      </c>
      <c r="K28" s="21" t="str">
        <f aca="false">IF(Variants!$Y29="","",Variants!$Y29)</f>
        <v/>
      </c>
      <c r="L28" s="21" t="str">
        <f aca="false">IF(Variants!$H29="","",Variants!$H29)</f>
        <v>white</v>
      </c>
      <c r="M28" s="21" t="str">
        <f aca="false">IF(Variants!$G29="","",Variants!$G29)</f>
        <v/>
      </c>
    </row>
    <row r="29" customFormat="false" ht="15.75" hidden="false" customHeight="true" outlineLevel="0" collapsed="false">
      <c r="A29" s="21" t="str">
        <f aca="false">IF(Variants!$B30="","",Variants!$C30&amp;" — "&amp;Variants!$E30&amp;IF(Variants!$F30=""," "," "&amp;Variants!$F30)&amp;" — "&amp;Variants!$H30)</f>
        <v>Bird Letter Pendant — Alphabet Ժ — red</v>
      </c>
      <c r="B29" s="21" t="str">
        <f aca="false">IFERROR(IF(Variants!$B30="","",VLOOKUP(Variants!$B30,Designs!$A$3:$AP$165,9,FALSE())&amp;" Handmade in Armenia."),"")</f>
        <v>Bird letters are an ornamental medieval Armenian script where each letter is formed from stylised birds, used in illuminated manuscripts. Handmade in Armenia.</v>
      </c>
      <c r="C29" s="18" t="n">
        <f aca="false">IF(Variants!$J30="","",Variants!$J30)</f>
        <v>49.4</v>
      </c>
      <c r="D29" s="21" t="n">
        <f aca="false">IF(Variants!$O30="","",Variants!$O30)</f>
        <v>0</v>
      </c>
      <c r="E29" s="21" t="str">
        <f aca="false">Variants!$A30</f>
        <v>KARNI-PEND-ALPHA-ZHE-RED</v>
      </c>
      <c r="F29" s="21" t="str">
        <f aca="false">IF(Variants!$E30="","",Variants!$E30&amp;", Armenian, handmade, enamel, "&amp;Variants!$D30)</f>
        <v>Alphabet, Armenian, handmade, enamel, Pendant</v>
      </c>
      <c r="G29" s="21" t="str">
        <f aca="false">IFERROR(VLOOKUP(Variants!$B30,Designs!$A$3:$AP$165,12,FALSE())&amp;", enamel","")</f>
        <v>925 Silver Gold-Plated, enamel</v>
      </c>
      <c r="H29" s="21" t="str">
        <f aca="false">IF(Variants!$B30="","","I did")</f>
        <v>I did</v>
      </c>
      <c r="I29" s="21" t="str">
        <f aca="false">IF(Variants!$B30="","","Made to order")</f>
        <v>Made to order</v>
      </c>
      <c r="J29" s="21" t="str">
        <f aca="false">IF(Variants!$D30="","",Variants!$D30)</f>
        <v>Pendant</v>
      </c>
      <c r="K29" s="21" t="str">
        <f aca="false">IF(Variants!$Y30="","",Variants!$Y30)</f>
        <v/>
      </c>
      <c r="L29" s="21" t="str">
        <f aca="false">IF(Variants!$H30="","",Variants!$H30)</f>
        <v>red</v>
      </c>
      <c r="M29" s="21" t="str">
        <f aca="false">IF(Variants!$G30="","",Variants!$G30)</f>
        <v/>
      </c>
    </row>
    <row r="30" customFormat="false" ht="15.75" hidden="false" customHeight="true" outlineLevel="0" collapsed="false">
      <c r="A30" s="21" t="str">
        <f aca="false">IF(Variants!$B31="","",Variants!$C31&amp;" — "&amp;Variants!$E31&amp;IF(Variants!$F31=""," "," "&amp;Variants!$F31)&amp;" — "&amp;Variants!$H31)</f>
        <v>Bird Letter Pendant — Alphabet Ժ — turquoise</v>
      </c>
      <c r="B30" s="21" t="str">
        <f aca="false">IFERROR(IF(Variants!$B31="","",VLOOKUP(Variants!$B31,Designs!$A$3:$AP$165,9,FALSE())&amp;" Handmade in Armenia."),"")</f>
        <v>Bird letters are an ornamental medieval Armenian script where each letter is formed from stylised birds, used in illuminated manuscripts. Handmade in Armenia.</v>
      </c>
      <c r="C30" s="18" t="n">
        <f aca="false">IF(Variants!$J31="","",Variants!$J31)</f>
        <v>49.4</v>
      </c>
      <c r="D30" s="21" t="n">
        <f aca="false">IF(Variants!$O31="","",Variants!$O31)</f>
        <v>0</v>
      </c>
      <c r="E30" s="21" t="str">
        <f aca="false">Variants!$A31</f>
        <v>KARNI-PEND-ALPHA-ZHE-TURQUOISE</v>
      </c>
      <c r="F30" s="21" t="str">
        <f aca="false">IF(Variants!$E31="","",Variants!$E31&amp;", Armenian, handmade, enamel, "&amp;Variants!$D31)</f>
        <v>Alphabet, Armenian, handmade, enamel, Pendant</v>
      </c>
      <c r="G30" s="21" t="str">
        <f aca="false">IFERROR(VLOOKUP(Variants!$B31,Designs!$A$3:$AP$165,12,FALSE())&amp;", enamel","")</f>
        <v>925 Silver Gold-Plated, enamel</v>
      </c>
      <c r="H30" s="21" t="str">
        <f aca="false">IF(Variants!$B31="","","I did")</f>
        <v>I did</v>
      </c>
      <c r="I30" s="21" t="str">
        <f aca="false">IF(Variants!$B31="","","Made to order")</f>
        <v>Made to order</v>
      </c>
      <c r="J30" s="21" t="str">
        <f aca="false">IF(Variants!$D31="","",Variants!$D31)</f>
        <v>Pendant</v>
      </c>
      <c r="K30" s="21" t="str">
        <f aca="false">IF(Variants!$Y31="","",Variants!$Y31)</f>
        <v/>
      </c>
      <c r="L30" s="21" t="str">
        <f aca="false">IF(Variants!$H31="","",Variants!$H31)</f>
        <v>turquoise</v>
      </c>
      <c r="M30" s="21" t="str">
        <f aca="false">IF(Variants!$G31="","",Variants!$G31)</f>
        <v/>
      </c>
    </row>
    <row r="31" customFormat="false" ht="15.75" hidden="false" customHeight="true" outlineLevel="0" collapsed="false">
      <c r="A31" s="21" t="str">
        <f aca="false">IF(Variants!$B32="","",Variants!$C32&amp;" — "&amp;Variants!$E32&amp;IF(Variants!$F32=""," "," "&amp;Variants!$F32)&amp;" — "&amp;Variants!$H32)</f>
        <v>Bird Letter Pendant — Alphabet Ժ — white</v>
      </c>
      <c r="B31" s="21" t="str">
        <f aca="false">IFERROR(IF(Variants!$B32="","",VLOOKUP(Variants!$B32,Designs!$A$3:$AP$165,9,FALSE())&amp;" Handmade in Armenia."),"")</f>
        <v>Bird letters are an ornamental medieval Armenian script where each letter is formed from stylised birds, used in illuminated manuscripts. Handmade in Armenia.</v>
      </c>
      <c r="C31" s="18" t="n">
        <f aca="false">IF(Variants!$J32="","",Variants!$J32)</f>
        <v>49.4</v>
      </c>
      <c r="D31" s="21" t="n">
        <f aca="false">IF(Variants!$O32="","",Variants!$O32)</f>
        <v>0</v>
      </c>
      <c r="E31" s="21" t="str">
        <f aca="false">Variants!$A32</f>
        <v>KARNI-PEND-ALPHA-ZHE-WHITE</v>
      </c>
      <c r="F31" s="21" t="str">
        <f aca="false">IF(Variants!$E32="","",Variants!$E32&amp;", Armenian, handmade, enamel, "&amp;Variants!$D32)</f>
        <v>Alphabet, Armenian, handmade, enamel, Pendant</v>
      </c>
      <c r="G31" s="21" t="str">
        <f aca="false">IFERROR(VLOOKUP(Variants!$B32,Designs!$A$3:$AP$165,12,FALSE())&amp;", enamel","")</f>
        <v>925 Silver Gold-Plated, enamel</v>
      </c>
      <c r="H31" s="21" t="str">
        <f aca="false">IF(Variants!$B32="","","I did")</f>
        <v>I did</v>
      </c>
      <c r="I31" s="21" t="str">
        <f aca="false">IF(Variants!$B32="","","Made to order")</f>
        <v>Made to order</v>
      </c>
      <c r="J31" s="21" t="str">
        <f aca="false">IF(Variants!$D32="","",Variants!$D32)</f>
        <v>Pendant</v>
      </c>
      <c r="K31" s="21" t="str">
        <f aca="false">IF(Variants!$Y32="","",Variants!$Y32)</f>
        <v/>
      </c>
      <c r="L31" s="21" t="str">
        <f aca="false">IF(Variants!$H32="","",Variants!$H32)</f>
        <v>white</v>
      </c>
      <c r="M31" s="21" t="str">
        <f aca="false">IF(Variants!$G32="","",Variants!$G32)</f>
        <v/>
      </c>
    </row>
    <row r="32" customFormat="false" ht="15.75" hidden="false" customHeight="true" outlineLevel="0" collapsed="false">
      <c r="A32" s="21" t="str">
        <f aca="false">IF(Variants!$B33="","",Variants!$C33&amp;" — "&amp;Variants!$E33&amp;IF(Variants!$F33=""," "," "&amp;Variants!$F33)&amp;" — "&amp;Variants!$H33)</f>
        <v>Bird Letter Pendant — Alphabet Ի — red</v>
      </c>
      <c r="B32" s="21" t="str">
        <f aca="false">IFERROR(IF(Variants!$B33="","",VLOOKUP(Variants!$B33,Designs!$A$3:$AP$165,9,FALSE())&amp;" Handmade in Armenia."),"")</f>
        <v>Bird letters are an ornamental medieval Armenian script where each letter is formed from stylised birds, used in illuminated manuscripts. Handmade in Armenia.</v>
      </c>
      <c r="C32" s="18" t="n">
        <f aca="false">IF(Variants!$J33="","",Variants!$J33)</f>
        <v>49.4</v>
      </c>
      <c r="D32" s="21" t="n">
        <f aca="false">IF(Variants!$O33="","",Variants!$O33)</f>
        <v>0</v>
      </c>
      <c r="E32" s="21" t="str">
        <f aca="false">Variants!$A33</f>
        <v>KARNI-PEND-ALPHA-INI-RED</v>
      </c>
      <c r="F32" s="21" t="str">
        <f aca="false">IF(Variants!$E33="","",Variants!$E33&amp;", Armenian, handmade, enamel, "&amp;Variants!$D33)</f>
        <v>Alphabet, Armenian, handmade, enamel, Pendant</v>
      </c>
      <c r="G32" s="21" t="str">
        <f aca="false">IFERROR(VLOOKUP(Variants!$B33,Designs!$A$3:$AP$165,12,FALSE())&amp;", enamel","")</f>
        <v>925 Silver Gold-Plated, enamel</v>
      </c>
      <c r="H32" s="21" t="str">
        <f aca="false">IF(Variants!$B33="","","I did")</f>
        <v>I did</v>
      </c>
      <c r="I32" s="21" t="str">
        <f aca="false">IF(Variants!$B33="","","Made to order")</f>
        <v>Made to order</v>
      </c>
      <c r="J32" s="21" t="str">
        <f aca="false">IF(Variants!$D33="","",Variants!$D33)</f>
        <v>Pendant</v>
      </c>
      <c r="K32" s="21" t="str">
        <f aca="false">IF(Variants!$Y33="","",Variants!$Y33)</f>
        <v/>
      </c>
      <c r="L32" s="21" t="str">
        <f aca="false">IF(Variants!$H33="","",Variants!$H33)</f>
        <v>red</v>
      </c>
      <c r="M32" s="21" t="str">
        <f aca="false">IF(Variants!$G33="","",Variants!$G33)</f>
        <v/>
      </c>
    </row>
    <row r="33" customFormat="false" ht="15.75" hidden="false" customHeight="true" outlineLevel="0" collapsed="false">
      <c r="A33" s="21" t="str">
        <f aca="false">IF(Variants!$B34="","",Variants!$C34&amp;" — "&amp;Variants!$E34&amp;IF(Variants!$F34=""," "," "&amp;Variants!$F34)&amp;" — "&amp;Variants!$H34)</f>
        <v>Bird Letter Pendant — Alphabet Ի — turquoise</v>
      </c>
      <c r="B33" s="21" t="str">
        <f aca="false">IFERROR(IF(Variants!$B34="","",VLOOKUP(Variants!$B34,Designs!$A$3:$AP$165,9,FALSE())&amp;" Handmade in Armenia."),"")</f>
        <v>Bird letters are an ornamental medieval Armenian script where each letter is formed from stylised birds, used in illuminated manuscripts. Handmade in Armenia.</v>
      </c>
      <c r="C33" s="18" t="n">
        <f aca="false">IF(Variants!$J34="","",Variants!$J34)</f>
        <v>49.4</v>
      </c>
      <c r="D33" s="21" t="n">
        <f aca="false">IF(Variants!$O34="","",Variants!$O34)</f>
        <v>0</v>
      </c>
      <c r="E33" s="21" t="str">
        <f aca="false">Variants!$A34</f>
        <v>KARNI-PEND-ALPHA-INI-TURQUOISE</v>
      </c>
      <c r="F33" s="21" t="str">
        <f aca="false">IF(Variants!$E34="","",Variants!$E34&amp;", Armenian, handmade, enamel, "&amp;Variants!$D34)</f>
        <v>Alphabet, Armenian, handmade, enamel, Pendant</v>
      </c>
      <c r="G33" s="21" t="str">
        <f aca="false">IFERROR(VLOOKUP(Variants!$B34,Designs!$A$3:$AP$165,12,FALSE())&amp;", enamel","")</f>
        <v>925 Silver Gold-Plated, enamel</v>
      </c>
      <c r="H33" s="21" t="str">
        <f aca="false">IF(Variants!$B34="","","I did")</f>
        <v>I did</v>
      </c>
      <c r="I33" s="21" t="str">
        <f aca="false">IF(Variants!$B34="","","Made to order")</f>
        <v>Made to order</v>
      </c>
      <c r="J33" s="21" t="str">
        <f aca="false">IF(Variants!$D34="","",Variants!$D34)</f>
        <v>Pendant</v>
      </c>
      <c r="K33" s="21" t="str">
        <f aca="false">IF(Variants!$Y34="","",Variants!$Y34)</f>
        <v/>
      </c>
      <c r="L33" s="21" t="str">
        <f aca="false">IF(Variants!$H34="","",Variants!$H34)</f>
        <v>turquoise</v>
      </c>
      <c r="M33" s="21" t="str">
        <f aca="false">IF(Variants!$G34="","",Variants!$G34)</f>
        <v/>
      </c>
    </row>
    <row r="34" customFormat="false" ht="15.75" hidden="false" customHeight="true" outlineLevel="0" collapsed="false">
      <c r="A34" s="21" t="str">
        <f aca="false">IF(Variants!$B35="","",Variants!$C35&amp;" — "&amp;Variants!$E35&amp;IF(Variants!$F35=""," "," "&amp;Variants!$F35)&amp;" — "&amp;Variants!$H35)</f>
        <v>Bird Letter Pendant — Alphabet Ի — white</v>
      </c>
      <c r="B34" s="21" t="str">
        <f aca="false">IFERROR(IF(Variants!$B35="","",VLOOKUP(Variants!$B35,Designs!$A$3:$AP$165,9,FALSE())&amp;" Handmade in Armenia."),"")</f>
        <v>Bird letters are an ornamental medieval Armenian script where each letter is formed from stylised birds, used in illuminated manuscripts. Handmade in Armenia.</v>
      </c>
      <c r="C34" s="18" t="n">
        <f aca="false">IF(Variants!$J35="","",Variants!$J35)</f>
        <v>49.4</v>
      </c>
      <c r="D34" s="21" t="n">
        <f aca="false">IF(Variants!$O35="","",Variants!$O35)</f>
        <v>0</v>
      </c>
      <c r="E34" s="21" t="str">
        <f aca="false">Variants!$A35</f>
        <v>KARNI-PEND-ALPHA-INI-WHITE</v>
      </c>
      <c r="F34" s="21" t="str">
        <f aca="false">IF(Variants!$E35="","",Variants!$E35&amp;", Armenian, handmade, enamel, "&amp;Variants!$D35)</f>
        <v>Alphabet, Armenian, handmade, enamel, Pendant</v>
      </c>
      <c r="G34" s="21" t="str">
        <f aca="false">IFERROR(VLOOKUP(Variants!$B35,Designs!$A$3:$AP$165,12,FALSE())&amp;", enamel","")</f>
        <v>925 Silver Gold-Plated, enamel</v>
      </c>
      <c r="H34" s="21" t="str">
        <f aca="false">IF(Variants!$B35="","","I did")</f>
        <v>I did</v>
      </c>
      <c r="I34" s="21" t="str">
        <f aca="false">IF(Variants!$B35="","","Made to order")</f>
        <v>Made to order</v>
      </c>
      <c r="J34" s="21" t="str">
        <f aca="false">IF(Variants!$D35="","",Variants!$D35)</f>
        <v>Pendant</v>
      </c>
      <c r="K34" s="21" t="str">
        <f aca="false">IF(Variants!$Y35="","",Variants!$Y35)</f>
        <v/>
      </c>
      <c r="L34" s="21" t="str">
        <f aca="false">IF(Variants!$H35="","",Variants!$H35)</f>
        <v>white</v>
      </c>
      <c r="M34" s="21" t="str">
        <f aca="false">IF(Variants!$G35="","",Variants!$G35)</f>
        <v/>
      </c>
    </row>
    <row r="35" customFormat="false" ht="15.75" hidden="false" customHeight="true" outlineLevel="0" collapsed="false">
      <c r="A35" s="21" t="str">
        <f aca="false">IF(Variants!$B36="","",Variants!$C36&amp;" — "&amp;Variants!$E36&amp;IF(Variants!$F36=""," "," "&amp;Variants!$F36)&amp;" — "&amp;Variants!$H36)</f>
        <v>Bird Letter Pendant — Alphabet Լ — red</v>
      </c>
      <c r="B35" s="21" t="str">
        <f aca="false">IFERROR(IF(Variants!$B36="","",VLOOKUP(Variants!$B36,Designs!$A$3:$AP$165,9,FALSE())&amp;" Handmade in Armenia."),"")</f>
        <v>Bird letters are an ornamental medieval Armenian script where each letter is formed from stylised birds, used in illuminated manuscripts. Handmade in Armenia.</v>
      </c>
      <c r="C35" s="18" t="n">
        <f aca="false">IF(Variants!$J36="","",Variants!$J36)</f>
        <v>49.4</v>
      </c>
      <c r="D35" s="21" t="n">
        <f aca="false">IF(Variants!$O36="","",Variants!$O36)</f>
        <v>0</v>
      </c>
      <c r="E35" s="21" t="str">
        <f aca="false">Variants!$A36</f>
        <v>KARNI-PEND-ALPHA-LYUN-RED</v>
      </c>
      <c r="F35" s="21" t="str">
        <f aca="false">IF(Variants!$E36="","",Variants!$E36&amp;", Armenian, handmade, enamel, "&amp;Variants!$D36)</f>
        <v>Alphabet, Armenian, handmade, enamel, Pendant</v>
      </c>
      <c r="G35" s="21" t="str">
        <f aca="false">IFERROR(VLOOKUP(Variants!$B36,Designs!$A$3:$AP$165,12,FALSE())&amp;", enamel","")</f>
        <v>925 Silver Gold-Plated, enamel</v>
      </c>
      <c r="H35" s="21" t="str">
        <f aca="false">IF(Variants!$B36="","","I did")</f>
        <v>I did</v>
      </c>
      <c r="I35" s="21" t="str">
        <f aca="false">IF(Variants!$B36="","","Made to order")</f>
        <v>Made to order</v>
      </c>
      <c r="J35" s="21" t="str">
        <f aca="false">IF(Variants!$D36="","",Variants!$D36)</f>
        <v>Pendant</v>
      </c>
      <c r="K35" s="21" t="str">
        <f aca="false">IF(Variants!$Y36="","",Variants!$Y36)</f>
        <v/>
      </c>
      <c r="L35" s="21" t="str">
        <f aca="false">IF(Variants!$H36="","",Variants!$H36)</f>
        <v>red</v>
      </c>
      <c r="M35" s="21" t="str">
        <f aca="false">IF(Variants!$G36="","",Variants!$G36)</f>
        <v/>
      </c>
    </row>
    <row r="36" customFormat="false" ht="15.75" hidden="false" customHeight="true" outlineLevel="0" collapsed="false">
      <c r="A36" s="21" t="str">
        <f aca="false">IF(Variants!$B37="","",Variants!$C37&amp;" — "&amp;Variants!$E37&amp;IF(Variants!$F37=""," "," "&amp;Variants!$F37)&amp;" — "&amp;Variants!$H37)</f>
        <v>Bird Letter Pendant — Alphabet Լ — turquoise</v>
      </c>
      <c r="B36" s="21" t="str">
        <f aca="false">IFERROR(IF(Variants!$B37="","",VLOOKUP(Variants!$B37,Designs!$A$3:$AP$165,9,FALSE())&amp;" Handmade in Armenia."),"")</f>
        <v>Bird letters are an ornamental medieval Armenian script where each letter is formed from stylised birds, used in illuminated manuscripts. Handmade in Armenia.</v>
      </c>
      <c r="C36" s="18" t="n">
        <f aca="false">IF(Variants!$J37="","",Variants!$J37)</f>
        <v>49.4</v>
      </c>
      <c r="D36" s="21" t="n">
        <f aca="false">IF(Variants!$O37="","",Variants!$O37)</f>
        <v>0</v>
      </c>
      <c r="E36" s="21" t="str">
        <f aca="false">Variants!$A37</f>
        <v>KARNI-PEND-ALPHA-LYUN-TURQUOISE</v>
      </c>
      <c r="F36" s="21" t="str">
        <f aca="false">IF(Variants!$E37="","",Variants!$E37&amp;", Armenian, handmade, enamel, "&amp;Variants!$D37)</f>
        <v>Alphabet, Armenian, handmade, enamel, Pendant</v>
      </c>
      <c r="G36" s="21" t="str">
        <f aca="false">IFERROR(VLOOKUP(Variants!$B37,Designs!$A$3:$AP$165,12,FALSE())&amp;", enamel","")</f>
        <v>925 Silver Gold-Plated, enamel</v>
      </c>
      <c r="H36" s="21" t="str">
        <f aca="false">IF(Variants!$B37="","","I did")</f>
        <v>I did</v>
      </c>
      <c r="I36" s="21" t="str">
        <f aca="false">IF(Variants!$B37="","","Made to order")</f>
        <v>Made to order</v>
      </c>
      <c r="J36" s="21" t="str">
        <f aca="false">IF(Variants!$D37="","",Variants!$D37)</f>
        <v>Pendant</v>
      </c>
      <c r="K36" s="21" t="str">
        <f aca="false">IF(Variants!$Y37="","",Variants!$Y37)</f>
        <v/>
      </c>
      <c r="L36" s="21" t="str">
        <f aca="false">IF(Variants!$H37="","",Variants!$H37)</f>
        <v>turquoise</v>
      </c>
      <c r="M36" s="21" t="str">
        <f aca="false">IF(Variants!$G37="","",Variants!$G37)</f>
        <v/>
      </c>
    </row>
    <row r="37" customFormat="false" ht="15.75" hidden="false" customHeight="true" outlineLevel="0" collapsed="false">
      <c r="A37" s="21" t="str">
        <f aca="false">IF(Variants!$B38="","",Variants!$C38&amp;" — "&amp;Variants!$E38&amp;IF(Variants!$F38=""," "," "&amp;Variants!$F38)&amp;" — "&amp;Variants!$H38)</f>
        <v>Bird Letter Pendant — Alphabet Լ — white</v>
      </c>
      <c r="B37" s="21" t="str">
        <f aca="false">IFERROR(IF(Variants!$B38="","",VLOOKUP(Variants!$B38,Designs!$A$3:$AP$165,9,FALSE())&amp;" Handmade in Armenia."),"")</f>
        <v>Bird letters are an ornamental medieval Armenian script where each letter is formed from stylised birds, used in illuminated manuscripts. Handmade in Armenia.</v>
      </c>
      <c r="C37" s="18" t="n">
        <f aca="false">IF(Variants!$J38="","",Variants!$J38)</f>
        <v>49.4</v>
      </c>
      <c r="D37" s="21" t="n">
        <f aca="false">IF(Variants!$O38="","",Variants!$O38)</f>
        <v>0</v>
      </c>
      <c r="E37" s="21" t="str">
        <f aca="false">Variants!$A38</f>
        <v>KARNI-PEND-ALPHA-LYUN-WHITE</v>
      </c>
      <c r="F37" s="21" t="str">
        <f aca="false">IF(Variants!$E38="","",Variants!$E38&amp;", Armenian, handmade, enamel, "&amp;Variants!$D38)</f>
        <v>Alphabet, Armenian, handmade, enamel, Pendant</v>
      </c>
      <c r="G37" s="21" t="str">
        <f aca="false">IFERROR(VLOOKUP(Variants!$B38,Designs!$A$3:$AP$165,12,FALSE())&amp;", enamel","")</f>
        <v>925 Silver Gold-Plated, enamel</v>
      </c>
      <c r="H37" s="21" t="str">
        <f aca="false">IF(Variants!$B38="","","I did")</f>
        <v>I did</v>
      </c>
      <c r="I37" s="21" t="str">
        <f aca="false">IF(Variants!$B38="","","Made to order")</f>
        <v>Made to order</v>
      </c>
      <c r="J37" s="21" t="str">
        <f aca="false">IF(Variants!$D38="","",Variants!$D38)</f>
        <v>Pendant</v>
      </c>
      <c r="K37" s="21" t="str">
        <f aca="false">IF(Variants!$Y38="","",Variants!$Y38)</f>
        <v/>
      </c>
      <c r="L37" s="21" t="str">
        <f aca="false">IF(Variants!$H38="","",Variants!$H38)</f>
        <v>white</v>
      </c>
      <c r="M37" s="21" t="str">
        <f aca="false">IF(Variants!$G38="","",Variants!$G38)</f>
        <v/>
      </c>
    </row>
    <row r="38" customFormat="false" ht="15.75" hidden="false" customHeight="true" outlineLevel="0" collapsed="false">
      <c r="A38" s="21" t="str">
        <f aca="false">IF(Variants!$B39="","",Variants!$C39&amp;" — "&amp;Variants!$E39&amp;IF(Variants!$F39=""," "," "&amp;Variants!$F39)&amp;" — "&amp;Variants!$H39)</f>
        <v>Bird Letter Pendant — Alphabet Խ — red</v>
      </c>
      <c r="B38" s="21" t="str">
        <f aca="false">IFERROR(IF(Variants!$B39="","",VLOOKUP(Variants!$B39,Designs!$A$3:$AP$165,9,FALSE())&amp;" Handmade in Armenia."),"")</f>
        <v>Bird letters are an ornamental medieval Armenian script where each letter is formed from stylised birds, used in illuminated manuscripts. Handmade in Armenia.</v>
      </c>
      <c r="C38" s="18" t="n">
        <f aca="false">IF(Variants!$J39="","",Variants!$J39)</f>
        <v>49.4</v>
      </c>
      <c r="D38" s="21" t="n">
        <f aca="false">IF(Variants!$O39="","",Variants!$O39)</f>
        <v>0</v>
      </c>
      <c r="E38" s="21" t="str">
        <f aca="false">Variants!$A39</f>
        <v>KARNI-PEND-ALPHA-KHE-RED</v>
      </c>
      <c r="F38" s="21" t="str">
        <f aca="false">IF(Variants!$E39="","",Variants!$E39&amp;", Armenian, handmade, enamel, "&amp;Variants!$D39)</f>
        <v>Alphabet, Armenian, handmade, enamel, Pendant</v>
      </c>
      <c r="G38" s="21" t="str">
        <f aca="false">IFERROR(VLOOKUP(Variants!$B39,Designs!$A$3:$AP$165,12,FALSE())&amp;", enamel","")</f>
        <v>925 Silver Gold-Plated, enamel</v>
      </c>
      <c r="H38" s="21" t="str">
        <f aca="false">IF(Variants!$B39="","","I did")</f>
        <v>I did</v>
      </c>
      <c r="I38" s="21" t="str">
        <f aca="false">IF(Variants!$B39="","","Made to order")</f>
        <v>Made to order</v>
      </c>
      <c r="J38" s="21" t="str">
        <f aca="false">IF(Variants!$D39="","",Variants!$D39)</f>
        <v>Pendant</v>
      </c>
      <c r="K38" s="21" t="str">
        <f aca="false">IF(Variants!$Y39="","",Variants!$Y39)</f>
        <v/>
      </c>
      <c r="L38" s="21" t="str">
        <f aca="false">IF(Variants!$H39="","",Variants!$H39)</f>
        <v>red</v>
      </c>
      <c r="M38" s="21" t="str">
        <f aca="false">IF(Variants!$G39="","",Variants!$G39)</f>
        <v/>
      </c>
    </row>
    <row r="39" customFormat="false" ht="15.75" hidden="false" customHeight="true" outlineLevel="0" collapsed="false">
      <c r="A39" s="21" t="str">
        <f aca="false">IF(Variants!$B40="","",Variants!$C40&amp;" — "&amp;Variants!$E40&amp;IF(Variants!$F40=""," "," "&amp;Variants!$F40)&amp;" — "&amp;Variants!$H40)</f>
        <v>Bird Letter Pendant — Alphabet Խ — turquoise</v>
      </c>
      <c r="B39" s="21" t="str">
        <f aca="false">IFERROR(IF(Variants!$B40="","",VLOOKUP(Variants!$B40,Designs!$A$3:$AP$165,9,FALSE())&amp;" Handmade in Armenia."),"")</f>
        <v>Bird letters are an ornamental medieval Armenian script where each letter is formed from stylised birds, used in illuminated manuscripts. Handmade in Armenia.</v>
      </c>
      <c r="C39" s="18" t="n">
        <f aca="false">IF(Variants!$J40="","",Variants!$J40)</f>
        <v>49.4</v>
      </c>
      <c r="D39" s="21" t="n">
        <f aca="false">IF(Variants!$O40="","",Variants!$O40)</f>
        <v>0</v>
      </c>
      <c r="E39" s="21" t="str">
        <f aca="false">Variants!$A40</f>
        <v>KARNI-PEND-ALPHA-KHE-TURQUOISE</v>
      </c>
      <c r="F39" s="21" t="str">
        <f aca="false">IF(Variants!$E40="","",Variants!$E40&amp;", Armenian, handmade, enamel, "&amp;Variants!$D40)</f>
        <v>Alphabet, Armenian, handmade, enamel, Pendant</v>
      </c>
      <c r="G39" s="21" t="str">
        <f aca="false">IFERROR(VLOOKUP(Variants!$B40,Designs!$A$3:$AP$165,12,FALSE())&amp;", enamel","")</f>
        <v>925 Silver Gold-Plated, enamel</v>
      </c>
      <c r="H39" s="21" t="str">
        <f aca="false">IF(Variants!$B40="","","I did")</f>
        <v>I did</v>
      </c>
      <c r="I39" s="21" t="str">
        <f aca="false">IF(Variants!$B40="","","Made to order")</f>
        <v>Made to order</v>
      </c>
      <c r="J39" s="21" t="str">
        <f aca="false">IF(Variants!$D40="","",Variants!$D40)</f>
        <v>Pendant</v>
      </c>
      <c r="K39" s="21" t="str">
        <f aca="false">IF(Variants!$Y40="","",Variants!$Y40)</f>
        <v/>
      </c>
      <c r="L39" s="21" t="str">
        <f aca="false">IF(Variants!$H40="","",Variants!$H40)</f>
        <v>turquoise</v>
      </c>
      <c r="M39" s="21" t="str">
        <f aca="false">IF(Variants!$G40="","",Variants!$G40)</f>
        <v/>
      </c>
    </row>
    <row r="40" customFormat="false" ht="15.75" hidden="false" customHeight="true" outlineLevel="0" collapsed="false">
      <c r="A40" s="21" t="str">
        <f aca="false">IF(Variants!$B41="","",Variants!$C41&amp;" — "&amp;Variants!$E41&amp;IF(Variants!$F41=""," "," "&amp;Variants!$F41)&amp;" — "&amp;Variants!$H41)</f>
        <v>Bird Letter Pendant — Alphabet Խ — white</v>
      </c>
      <c r="B40" s="21" t="str">
        <f aca="false">IFERROR(IF(Variants!$B41="","",VLOOKUP(Variants!$B41,Designs!$A$3:$AP$165,9,FALSE())&amp;" Handmade in Armenia."),"")</f>
        <v>Bird letters are an ornamental medieval Armenian script where each letter is formed from stylised birds, used in illuminated manuscripts. Handmade in Armenia.</v>
      </c>
      <c r="C40" s="18" t="n">
        <f aca="false">IF(Variants!$J41="","",Variants!$J41)</f>
        <v>49.4</v>
      </c>
      <c r="D40" s="21" t="n">
        <f aca="false">IF(Variants!$O41="","",Variants!$O41)</f>
        <v>0</v>
      </c>
      <c r="E40" s="21" t="str">
        <f aca="false">Variants!$A41</f>
        <v>KARNI-PEND-ALPHA-KHE-WHITE</v>
      </c>
      <c r="F40" s="21" t="str">
        <f aca="false">IF(Variants!$E41="","",Variants!$E41&amp;", Armenian, handmade, enamel, "&amp;Variants!$D41)</f>
        <v>Alphabet, Armenian, handmade, enamel, Pendant</v>
      </c>
      <c r="G40" s="21" t="str">
        <f aca="false">IFERROR(VLOOKUP(Variants!$B41,Designs!$A$3:$AP$165,12,FALSE())&amp;", enamel","")</f>
        <v>925 Silver Gold-Plated, enamel</v>
      </c>
      <c r="H40" s="21" t="str">
        <f aca="false">IF(Variants!$B41="","","I did")</f>
        <v>I did</v>
      </c>
      <c r="I40" s="21" t="str">
        <f aca="false">IF(Variants!$B41="","","Made to order")</f>
        <v>Made to order</v>
      </c>
      <c r="J40" s="21" t="str">
        <f aca="false">IF(Variants!$D41="","",Variants!$D41)</f>
        <v>Pendant</v>
      </c>
      <c r="K40" s="21" t="str">
        <f aca="false">IF(Variants!$Y41="","",Variants!$Y41)</f>
        <v/>
      </c>
      <c r="L40" s="21" t="str">
        <f aca="false">IF(Variants!$H41="","",Variants!$H41)</f>
        <v>white</v>
      </c>
      <c r="M40" s="21" t="str">
        <f aca="false">IF(Variants!$G41="","",Variants!$G41)</f>
        <v/>
      </c>
    </row>
    <row r="41" customFormat="false" ht="15.75" hidden="false" customHeight="true" outlineLevel="0" collapsed="false">
      <c r="A41" s="21" t="str">
        <f aca="false">IF(Variants!$B42="","",Variants!$C42&amp;" — "&amp;Variants!$E42&amp;IF(Variants!$F42=""," "," "&amp;Variants!$F42)&amp;" — "&amp;Variants!$H42)</f>
        <v>Bird Letter Pendant — Alphabet Ծ — red</v>
      </c>
      <c r="B41" s="21" t="str">
        <f aca="false">IFERROR(IF(Variants!$B42="","",VLOOKUP(Variants!$B42,Designs!$A$3:$AP$165,9,FALSE())&amp;" Handmade in Armenia."),"")</f>
        <v>Bird letters are an ornamental medieval Armenian script where each letter is formed from stylised birds, used in illuminated manuscripts. Handmade in Armenia.</v>
      </c>
      <c r="C41" s="18" t="n">
        <f aca="false">IF(Variants!$J42="","",Variants!$J42)</f>
        <v>49.4</v>
      </c>
      <c r="D41" s="21" t="n">
        <f aca="false">IF(Variants!$O42="","",Variants!$O42)</f>
        <v>0</v>
      </c>
      <c r="E41" s="21" t="str">
        <f aca="false">Variants!$A42</f>
        <v>KARNI-PEND-ALPHA-TSA-RED</v>
      </c>
      <c r="F41" s="21" t="str">
        <f aca="false">IF(Variants!$E42="","",Variants!$E42&amp;", Armenian, handmade, enamel, "&amp;Variants!$D42)</f>
        <v>Alphabet, Armenian, handmade, enamel, Pendant</v>
      </c>
      <c r="G41" s="21" t="str">
        <f aca="false">IFERROR(VLOOKUP(Variants!$B42,Designs!$A$3:$AP$165,12,FALSE())&amp;", enamel","")</f>
        <v>925 Silver Gold-Plated, enamel</v>
      </c>
      <c r="H41" s="21" t="str">
        <f aca="false">IF(Variants!$B42="","","I did")</f>
        <v>I did</v>
      </c>
      <c r="I41" s="21" t="str">
        <f aca="false">IF(Variants!$B42="","","Made to order")</f>
        <v>Made to order</v>
      </c>
      <c r="J41" s="21" t="str">
        <f aca="false">IF(Variants!$D42="","",Variants!$D42)</f>
        <v>Pendant</v>
      </c>
      <c r="K41" s="21" t="str">
        <f aca="false">IF(Variants!$Y42="","",Variants!$Y42)</f>
        <v/>
      </c>
      <c r="L41" s="21" t="str">
        <f aca="false">IF(Variants!$H42="","",Variants!$H42)</f>
        <v>red</v>
      </c>
      <c r="M41" s="21" t="str">
        <f aca="false">IF(Variants!$G42="","",Variants!$G42)</f>
        <v/>
      </c>
    </row>
    <row r="42" customFormat="false" ht="15.75" hidden="false" customHeight="true" outlineLevel="0" collapsed="false">
      <c r="A42" s="21" t="str">
        <f aca="false">IF(Variants!$B43="","",Variants!$C43&amp;" — "&amp;Variants!$E43&amp;IF(Variants!$F43=""," "," "&amp;Variants!$F43)&amp;" — "&amp;Variants!$H43)</f>
        <v>Bird Letter Pendant — Alphabet Ծ — turquoise</v>
      </c>
      <c r="B42" s="21" t="str">
        <f aca="false">IFERROR(IF(Variants!$B43="","",VLOOKUP(Variants!$B43,Designs!$A$3:$AP$165,9,FALSE())&amp;" Handmade in Armenia."),"")</f>
        <v>Bird letters are an ornamental medieval Armenian script where each letter is formed from stylised birds, used in illuminated manuscripts. Handmade in Armenia.</v>
      </c>
      <c r="C42" s="18" t="n">
        <f aca="false">IF(Variants!$J43="","",Variants!$J43)</f>
        <v>49.4</v>
      </c>
      <c r="D42" s="21" t="n">
        <f aca="false">IF(Variants!$O43="","",Variants!$O43)</f>
        <v>0</v>
      </c>
      <c r="E42" s="21" t="str">
        <f aca="false">Variants!$A43</f>
        <v>KARNI-PEND-ALPHA-TSA-TURQUOISE</v>
      </c>
      <c r="F42" s="21" t="str">
        <f aca="false">IF(Variants!$E43="","",Variants!$E43&amp;", Armenian, handmade, enamel, "&amp;Variants!$D43)</f>
        <v>Alphabet, Armenian, handmade, enamel, Pendant</v>
      </c>
      <c r="G42" s="21" t="str">
        <f aca="false">IFERROR(VLOOKUP(Variants!$B43,Designs!$A$3:$AP$165,12,FALSE())&amp;", enamel","")</f>
        <v>925 Silver Gold-Plated, enamel</v>
      </c>
      <c r="H42" s="21" t="str">
        <f aca="false">IF(Variants!$B43="","","I did")</f>
        <v>I did</v>
      </c>
      <c r="I42" s="21" t="str">
        <f aca="false">IF(Variants!$B43="","","Made to order")</f>
        <v>Made to order</v>
      </c>
      <c r="J42" s="21" t="str">
        <f aca="false">IF(Variants!$D43="","",Variants!$D43)</f>
        <v>Pendant</v>
      </c>
      <c r="K42" s="21" t="str">
        <f aca="false">IF(Variants!$Y43="","",Variants!$Y43)</f>
        <v/>
      </c>
      <c r="L42" s="21" t="str">
        <f aca="false">IF(Variants!$H43="","",Variants!$H43)</f>
        <v>turquoise</v>
      </c>
      <c r="M42" s="21" t="str">
        <f aca="false">IF(Variants!$G43="","",Variants!$G43)</f>
        <v/>
      </c>
    </row>
    <row r="43" customFormat="false" ht="15.75" hidden="false" customHeight="true" outlineLevel="0" collapsed="false">
      <c r="A43" s="21" t="str">
        <f aca="false">IF(Variants!$B44="","",Variants!$C44&amp;" — "&amp;Variants!$E44&amp;IF(Variants!$F44=""," "," "&amp;Variants!$F44)&amp;" — "&amp;Variants!$H44)</f>
        <v>Bird Letter Pendant — Alphabet Ծ — white</v>
      </c>
      <c r="B43" s="21" t="str">
        <f aca="false">IFERROR(IF(Variants!$B44="","",VLOOKUP(Variants!$B44,Designs!$A$3:$AP$165,9,FALSE())&amp;" Handmade in Armenia."),"")</f>
        <v>Bird letters are an ornamental medieval Armenian script where each letter is formed from stylised birds, used in illuminated manuscripts. Handmade in Armenia.</v>
      </c>
      <c r="C43" s="18" t="n">
        <f aca="false">IF(Variants!$J44="","",Variants!$J44)</f>
        <v>49.4</v>
      </c>
      <c r="D43" s="21" t="n">
        <f aca="false">IF(Variants!$O44="","",Variants!$O44)</f>
        <v>0</v>
      </c>
      <c r="E43" s="21" t="str">
        <f aca="false">Variants!$A44</f>
        <v>KARNI-PEND-ALPHA-TSA-WHITE</v>
      </c>
      <c r="F43" s="21" t="str">
        <f aca="false">IF(Variants!$E44="","",Variants!$E44&amp;", Armenian, handmade, enamel, "&amp;Variants!$D44)</f>
        <v>Alphabet, Armenian, handmade, enamel, Pendant</v>
      </c>
      <c r="G43" s="21" t="str">
        <f aca="false">IFERROR(VLOOKUP(Variants!$B44,Designs!$A$3:$AP$165,12,FALSE())&amp;", enamel","")</f>
        <v>925 Silver Gold-Plated, enamel</v>
      </c>
      <c r="H43" s="21" t="str">
        <f aca="false">IF(Variants!$B44="","","I did")</f>
        <v>I did</v>
      </c>
      <c r="I43" s="21" t="str">
        <f aca="false">IF(Variants!$B44="","","Made to order")</f>
        <v>Made to order</v>
      </c>
      <c r="J43" s="21" t="str">
        <f aca="false">IF(Variants!$D44="","",Variants!$D44)</f>
        <v>Pendant</v>
      </c>
      <c r="K43" s="21" t="str">
        <f aca="false">IF(Variants!$Y44="","",Variants!$Y44)</f>
        <v/>
      </c>
      <c r="L43" s="21" t="str">
        <f aca="false">IF(Variants!$H44="","",Variants!$H44)</f>
        <v>white</v>
      </c>
      <c r="M43" s="21" t="str">
        <f aca="false">IF(Variants!$G44="","",Variants!$G44)</f>
        <v/>
      </c>
    </row>
    <row r="44" customFormat="false" ht="15.75" hidden="false" customHeight="true" outlineLevel="0" collapsed="false">
      <c r="A44" s="21" t="str">
        <f aca="false">IF(Variants!$B45="","",Variants!$C45&amp;" — "&amp;Variants!$E45&amp;IF(Variants!$F45=""," "," "&amp;Variants!$F45)&amp;" — "&amp;Variants!$H45)</f>
        <v>Bird Letter Pendant — Alphabet Կ — red</v>
      </c>
      <c r="B44" s="21" t="str">
        <f aca="false">IFERROR(IF(Variants!$B45="","",VLOOKUP(Variants!$B45,Designs!$A$3:$AP$165,9,FALSE())&amp;" Handmade in Armenia."),"")</f>
        <v>Bird letters are an ornamental medieval Armenian script where each letter is formed from stylised birds, used in illuminated manuscripts. Handmade in Armenia.</v>
      </c>
      <c r="C44" s="18" t="n">
        <f aca="false">IF(Variants!$J45="","",Variants!$J45)</f>
        <v>49.4</v>
      </c>
      <c r="D44" s="21" t="n">
        <f aca="false">IF(Variants!$O45="","",Variants!$O45)</f>
        <v>0</v>
      </c>
      <c r="E44" s="21" t="str">
        <f aca="false">Variants!$A45</f>
        <v>KARNI-PEND-ALPHA-KEN-RED</v>
      </c>
      <c r="F44" s="21" t="str">
        <f aca="false">IF(Variants!$E45="","",Variants!$E45&amp;", Armenian, handmade, enamel, "&amp;Variants!$D45)</f>
        <v>Alphabet, Armenian, handmade, enamel, Pendant</v>
      </c>
      <c r="G44" s="21" t="str">
        <f aca="false">IFERROR(VLOOKUP(Variants!$B45,Designs!$A$3:$AP$165,12,FALSE())&amp;", enamel","")</f>
        <v>925 Silver Gold-Plated, enamel</v>
      </c>
      <c r="H44" s="21" t="str">
        <f aca="false">IF(Variants!$B45="","","I did")</f>
        <v>I did</v>
      </c>
      <c r="I44" s="21" t="str">
        <f aca="false">IF(Variants!$B45="","","Made to order")</f>
        <v>Made to order</v>
      </c>
      <c r="J44" s="21" t="str">
        <f aca="false">IF(Variants!$D45="","",Variants!$D45)</f>
        <v>Pendant</v>
      </c>
      <c r="K44" s="21" t="str">
        <f aca="false">IF(Variants!$Y45="","",Variants!$Y45)</f>
        <v/>
      </c>
      <c r="L44" s="21" t="str">
        <f aca="false">IF(Variants!$H45="","",Variants!$H45)</f>
        <v>red</v>
      </c>
      <c r="M44" s="21" t="str">
        <f aca="false">IF(Variants!$G45="","",Variants!$G45)</f>
        <v/>
      </c>
    </row>
    <row r="45" customFormat="false" ht="15.75" hidden="false" customHeight="true" outlineLevel="0" collapsed="false">
      <c r="A45" s="21" t="str">
        <f aca="false">IF(Variants!$B46="","",Variants!$C46&amp;" — "&amp;Variants!$E46&amp;IF(Variants!$F46=""," "," "&amp;Variants!$F46)&amp;" — "&amp;Variants!$H46)</f>
        <v>Bird Letter Pendant — Alphabet Կ — turquoise</v>
      </c>
      <c r="B45" s="21" t="str">
        <f aca="false">IFERROR(IF(Variants!$B46="","",VLOOKUP(Variants!$B46,Designs!$A$3:$AP$165,9,FALSE())&amp;" Handmade in Armenia."),"")</f>
        <v>Bird letters are an ornamental medieval Armenian script where each letter is formed from stylised birds, used in illuminated manuscripts. Handmade in Armenia.</v>
      </c>
      <c r="C45" s="18" t="n">
        <f aca="false">IF(Variants!$J46="","",Variants!$J46)</f>
        <v>49.4</v>
      </c>
      <c r="D45" s="21" t="n">
        <f aca="false">IF(Variants!$O46="","",Variants!$O46)</f>
        <v>0</v>
      </c>
      <c r="E45" s="21" t="str">
        <f aca="false">Variants!$A46</f>
        <v>KARNI-PEND-ALPHA-KEN-TURQUOISE</v>
      </c>
      <c r="F45" s="21" t="str">
        <f aca="false">IF(Variants!$E46="","",Variants!$E46&amp;", Armenian, handmade, enamel, "&amp;Variants!$D46)</f>
        <v>Alphabet, Armenian, handmade, enamel, Pendant</v>
      </c>
      <c r="G45" s="21" t="str">
        <f aca="false">IFERROR(VLOOKUP(Variants!$B46,Designs!$A$3:$AP$165,12,FALSE())&amp;", enamel","")</f>
        <v>925 Silver Gold-Plated, enamel</v>
      </c>
      <c r="H45" s="21" t="str">
        <f aca="false">IF(Variants!$B46="","","I did")</f>
        <v>I did</v>
      </c>
      <c r="I45" s="21" t="str">
        <f aca="false">IF(Variants!$B46="","","Made to order")</f>
        <v>Made to order</v>
      </c>
      <c r="J45" s="21" t="str">
        <f aca="false">IF(Variants!$D46="","",Variants!$D46)</f>
        <v>Pendant</v>
      </c>
      <c r="K45" s="21" t="str">
        <f aca="false">IF(Variants!$Y46="","",Variants!$Y46)</f>
        <v/>
      </c>
      <c r="L45" s="21" t="str">
        <f aca="false">IF(Variants!$H46="","",Variants!$H46)</f>
        <v>turquoise</v>
      </c>
      <c r="M45" s="21" t="str">
        <f aca="false">IF(Variants!$G46="","",Variants!$G46)</f>
        <v/>
      </c>
    </row>
    <row r="46" customFormat="false" ht="15.75" hidden="false" customHeight="true" outlineLevel="0" collapsed="false">
      <c r="A46" s="21" t="str">
        <f aca="false">IF(Variants!$B47="","",Variants!$C47&amp;" — "&amp;Variants!$E47&amp;IF(Variants!$F47=""," "," "&amp;Variants!$F47)&amp;" — "&amp;Variants!$H47)</f>
        <v>Bird Letter Pendant — Alphabet Կ — white</v>
      </c>
      <c r="B46" s="21" t="str">
        <f aca="false">IFERROR(IF(Variants!$B47="","",VLOOKUP(Variants!$B47,Designs!$A$3:$AP$165,9,FALSE())&amp;" Handmade in Armenia."),"")</f>
        <v>Bird letters are an ornamental medieval Armenian script where each letter is formed from stylised birds, used in illuminated manuscripts. Handmade in Armenia.</v>
      </c>
      <c r="C46" s="18" t="n">
        <f aca="false">IF(Variants!$J47="","",Variants!$J47)</f>
        <v>49.4</v>
      </c>
      <c r="D46" s="21" t="n">
        <f aca="false">IF(Variants!$O47="","",Variants!$O47)</f>
        <v>0</v>
      </c>
      <c r="E46" s="21" t="str">
        <f aca="false">Variants!$A47</f>
        <v>KARNI-PEND-ALPHA-KEN-WHITE</v>
      </c>
      <c r="F46" s="21" t="str">
        <f aca="false">IF(Variants!$E47="","",Variants!$E47&amp;", Armenian, handmade, enamel, "&amp;Variants!$D47)</f>
        <v>Alphabet, Armenian, handmade, enamel, Pendant</v>
      </c>
      <c r="G46" s="21" t="str">
        <f aca="false">IFERROR(VLOOKUP(Variants!$B47,Designs!$A$3:$AP$165,12,FALSE())&amp;", enamel","")</f>
        <v>925 Silver Gold-Plated, enamel</v>
      </c>
      <c r="H46" s="21" t="str">
        <f aca="false">IF(Variants!$B47="","","I did")</f>
        <v>I did</v>
      </c>
      <c r="I46" s="21" t="str">
        <f aca="false">IF(Variants!$B47="","","Made to order")</f>
        <v>Made to order</v>
      </c>
      <c r="J46" s="21" t="str">
        <f aca="false">IF(Variants!$D47="","",Variants!$D47)</f>
        <v>Pendant</v>
      </c>
      <c r="K46" s="21" t="str">
        <f aca="false">IF(Variants!$Y47="","",Variants!$Y47)</f>
        <v/>
      </c>
      <c r="L46" s="21" t="str">
        <f aca="false">IF(Variants!$H47="","",Variants!$H47)</f>
        <v>white</v>
      </c>
      <c r="M46" s="21" t="str">
        <f aca="false">IF(Variants!$G47="","",Variants!$G47)</f>
        <v/>
      </c>
    </row>
    <row r="47" customFormat="false" ht="15.75" hidden="false" customHeight="true" outlineLevel="0" collapsed="false">
      <c r="A47" s="21" t="str">
        <f aca="false">IF(Variants!$B48="","",Variants!$C48&amp;" — "&amp;Variants!$E48&amp;IF(Variants!$F48=""," "," "&amp;Variants!$F48)&amp;" — "&amp;Variants!$H48)</f>
        <v>Bird Letter Pendant — Alphabet Հ — red</v>
      </c>
      <c r="B47" s="21" t="str">
        <f aca="false">IFERROR(IF(Variants!$B48="","",VLOOKUP(Variants!$B48,Designs!$A$3:$AP$165,9,FALSE())&amp;" Handmade in Armenia."),"")</f>
        <v>Bird letters are an ornamental medieval Armenian script where each letter is formed from stylised birds, used in illuminated manuscripts. Handmade in Armenia.</v>
      </c>
      <c r="C47" s="18" t="n">
        <f aca="false">IF(Variants!$J48="","",Variants!$J48)</f>
        <v>49.4</v>
      </c>
      <c r="D47" s="21" t="n">
        <f aca="false">IF(Variants!$O48="","",Variants!$O48)</f>
        <v>0</v>
      </c>
      <c r="E47" s="21" t="str">
        <f aca="false">Variants!$A48</f>
        <v>KARNI-PEND-ALPHA-HO-RED</v>
      </c>
      <c r="F47" s="21" t="str">
        <f aca="false">IF(Variants!$E48="","",Variants!$E48&amp;", Armenian, handmade, enamel, "&amp;Variants!$D48)</f>
        <v>Alphabet, Armenian, handmade, enamel, Pendant</v>
      </c>
      <c r="G47" s="21" t="str">
        <f aca="false">IFERROR(VLOOKUP(Variants!$B48,Designs!$A$3:$AP$165,12,FALSE())&amp;", enamel","")</f>
        <v>925 Silver Gold-Plated, enamel</v>
      </c>
      <c r="H47" s="21" t="str">
        <f aca="false">IF(Variants!$B48="","","I did")</f>
        <v>I did</v>
      </c>
      <c r="I47" s="21" t="str">
        <f aca="false">IF(Variants!$B48="","","Made to order")</f>
        <v>Made to order</v>
      </c>
      <c r="J47" s="21" t="str">
        <f aca="false">IF(Variants!$D48="","",Variants!$D48)</f>
        <v>Pendant</v>
      </c>
      <c r="K47" s="21" t="str">
        <f aca="false">IF(Variants!$Y48="","",Variants!$Y48)</f>
        <v/>
      </c>
      <c r="L47" s="21" t="str">
        <f aca="false">IF(Variants!$H48="","",Variants!$H48)</f>
        <v>red</v>
      </c>
      <c r="M47" s="21" t="str">
        <f aca="false">IF(Variants!$G48="","",Variants!$G48)</f>
        <v/>
      </c>
    </row>
    <row r="48" customFormat="false" ht="15.75" hidden="false" customHeight="true" outlineLevel="0" collapsed="false">
      <c r="A48" s="21" t="str">
        <f aca="false">IF(Variants!$B49="","",Variants!$C49&amp;" — "&amp;Variants!$E49&amp;IF(Variants!$F49=""," "," "&amp;Variants!$F49)&amp;" — "&amp;Variants!$H49)</f>
        <v>Bird Letter Pendant — Alphabet Հ — turquoise</v>
      </c>
      <c r="B48" s="21" t="str">
        <f aca="false">IFERROR(IF(Variants!$B49="","",VLOOKUP(Variants!$B49,Designs!$A$3:$AP$165,9,FALSE())&amp;" Handmade in Armenia."),"")</f>
        <v>Bird letters are an ornamental medieval Armenian script where each letter is formed from stylised birds, used in illuminated manuscripts. Handmade in Armenia.</v>
      </c>
      <c r="C48" s="18" t="n">
        <f aca="false">IF(Variants!$J49="","",Variants!$J49)</f>
        <v>49.4</v>
      </c>
      <c r="D48" s="21" t="n">
        <f aca="false">IF(Variants!$O49="","",Variants!$O49)</f>
        <v>0</v>
      </c>
      <c r="E48" s="21" t="str">
        <f aca="false">Variants!$A49</f>
        <v>KARNI-PEND-ALPHA-HO-TURQUOISE</v>
      </c>
      <c r="F48" s="21" t="str">
        <f aca="false">IF(Variants!$E49="","",Variants!$E49&amp;", Armenian, handmade, enamel, "&amp;Variants!$D49)</f>
        <v>Alphabet, Armenian, handmade, enamel, Pendant</v>
      </c>
      <c r="G48" s="21" t="str">
        <f aca="false">IFERROR(VLOOKUP(Variants!$B49,Designs!$A$3:$AP$165,12,FALSE())&amp;", enamel","")</f>
        <v>925 Silver Gold-Plated, enamel</v>
      </c>
      <c r="H48" s="21" t="str">
        <f aca="false">IF(Variants!$B49="","","I did")</f>
        <v>I did</v>
      </c>
      <c r="I48" s="21" t="str">
        <f aca="false">IF(Variants!$B49="","","Made to order")</f>
        <v>Made to order</v>
      </c>
      <c r="J48" s="21" t="str">
        <f aca="false">IF(Variants!$D49="","",Variants!$D49)</f>
        <v>Pendant</v>
      </c>
      <c r="K48" s="21" t="str">
        <f aca="false">IF(Variants!$Y49="","",Variants!$Y49)</f>
        <v/>
      </c>
      <c r="L48" s="21" t="str">
        <f aca="false">IF(Variants!$H49="","",Variants!$H49)</f>
        <v>turquoise</v>
      </c>
      <c r="M48" s="21" t="str">
        <f aca="false">IF(Variants!$G49="","",Variants!$G49)</f>
        <v/>
      </c>
    </row>
    <row r="49" customFormat="false" ht="15.75" hidden="false" customHeight="true" outlineLevel="0" collapsed="false">
      <c r="A49" s="21" t="str">
        <f aca="false">IF(Variants!$B50="","",Variants!$C50&amp;" — "&amp;Variants!$E50&amp;IF(Variants!$F50=""," "," "&amp;Variants!$F50)&amp;" — "&amp;Variants!$H50)</f>
        <v>Bird Letter Pendant — Alphabet Հ — white</v>
      </c>
      <c r="B49" s="21" t="str">
        <f aca="false">IFERROR(IF(Variants!$B50="","",VLOOKUP(Variants!$B50,Designs!$A$3:$AP$165,9,FALSE())&amp;" Handmade in Armenia."),"")</f>
        <v>Bird letters are an ornamental medieval Armenian script where each letter is formed from stylised birds, used in illuminated manuscripts. Handmade in Armenia.</v>
      </c>
      <c r="C49" s="18" t="n">
        <f aca="false">IF(Variants!$J50="","",Variants!$J50)</f>
        <v>49.4</v>
      </c>
      <c r="D49" s="21" t="n">
        <f aca="false">IF(Variants!$O50="","",Variants!$O50)</f>
        <v>0</v>
      </c>
      <c r="E49" s="21" t="str">
        <f aca="false">Variants!$A50</f>
        <v>KARNI-PEND-ALPHA-HO-WHITE</v>
      </c>
      <c r="F49" s="21" t="str">
        <f aca="false">IF(Variants!$E50="","",Variants!$E50&amp;", Armenian, handmade, enamel, "&amp;Variants!$D50)</f>
        <v>Alphabet, Armenian, handmade, enamel, Pendant</v>
      </c>
      <c r="G49" s="21" t="str">
        <f aca="false">IFERROR(VLOOKUP(Variants!$B50,Designs!$A$3:$AP$165,12,FALSE())&amp;", enamel","")</f>
        <v>925 Silver Gold-Plated, enamel</v>
      </c>
      <c r="H49" s="21" t="str">
        <f aca="false">IF(Variants!$B50="","","I did")</f>
        <v>I did</v>
      </c>
      <c r="I49" s="21" t="str">
        <f aca="false">IF(Variants!$B50="","","Made to order")</f>
        <v>Made to order</v>
      </c>
      <c r="J49" s="21" t="str">
        <f aca="false">IF(Variants!$D50="","",Variants!$D50)</f>
        <v>Pendant</v>
      </c>
      <c r="K49" s="21" t="str">
        <f aca="false">IF(Variants!$Y50="","",Variants!$Y50)</f>
        <v/>
      </c>
      <c r="L49" s="21" t="str">
        <f aca="false">IF(Variants!$H50="","",Variants!$H50)</f>
        <v>white</v>
      </c>
      <c r="M49" s="21" t="str">
        <f aca="false">IF(Variants!$G50="","",Variants!$G50)</f>
        <v/>
      </c>
    </row>
    <row r="50" customFormat="false" ht="15.75" hidden="false" customHeight="true" outlineLevel="0" collapsed="false">
      <c r="A50" s="21" t="str">
        <f aca="false">IF(Variants!$B51="","",Variants!$C51&amp;" — "&amp;Variants!$E51&amp;IF(Variants!$F51=""," "," "&amp;Variants!$F51)&amp;" — "&amp;Variants!$H51)</f>
        <v>Bird Letter Pendant — Alphabet Ձ — red</v>
      </c>
      <c r="B50" s="21" t="str">
        <f aca="false">IFERROR(IF(Variants!$B51="","",VLOOKUP(Variants!$B51,Designs!$A$3:$AP$165,9,FALSE())&amp;" Handmade in Armenia."),"")</f>
        <v>Bird letters are an ornamental medieval Armenian script where each letter is formed from stylised birds, used in illuminated manuscripts. Handmade in Armenia.</v>
      </c>
      <c r="C50" s="18" t="n">
        <f aca="false">IF(Variants!$J51="","",Variants!$J51)</f>
        <v>49.4</v>
      </c>
      <c r="D50" s="21" t="n">
        <f aca="false">IF(Variants!$O51="","",Variants!$O51)</f>
        <v>0</v>
      </c>
      <c r="E50" s="21" t="str">
        <f aca="false">Variants!$A51</f>
        <v>KARNI-PEND-ALPHA-DZA-RED</v>
      </c>
      <c r="F50" s="21" t="str">
        <f aca="false">IF(Variants!$E51="","",Variants!$E51&amp;", Armenian, handmade, enamel, "&amp;Variants!$D51)</f>
        <v>Alphabet, Armenian, handmade, enamel, Pendant</v>
      </c>
      <c r="G50" s="21" t="str">
        <f aca="false">IFERROR(VLOOKUP(Variants!$B51,Designs!$A$3:$AP$165,12,FALSE())&amp;", enamel","")</f>
        <v>925 Silver Gold-Plated, enamel</v>
      </c>
      <c r="H50" s="21" t="str">
        <f aca="false">IF(Variants!$B51="","","I did")</f>
        <v>I did</v>
      </c>
      <c r="I50" s="21" t="str">
        <f aca="false">IF(Variants!$B51="","","Made to order")</f>
        <v>Made to order</v>
      </c>
      <c r="J50" s="21" t="str">
        <f aca="false">IF(Variants!$D51="","",Variants!$D51)</f>
        <v>Pendant</v>
      </c>
      <c r="K50" s="21" t="str">
        <f aca="false">IF(Variants!$Y51="","",Variants!$Y51)</f>
        <v/>
      </c>
      <c r="L50" s="21" t="str">
        <f aca="false">IF(Variants!$H51="","",Variants!$H51)</f>
        <v>red</v>
      </c>
      <c r="M50" s="21" t="str">
        <f aca="false">IF(Variants!$G51="","",Variants!$G51)</f>
        <v/>
      </c>
    </row>
    <row r="51" customFormat="false" ht="15.75" hidden="false" customHeight="true" outlineLevel="0" collapsed="false">
      <c r="A51" s="21" t="str">
        <f aca="false">IF(Variants!$B52="","",Variants!$C52&amp;" — "&amp;Variants!$E52&amp;IF(Variants!$F52=""," "," "&amp;Variants!$F52)&amp;" — "&amp;Variants!$H52)</f>
        <v>Bird Letter Pendant — Alphabet Ձ — turquoise</v>
      </c>
      <c r="B51" s="21" t="str">
        <f aca="false">IFERROR(IF(Variants!$B52="","",VLOOKUP(Variants!$B52,Designs!$A$3:$AP$165,9,FALSE())&amp;" Handmade in Armenia."),"")</f>
        <v>Bird letters are an ornamental medieval Armenian script where each letter is formed from stylised birds, used in illuminated manuscripts. Handmade in Armenia.</v>
      </c>
      <c r="C51" s="18" t="n">
        <f aca="false">IF(Variants!$J52="","",Variants!$J52)</f>
        <v>49.4</v>
      </c>
      <c r="D51" s="21" t="n">
        <f aca="false">IF(Variants!$O52="","",Variants!$O52)</f>
        <v>0</v>
      </c>
      <c r="E51" s="21" t="str">
        <f aca="false">Variants!$A52</f>
        <v>KARNI-PEND-ALPHA-DZA-TURQUOISE</v>
      </c>
      <c r="F51" s="21" t="str">
        <f aca="false">IF(Variants!$E52="","",Variants!$E52&amp;", Armenian, handmade, enamel, "&amp;Variants!$D52)</f>
        <v>Alphabet, Armenian, handmade, enamel, Pendant</v>
      </c>
      <c r="G51" s="21" t="str">
        <f aca="false">IFERROR(VLOOKUP(Variants!$B52,Designs!$A$3:$AP$165,12,FALSE())&amp;", enamel","")</f>
        <v>925 Silver Gold-Plated, enamel</v>
      </c>
      <c r="H51" s="21" t="str">
        <f aca="false">IF(Variants!$B52="","","I did")</f>
        <v>I did</v>
      </c>
      <c r="I51" s="21" t="str">
        <f aca="false">IF(Variants!$B52="","","Made to order")</f>
        <v>Made to order</v>
      </c>
      <c r="J51" s="21" t="str">
        <f aca="false">IF(Variants!$D52="","",Variants!$D52)</f>
        <v>Pendant</v>
      </c>
      <c r="K51" s="21" t="str">
        <f aca="false">IF(Variants!$Y52="","",Variants!$Y52)</f>
        <v/>
      </c>
      <c r="L51" s="21" t="str">
        <f aca="false">IF(Variants!$H52="","",Variants!$H52)</f>
        <v>turquoise</v>
      </c>
      <c r="M51" s="21" t="str">
        <f aca="false">IF(Variants!$G52="","",Variants!$G52)</f>
        <v/>
      </c>
    </row>
    <row r="52" customFormat="false" ht="15.75" hidden="false" customHeight="true" outlineLevel="0" collapsed="false">
      <c r="A52" s="21" t="str">
        <f aca="false">IF(Variants!$B53="","",Variants!$C53&amp;" — "&amp;Variants!$E53&amp;IF(Variants!$F53=""," "," "&amp;Variants!$F53)&amp;" — "&amp;Variants!$H53)</f>
        <v>Bird Letter Pendant — Alphabet Ձ — white</v>
      </c>
      <c r="B52" s="21" t="str">
        <f aca="false">IFERROR(IF(Variants!$B53="","",VLOOKUP(Variants!$B53,Designs!$A$3:$AP$165,9,FALSE())&amp;" Handmade in Armenia."),"")</f>
        <v>Bird letters are an ornamental medieval Armenian script where each letter is formed from stylised birds, used in illuminated manuscripts. Handmade in Armenia.</v>
      </c>
      <c r="C52" s="18" t="n">
        <f aca="false">IF(Variants!$J53="","",Variants!$J53)</f>
        <v>49.4</v>
      </c>
      <c r="D52" s="21" t="n">
        <f aca="false">IF(Variants!$O53="","",Variants!$O53)</f>
        <v>0</v>
      </c>
      <c r="E52" s="21" t="str">
        <f aca="false">Variants!$A53</f>
        <v>KARNI-PEND-ALPHA-DZA-WHITE</v>
      </c>
      <c r="F52" s="21" t="str">
        <f aca="false">IF(Variants!$E53="","",Variants!$E53&amp;", Armenian, handmade, enamel, "&amp;Variants!$D53)</f>
        <v>Alphabet, Armenian, handmade, enamel, Pendant</v>
      </c>
      <c r="G52" s="21" t="str">
        <f aca="false">IFERROR(VLOOKUP(Variants!$B53,Designs!$A$3:$AP$165,12,FALSE())&amp;", enamel","")</f>
        <v>925 Silver Gold-Plated, enamel</v>
      </c>
      <c r="H52" s="21" t="str">
        <f aca="false">IF(Variants!$B53="","","I did")</f>
        <v>I did</v>
      </c>
      <c r="I52" s="21" t="str">
        <f aca="false">IF(Variants!$B53="","","Made to order")</f>
        <v>Made to order</v>
      </c>
      <c r="J52" s="21" t="str">
        <f aca="false">IF(Variants!$D53="","",Variants!$D53)</f>
        <v>Pendant</v>
      </c>
      <c r="K52" s="21" t="str">
        <f aca="false">IF(Variants!$Y53="","",Variants!$Y53)</f>
        <v/>
      </c>
      <c r="L52" s="21" t="str">
        <f aca="false">IF(Variants!$H53="","",Variants!$H53)</f>
        <v>white</v>
      </c>
      <c r="M52" s="21" t="str">
        <f aca="false">IF(Variants!$G53="","",Variants!$G53)</f>
        <v/>
      </c>
    </row>
    <row r="53" customFormat="false" ht="15.75" hidden="false" customHeight="true" outlineLevel="0" collapsed="false">
      <c r="A53" s="21" t="str">
        <f aca="false">IF(Variants!$B54="","",Variants!$C54&amp;" — "&amp;Variants!$E54&amp;IF(Variants!$F54=""," "," "&amp;Variants!$F54)&amp;" — "&amp;Variants!$H54)</f>
        <v>Bird Letter Pendant — Alphabet Ղ — red</v>
      </c>
      <c r="B53" s="21" t="str">
        <f aca="false">IFERROR(IF(Variants!$B54="","",VLOOKUP(Variants!$B54,Designs!$A$3:$AP$165,9,FALSE())&amp;" Handmade in Armenia."),"")</f>
        <v>Bird letters are an ornamental medieval Armenian script where each letter is formed from stylised birds, used in illuminated manuscripts. Handmade in Armenia.</v>
      </c>
      <c r="C53" s="18" t="n">
        <f aca="false">IF(Variants!$J54="","",Variants!$J54)</f>
        <v>49.4</v>
      </c>
      <c r="D53" s="21" t="n">
        <f aca="false">IF(Variants!$O54="","",Variants!$O54)</f>
        <v>0</v>
      </c>
      <c r="E53" s="21" t="str">
        <f aca="false">Variants!$A54</f>
        <v>KARNI-PEND-ALPHA-GHAT-RED</v>
      </c>
      <c r="F53" s="21" t="str">
        <f aca="false">IF(Variants!$E54="","",Variants!$E54&amp;", Armenian, handmade, enamel, "&amp;Variants!$D54)</f>
        <v>Alphabet, Armenian, handmade, enamel, Pendant</v>
      </c>
      <c r="G53" s="21" t="str">
        <f aca="false">IFERROR(VLOOKUP(Variants!$B54,Designs!$A$3:$AP$165,12,FALSE())&amp;", enamel","")</f>
        <v>925 Silver Gold-Plated, enamel</v>
      </c>
      <c r="H53" s="21" t="str">
        <f aca="false">IF(Variants!$B54="","","I did")</f>
        <v>I did</v>
      </c>
      <c r="I53" s="21" t="str">
        <f aca="false">IF(Variants!$B54="","","Made to order")</f>
        <v>Made to order</v>
      </c>
      <c r="J53" s="21" t="str">
        <f aca="false">IF(Variants!$D54="","",Variants!$D54)</f>
        <v>Pendant</v>
      </c>
      <c r="K53" s="21" t="str">
        <f aca="false">IF(Variants!$Y54="","",Variants!$Y54)</f>
        <v/>
      </c>
      <c r="L53" s="21" t="str">
        <f aca="false">IF(Variants!$H54="","",Variants!$H54)</f>
        <v>red</v>
      </c>
      <c r="M53" s="21" t="str">
        <f aca="false">IF(Variants!$G54="","",Variants!$G54)</f>
        <v/>
      </c>
    </row>
    <row r="54" customFormat="false" ht="15.75" hidden="false" customHeight="true" outlineLevel="0" collapsed="false">
      <c r="A54" s="21" t="str">
        <f aca="false">IF(Variants!$B55="","",Variants!$C55&amp;" — "&amp;Variants!$E55&amp;IF(Variants!$F55=""," "," "&amp;Variants!$F55)&amp;" — "&amp;Variants!$H55)</f>
        <v>Bird Letter Pendant — Alphabet Ղ — turquoise</v>
      </c>
      <c r="B54" s="21" t="str">
        <f aca="false">IFERROR(IF(Variants!$B55="","",VLOOKUP(Variants!$B55,Designs!$A$3:$AP$165,9,FALSE())&amp;" Handmade in Armenia."),"")</f>
        <v>Bird letters are an ornamental medieval Armenian script where each letter is formed from stylised birds, used in illuminated manuscripts. Handmade in Armenia.</v>
      </c>
      <c r="C54" s="18" t="n">
        <f aca="false">IF(Variants!$J55="","",Variants!$J55)</f>
        <v>49.4</v>
      </c>
      <c r="D54" s="21" t="n">
        <f aca="false">IF(Variants!$O55="","",Variants!$O55)</f>
        <v>0</v>
      </c>
      <c r="E54" s="21" t="str">
        <f aca="false">Variants!$A55</f>
        <v>KARNI-PEND-ALPHA-GHAT-TURQUOISE</v>
      </c>
      <c r="F54" s="21" t="str">
        <f aca="false">IF(Variants!$E55="","",Variants!$E55&amp;", Armenian, handmade, enamel, "&amp;Variants!$D55)</f>
        <v>Alphabet, Armenian, handmade, enamel, Pendant</v>
      </c>
      <c r="G54" s="21" t="str">
        <f aca="false">IFERROR(VLOOKUP(Variants!$B55,Designs!$A$3:$AP$165,12,FALSE())&amp;", enamel","")</f>
        <v>925 Silver Gold-Plated, enamel</v>
      </c>
      <c r="H54" s="21" t="str">
        <f aca="false">IF(Variants!$B55="","","I did")</f>
        <v>I did</v>
      </c>
      <c r="I54" s="21" t="str">
        <f aca="false">IF(Variants!$B55="","","Made to order")</f>
        <v>Made to order</v>
      </c>
      <c r="J54" s="21" t="str">
        <f aca="false">IF(Variants!$D55="","",Variants!$D55)</f>
        <v>Pendant</v>
      </c>
      <c r="K54" s="21" t="str">
        <f aca="false">IF(Variants!$Y55="","",Variants!$Y55)</f>
        <v/>
      </c>
      <c r="L54" s="21" t="str">
        <f aca="false">IF(Variants!$H55="","",Variants!$H55)</f>
        <v>turquoise</v>
      </c>
      <c r="M54" s="21" t="str">
        <f aca="false">IF(Variants!$G55="","",Variants!$G55)</f>
        <v/>
      </c>
    </row>
    <row r="55" customFormat="false" ht="15.75" hidden="false" customHeight="true" outlineLevel="0" collapsed="false">
      <c r="A55" s="21" t="str">
        <f aca="false">IF(Variants!$B56="","",Variants!$C56&amp;" — "&amp;Variants!$E56&amp;IF(Variants!$F56=""," "," "&amp;Variants!$F56)&amp;" — "&amp;Variants!$H56)</f>
        <v>Bird Letter Pendant — Alphabet Ղ — white</v>
      </c>
      <c r="B55" s="21" t="str">
        <f aca="false">IFERROR(IF(Variants!$B56="","",VLOOKUP(Variants!$B56,Designs!$A$3:$AP$165,9,FALSE())&amp;" Handmade in Armenia."),"")</f>
        <v>Bird letters are an ornamental medieval Armenian script where each letter is formed from stylised birds, used in illuminated manuscripts. Handmade in Armenia.</v>
      </c>
      <c r="C55" s="18" t="n">
        <f aca="false">IF(Variants!$J56="","",Variants!$J56)</f>
        <v>49.4</v>
      </c>
      <c r="D55" s="21" t="n">
        <f aca="false">IF(Variants!$O56="","",Variants!$O56)</f>
        <v>0</v>
      </c>
      <c r="E55" s="21" t="str">
        <f aca="false">Variants!$A56</f>
        <v>KARNI-PEND-ALPHA-GHAT-WHITE</v>
      </c>
      <c r="F55" s="21" t="str">
        <f aca="false">IF(Variants!$E56="","",Variants!$E56&amp;", Armenian, handmade, enamel, "&amp;Variants!$D56)</f>
        <v>Alphabet, Armenian, handmade, enamel, Pendant</v>
      </c>
      <c r="G55" s="21" t="str">
        <f aca="false">IFERROR(VLOOKUP(Variants!$B56,Designs!$A$3:$AP$165,12,FALSE())&amp;", enamel","")</f>
        <v>925 Silver Gold-Plated, enamel</v>
      </c>
      <c r="H55" s="21" t="str">
        <f aca="false">IF(Variants!$B56="","","I did")</f>
        <v>I did</v>
      </c>
      <c r="I55" s="21" t="str">
        <f aca="false">IF(Variants!$B56="","","Made to order")</f>
        <v>Made to order</v>
      </c>
      <c r="J55" s="21" t="str">
        <f aca="false">IF(Variants!$D56="","",Variants!$D56)</f>
        <v>Pendant</v>
      </c>
      <c r="K55" s="21" t="str">
        <f aca="false">IF(Variants!$Y56="","",Variants!$Y56)</f>
        <v/>
      </c>
      <c r="L55" s="21" t="str">
        <f aca="false">IF(Variants!$H56="","",Variants!$H56)</f>
        <v>white</v>
      </c>
      <c r="M55" s="21" t="str">
        <f aca="false">IF(Variants!$G56="","",Variants!$G56)</f>
        <v/>
      </c>
    </row>
    <row r="56" customFormat="false" ht="15.75" hidden="false" customHeight="true" outlineLevel="0" collapsed="false">
      <c r="A56" s="21" t="str">
        <f aca="false">IF(Variants!$B57="","",Variants!$C57&amp;" — "&amp;Variants!$E57&amp;IF(Variants!$F57=""," "," "&amp;Variants!$F57)&amp;" — "&amp;Variants!$H57)</f>
        <v>Bird Letter Pendant — Alphabet Ճ — red</v>
      </c>
      <c r="B56" s="21" t="str">
        <f aca="false">IFERROR(IF(Variants!$B57="","",VLOOKUP(Variants!$B57,Designs!$A$3:$AP$165,9,FALSE())&amp;" Handmade in Armenia."),"")</f>
        <v>Bird letters are an ornamental medieval Armenian script where each letter is formed from stylised birds, used in illuminated manuscripts. Handmade in Armenia.</v>
      </c>
      <c r="C56" s="18" t="n">
        <f aca="false">IF(Variants!$J57="","",Variants!$J57)</f>
        <v>49.4</v>
      </c>
      <c r="D56" s="21" t="n">
        <f aca="false">IF(Variants!$O57="","",Variants!$O57)</f>
        <v>0</v>
      </c>
      <c r="E56" s="21" t="str">
        <f aca="false">Variants!$A57</f>
        <v>KARNI-PEND-ALPHA-CHEH-RED</v>
      </c>
      <c r="F56" s="21" t="str">
        <f aca="false">IF(Variants!$E57="","",Variants!$E57&amp;", Armenian, handmade, enamel, "&amp;Variants!$D57)</f>
        <v>Alphabet, Armenian, handmade, enamel, Pendant</v>
      </c>
      <c r="G56" s="21" t="str">
        <f aca="false">IFERROR(VLOOKUP(Variants!$B57,Designs!$A$3:$AP$165,12,FALSE())&amp;", enamel","")</f>
        <v>925 Silver Gold-Plated, enamel</v>
      </c>
      <c r="H56" s="21" t="str">
        <f aca="false">IF(Variants!$B57="","","I did")</f>
        <v>I did</v>
      </c>
      <c r="I56" s="21" t="str">
        <f aca="false">IF(Variants!$B57="","","Made to order")</f>
        <v>Made to order</v>
      </c>
      <c r="J56" s="21" t="str">
        <f aca="false">IF(Variants!$D57="","",Variants!$D57)</f>
        <v>Pendant</v>
      </c>
      <c r="K56" s="21" t="str">
        <f aca="false">IF(Variants!$Y57="","",Variants!$Y57)</f>
        <v/>
      </c>
      <c r="L56" s="21" t="str">
        <f aca="false">IF(Variants!$H57="","",Variants!$H57)</f>
        <v>red</v>
      </c>
      <c r="M56" s="21" t="str">
        <f aca="false">IF(Variants!$G57="","",Variants!$G57)</f>
        <v/>
      </c>
    </row>
    <row r="57" customFormat="false" ht="15.75" hidden="false" customHeight="true" outlineLevel="0" collapsed="false">
      <c r="A57" s="21" t="str">
        <f aca="false">IF(Variants!$B58="","",Variants!$C58&amp;" — "&amp;Variants!$E58&amp;IF(Variants!$F58=""," "," "&amp;Variants!$F58)&amp;" — "&amp;Variants!$H58)</f>
        <v>Bird Letter Pendant — Alphabet Ճ — turquoise</v>
      </c>
      <c r="B57" s="21" t="str">
        <f aca="false">IFERROR(IF(Variants!$B58="","",VLOOKUP(Variants!$B58,Designs!$A$3:$AP$165,9,FALSE())&amp;" Handmade in Armenia."),"")</f>
        <v>Bird letters are an ornamental medieval Armenian script where each letter is formed from stylised birds, used in illuminated manuscripts. Handmade in Armenia.</v>
      </c>
      <c r="C57" s="18" t="n">
        <f aca="false">IF(Variants!$J58="","",Variants!$J58)</f>
        <v>49.4</v>
      </c>
      <c r="D57" s="21" t="n">
        <f aca="false">IF(Variants!$O58="","",Variants!$O58)</f>
        <v>0</v>
      </c>
      <c r="E57" s="21" t="str">
        <f aca="false">Variants!$A58</f>
        <v>KARNI-PEND-ALPHA-CHEH-TURQUOISE</v>
      </c>
      <c r="F57" s="21" t="str">
        <f aca="false">IF(Variants!$E58="","",Variants!$E58&amp;", Armenian, handmade, enamel, "&amp;Variants!$D58)</f>
        <v>Alphabet, Armenian, handmade, enamel, Pendant</v>
      </c>
      <c r="G57" s="21" t="str">
        <f aca="false">IFERROR(VLOOKUP(Variants!$B58,Designs!$A$3:$AP$165,12,FALSE())&amp;", enamel","")</f>
        <v>925 Silver Gold-Plated, enamel</v>
      </c>
      <c r="H57" s="21" t="str">
        <f aca="false">IF(Variants!$B58="","","I did")</f>
        <v>I did</v>
      </c>
      <c r="I57" s="21" t="str">
        <f aca="false">IF(Variants!$B58="","","Made to order")</f>
        <v>Made to order</v>
      </c>
      <c r="J57" s="21" t="str">
        <f aca="false">IF(Variants!$D58="","",Variants!$D58)</f>
        <v>Pendant</v>
      </c>
      <c r="K57" s="21" t="str">
        <f aca="false">IF(Variants!$Y58="","",Variants!$Y58)</f>
        <v/>
      </c>
      <c r="L57" s="21" t="str">
        <f aca="false">IF(Variants!$H58="","",Variants!$H58)</f>
        <v>turquoise</v>
      </c>
      <c r="M57" s="21" t="str">
        <f aca="false">IF(Variants!$G58="","",Variants!$G58)</f>
        <v/>
      </c>
    </row>
    <row r="58" customFormat="false" ht="15.75" hidden="false" customHeight="true" outlineLevel="0" collapsed="false">
      <c r="A58" s="21" t="str">
        <f aca="false">IF(Variants!$B59="","",Variants!$C59&amp;" — "&amp;Variants!$E59&amp;IF(Variants!$F59=""," "," "&amp;Variants!$F59)&amp;" — "&amp;Variants!$H59)</f>
        <v>Bird Letter Pendant — Alphabet Ճ — white</v>
      </c>
      <c r="B58" s="21" t="str">
        <f aca="false">IFERROR(IF(Variants!$B59="","",VLOOKUP(Variants!$B59,Designs!$A$3:$AP$165,9,FALSE())&amp;" Handmade in Armenia."),"")</f>
        <v>Bird letters are an ornamental medieval Armenian script where each letter is formed from stylised birds, used in illuminated manuscripts. Handmade in Armenia.</v>
      </c>
      <c r="C58" s="18" t="n">
        <f aca="false">IF(Variants!$J59="","",Variants!$J59)</f>
        <v>49.4</v>
      </c>
      <c r="D58" s="21" t="n">
        <f aca="false">IF(Variants!$O59="","",Variants!$O59)</f>
        <v>0</v>
      </c>
      <c r="E58" s="21" t="str">
        <f aca="false">Variants!$A59</f>
        <v>KARNI-PEND-ALPHA-CHEH-WHITE</v>
      </c>
      <c r="F58" s="21" t="str">
        <f aca="false">IF(Variants!$E59="","",Variants!$E59&amp;", Armenian, handmade, enamel, "&amp;Variants!$D59)</f>
        <v>Alphabet, Armenian, handmade, enamel, Pendant</v>
      </c>
      <c r="G58" s="21" t="str">
        <f aca="false">IFERROR(VLOOKUP(Variants!$B59,Designs!$A$3:$AP$165,12,FALSE())&amp;", enamel","")</f>
        <v>925 Silver Gold-Plated, enamel</v>
      </c>
      <c r="H58" s="21" t="str">
        <f aca="false">IF(Variants!$B59="","","I did")</f>
        <v>I did</v>
      </c>
      <c r="I58" s="21" t="str">
        <f aca="false">IF(Variants!$B59="","","Made to order")</f>
        <v>Made to order</v>
      </c>
      <c r="J58" s="21" t="str">
        <f aca="false">IF(Variants!$D59="","",Variants!$D59)</f>
        <v>Pendant</v>
      </c>
      <c r="K58" s="21" t="str">
        <f aca="false">IF(Variants!$Y59="","",Variants!$Y59)</f>
        <v/>
      </c>
      <c r="L58" s="21" t="str">
        <f aca="false">IF(Variants!$H59="","",Variants!$H59)</f>
        <v>white</v>
      </c>
      <c r="M58" s="21" t="str">
        <f aca="false">IF(Variants!$G59="","",Variants!$G59)</f>
        <v/>
      </c>
    </row>
    <row r="59" customFormat="false" ht="15.75" hidden="false" customHeight="true" outlineLevel="0" collapsed="false">
      <c r="A59" s="21" t="str">
        <f aca="false">IF(Variants!$B60="","",Variants!$C60&amp;" — "&amp;Variants!$E60&amp;IF(Variants!$F60=""," "," "&amp;Variants!$F60)&amp;" — "&amp;Variants!$H60)</f>
        <v>Bird Letter Pendant — Alphabet Մ — red</v>
      </c>
      <c r="B59" s="21" t="str">
        <f aca="false">IFERROR(IF(Variants!$B60="","",VLOOKUP(Variants!$B60,Designs!$A$3:$AP$165,9,FALSE())&amp;" Handmade in Armenia."),"")</f>
        <v>Bird letters are an ornamental medieval Armenian script where each letter is formed from stylised birds, used in illuminated manuscripts. Handmade in Armenia.</v>
      </c>
      <c r="C59" s="18" t="n">
        <f aca="false">IF(Variants!$J60="","",Variants!$J60)</f>
        <v>49.4</v>
      </c>
      <c r="D59" s="21" t="n">
        <f aca="false">IF(Variants!$O60="","",Variants!$O60)</f>
        <v>0</v>
      </c>
      <c r="E59" s="21" t="str">
        <f aca="false">Variants!$A60</f>
        <v>KARNI-PEND-ALPHA-MEN-RED</v>
      </c>
      <c r="F59" s="21" t="str">
        <f aca="false">IF(Variants!$E60="","",Variants!$E60&amp;", Armenian, handmade, enamel, "&amp;Variants!$D60)</f>
        <v>Alphabet, Armenian, handmade, enamel, Pendant</v>
      </c>
      <c r="G59" s="21" t="str">
        <f aca="false">IFERROR(VLOOKUP(Variants!$B60,Designs!$A$3:$AP$165,12,FALSE())&amp;", enamel","")</f>
        <v>925 Silver Gold-Plated, enamel</v>
      </c>
      <c r="H59" s="21" t="str">
        <f aca="false">IF(Variants!$B60="","","I did")</f>
        <v>I did</v>
      </c>
      <c r="I59" s="21" t="str">
        <f aca="false">IF(Variants!$B60="","","Made to order")</f>
        <v>Made to order</v>
      </c>
      <c r="J59" s="21" t="str">
        <f aca="false">IF(Variants!$D60="","",Variants!$D60)</f>
        <v>Pendant</v>
      </c>
      <c r="K59" s="21" t="str">
        <f aca="false">IF(Variants!$Y60="","",Variants!$Y60)</f>
        <v/>
      </c>
      <c r="L59" s="21" t="str">
        <f aca="false">IF(Variants!$H60="","",Variants!$H60)</f>
        <v>red</v>
      </c>
      <c r="M59" s="21" t="str">
        <f aca="false">IF(Variants!$G60="","",Variants!$G60)</f>
        <v/>
      </c>
    </row>
    <row r="60" customFormat="false" ht="15.75" hidden="false" customHeight="true" outlineLevel="0" collapsed="false">
      <c r="A60" s="21" t="str">
        <f aca="false">IF(Variants!$B61="","",Variants!$C61&amp;" — "&amp;Variants!$E61&amp;IF(Variants!$F61=""," "," "&amp;Variants!$F61)&amp;" — "&amp;Variants!$H61)</f>
        <v>Bird Letter Pendant — Alphabet Մ — turquoise</v>
      </c>
      <c r="B60" s="21" t="str">
        <f aca="false">IFERROR(IF(Variants!$B61="","",VLOOKUP(Variants!$B61,Designs!$A$3:$AP$165,9,FALSE())&amp;" Handmade in Armenia."),"")</f>
        <v>Bird letters are an ornamental medieval Armenian script where each letter is formed from stylised birds, used in illuminated manuscripts. Handmade in Armenia.</v>
      </c>
      <c r="C60" s="18" t="n">
        <f aca="false">IF(Variants!$J61="","",Variants!$J61)</f>
        <v>49.4</v>
      </c>
      <c r="D60" s="21" t="n">
        <f aca="false">IF(Variants!$O61="","",Variants!$O61)</f>
        <v>0</v>
      </c>
      <c r="E60" s="21" t="str">
        <f aca="false">Variants!$A61</f>
        <v>KARNI-PEND-ALPHA-MEN-TURQUOISE</v>
      </c>
      <c r="F60" s="21" t="str">
        <f aca="false">IF(Variants!$E61="","",Variants!$E61&amp;", Armenian, handmade, enamel, "&amp;Variants!$D61)</f>
        <v>Alphabet, Armenian, handmade, enamel, Pendant</v>
      </c>
      <c r="G60" s="21" t="str">
        <f aca="false">IFERROR(VLOOKUP(Variants!$B61,Designs!$A$3:$AP$165,12,FALSE())&amp;", enamel","")</f>
        <v>925 Silver Gold-Plated, enamel</v>
      </c>
      <c r="H60" s="21" t="str">
        <f aca="false">IF(Variants!$B61="","","I did")</f>
        <v>I did</v>
      </c>
      <c r="I60" s="21" t="str">
        <f aca="false">IF(Variants!$B61="","","Made to order")</f>
        <v>Made to order</v>
      </c>
      <c r="J60" s="21" t="str">
        <f aca="false">IF(Variants!$D61="","",Variants!$D61)</f>
        <v>Pendant</v>
      </c>
      <c r="K60" s="21" t="str">
        <f aca="false">IF(Variants!$Y61="","",Variants!$Y61)</f>
        <v/>
      </c>
      <c r="L60" s="21" t="str">
        <f aca="false">IF(Variants!$H61="","",Variants!$H61)</f>
        <v>turquoise</v>
      </c>
      <c r="M60" s="21" t="str">
        <f aca="false">IF(Variants!$G61="","",Variants!$G61)</f>
        <v/>
      </c>
    </row>
    <row r="61" customFormat="false" ht="15.75" hidden="false" customHeight="true" outlineLevel="0" collapsed="false">
      <c r="A61" s="21" t="str">
        <f aca="false">IF(Variants!$B62="","",Variants!$C62&amp;" — "&amp;Variants!$E62&amp;IF(Variants!$F62=""," "," "&amp;Variants!$F62)&amp;" — "&amp;Variants!$H62)</f>
        <v>Bird Letter Pendant — Alphabet Մ — white</v>
      </c>
      <c r="B61" s="21" t="str">
        <f aca="false">IFERROR(IF(Variants!$B62="","",VLOOKUP(Variants!$B62,Designs!$A$3:$AP$165,9,FALSE())&amp;" Handmade in Armenia."),"")</f>
        <v>Bird letters are an ornamental medieval Armenian script where each letter is formed from stylised birds, used in illuminated manuscripts. Handmade in Armenia.</v>
      </c>
      <c r="C61" s="18" t="n">
        <f aca="false">IF(Variants!$J62="","",Variants!$J62)</f>
        <v>49.4</v>
      </c>
      <c r="D61" s="21" t="n">
        <f aca="false">IF(Variants!$O62="","",Variants!$O62)</f>
        <v>0</v>
      </c>
      <c r="E61" s="21" t="str">
        <f aca="false">Variants!$A62</f>
        <v>KARNI-PEND-ALPHA-MEN-WHITE</v>
      </c>
      <c r="F61" s="21" t="str">
        <f aca="false">IF(Variants!$E62="","",Variants!$E62&amp;", Armenian, handmade, enamel, "&amp;Variants!$D62)</f>
        <v>Alphabet, Armenian, handmade, enamel, Pendant</v>
      </c>
      <c r="G61" s="21" t="str">
        <f aca="false">IFERROR(VLOOKUP(Variants!$B62,Designs!$A$3:$AP$165,12,FALSE())&amp;", enamel","")</f>
        <v>925 Silver Gold-Plated, enamel</v>
      </c>
      <c r="H61" s="21" t="str">
        <f aca="false">IF(Variants!$B62="","","I did")</f>
        <v>I did</v>
      </c>
      <c r="I61" s="21" t="str">
        <f aca="false">IF(Variants!$B62="","","Made to order")</f>
        <v>Made to order</v>
      </c>
      <c r="J61" s="21" t="str">
        <f aca="false">IF(Variants!$D62="","",Variants!$D62)</f>
        <v>Pendant</v>
      </c>
      <c r="K61" s="21" t="str">
        <f aca="false">IF(Variants!$Y62="","",Variants!$Y62)</f>
        <v/>
      </c>
      <c r="L61" s="21" t="str">
        <f aca="false">IF(Variants!$H62="","",Variants!$H62)</f>
        <v>white</v>
      </c>
      <c r="M61" s="21" t="str">
        <f aca="false">IF(Variants!$G62="","",Variants!$G62)</f>
        <v/>
      </c>
    </row>
    <row r="62" customFormat="false" ht="15.75" hidden="false" customHeight="true" outlineLevel="0" collapsed="false">
      <c r="A62" s="21" t="str">
        <f aca="false">IF(Variants!$B63="","",Variants!$C63&amp;" — "&amp;Variants!$E63&amp;IF(Variants!$F63=""," "," "&amp;Variants!$F63)&amp;" — "&amp;Variants!$H63)</f>
        <v>Bird Letter Pendant — Alphabet Յ — red</v>
      </c>
      <c r="B62" s="21" t="str">
        <f aca="false">IFERROR(IF(Variants!$B63="","",VLOOKUP(Variants!$B63,Designs!$A$3:$AP$165,9,FALSE())&amp;" Handmade in Armenia."),"")</f>
        <v>Bird letters are an ornamental medieval Armenian script where each letter is formed from stylised birds, used in illuminated manuscripts. Handmade in Armenia.</v>
      </c>
      <c r="C62" s="18" t="n">
        <f aca="false">IF(Variants!$J63="","",Variants!$J63)</f>
        <v>49.4</v>
      </c>
      <c r="D62" s="21" t="n">
        <f aca="false">IF(Variants!$O63="","",Variants!$O63)</f>
        <v>0</v>
      </c>
      <c r="E62" s="21" t="str">
        <f aca="false">Variants!$A63</f>
        <v>KARNI-PEND-ALPHA-HI-RED</v>
      </c>
      <c r="F62" s="21" t="str">
        <f aca="false">IF(Variants!$E63="","",Variants!$E63&amp;", Armenian, handmade, enamel, "&amp;Variants!$D63)</f>
        <v>Alphabet, Armenian, handmade, enamel, Pendant</v>
      </c>
      <c r="G62" s="21" t="str">
        <f aca="false">IFERROR(VLOOKUP(Variants!$B63,Designs!$A$3:$AP$165,12,FALSE())&amp;", enamel","")</f>
        <v>925 Silver Gold-Plated, enamel</v>
      </c>
      <c r="H62" s="21" t="str">
        <f aca="false">IF(Variants!$B63="","","I did")</f>
        <v>I did</v>
      </c>
      <c r="I62" s="21" t="str">
        <f aca="false">IF(Variants!$B63="","","Made to order")</f>
        <v>Made to order</v>
      </c>
      <c r="J62" s="21" t="str">
        <f aca="false">IF(Variants!$D63="","",Variants!$D63)</f>
        <v>Pendant</v>
      </c>
      <c r="K62" s="21" t="str">
        <f aca="false">IF(Variants!$Y63="","",Variants!$Y63)</f>
        <v/>
      </c>
      <c r="L62" s="21" t="str">
        <f aca="false">IF(Variants!$H63="","",Variants!$H63)</f>
        <v>red</v>
      </c>
      <c r="M62" s="21" t="str">
        <f aca="false">IF(Variants!$G63="","",Variants!$G63)</f>
        <v/>
      </c>
    </row>
    <row r="63" customFormat="false" ht="15.75" hidden="false" customHeight="true" outlineLevel="0" collapsed="false">
      <c r="A63" s="21" t="str">
        <f aca="false">IF(Variants!$B64="","",Variants!$C64&amp;" — "&amp;Variants!$E64&amp;IF(Variants!$F64=""," "," "&amp;Variants!$F64)&amp;" — "&amp;Variants!$H64)</f>
        <v>Bird Letter Pendant — Alphabet Յ — turquoise</v>
      </c>
      <c r="B63" s="21" t="str">
        <f aca="false">IFERROR(IF(Variants!$B64="","",VLOOKUP(Variants!$B64,Designs!$A$3:$AP$165,9,FALSE())&amp;" Handmade in Armenia."),"")</f>
        <v>Bird letters are an ornamental medieval Armenian script where each letter is formed from stylised birds, used in illuminated manuscripts. Handmade in Armenia.</v>
      </c>
      <c r="C63" s="18" t="n">
        <f aca="false">IF(Variants!$J64="","",Variants!$J64)</f>
        <v>49.4</v>
      </c>
      <c r="D63" s="21" t="n">
        <f aca="false">IF(Variants!$O64="","",Variants!$O64)</f>
        <v>0</v>
      </c>
      <c r="E63" s="21" t="str">
        <f aca="false">Variants!$A64</f>
        <v>KARNI-PEND-ALPHA-HI-TURQUOISE</v>
      </c>
      <c r="F63" s="21" t="str">
        <f aca="false">IF(Variants!$E64="","",Variants!$E64&amp;", Armenian, handmade, enamel, "&amp;Variants!$D64)</f>
        <v>Alphabet, Armenian, handmade, enamel, Pendant</v>
      </c>
      <c r="G63" s="21" t="str">
        <f aca="false">IFERROR(VLOOKUP(Variants!$B64,Designs!$A$3:$AP$165,12,FALSE())&amp;", enamel","")</f>
        <v>925 Silver Gold-Plated, enamel</v>
      </c>
      <c r="H63" s="21" t="str">
        <f aca="false">IF(Variants!$B64="","","I did")</f>
        <v>I did</v>
      </c>
      <c r="I63" s="21" t="str">
        <f aca="false">IF(Variants!$B64="","","Made to order")</f>
        <v>Made to order</v>
      </c>
      <c r="J63" s="21" t="str">
        <f aca="false">IF(Variants!$D64="","",Variants!$D64)</f>
        <v>Pendant</v>
      </c>
      <c r="K63" s="21" t="str">
        <f aca="false">IF(Variants!$Y64="","",Variants!$Y64)</f>
        <v/>
      </c>
      <c r="L63" s="21" t="str">
        <f aca="false">IF(Variants!$H64="","",Variants!$H64)</f>
        <v>turquoise</v>
      </c>
      <c r="M63" s="21" t="str">
        <f aca="false">IF(Variants!$G64="","",Variants!$G64)</f>
        <v/>
      </c>
    </row>
    <row r="64" customFormat="false" ht="15.75" hidden="false" customHeight="true" outlineLevel="0" collapsed="false">
      <c r="A64" s="21" t="str">
        <f aca="false">IF(Variants!$B65="","",Variants!$C65&amp;" — "&amp;Variants!$E65&amp;IF(Variants!$F65=""," "," "&amp;Variants!$F65)&amp;" — "&amp;Variants!$H65)</f>
        <v>Bird Letter Pendant — Alphabet Յ — white</v>
      </c>
      <c r="B64" s="21" t="str">
        <f aca="false">IFERROR(IF(Variants!$B65="","",VLOOKUP(Variants!$B65,Designs!$A$3:$AP$165,9,FALSE())&amp;" Handmade in Armenia."),"")</f>
        <v>Bird letters are an ornamental medieval Armenian script where each letter is formed from stylised birds, used in illuminated manuscripts. Handmade in Armenia.</v>
      </c>
      <c r="C64" s="18" t="n">
        <f aca="false">IF(Variants!$J65="","",Variants!$J65)</f>
        <v>49.4</v>
      </c>
      <c r="D64" s="21" t="n">
        <f aca="false">IF(Variants!$O65="","",Variants!$O65)</f>
        <v>0</v>
      </c>
      <c r="E64" s="21" t="str">
        <f aca="false">Variants!$A65</f>
        <v>KARNI-PEND-ALPHA-HI-WHITE</v>
      </c>
      <c r="F64" s="21" t="str">
        <f aca="false">IF(Variants!$E65="","",Variants!$E65&amp;", Armenian, handmade, enamel, "&amp;Variants!$D65)</f>
        <v>Alphabet, Armenian, handmade, enamel, Pendant</v>
      </c>
      <c r="G64" s="21" t="str">
        <f aca="false">IFERROR(VLOOKUP(Variants!$B65,Designs!$A$3:$AP$165,12,FALSE())&amp;", enamel","")</f>
        <v>925 Silver Gold-Plated, enamel</v>
      </c>
      <c r="H64" s="21" t="str">
        <f aca="false">IF(Variants!$B65="","","I did")</f>
        <v>I did</v>
      </c>
      <c r="I64" s="21" t="str">
        <f aca="false">IF(Variants!$B65="","","Made to order")</f>
        <v>Made to order</v>
      </c>
      <c r="J64" s="21" t="str">
        <f aca="false">IF(Variants!$D65="","",Variants!$D65)</f>
        <v>Pendant</v>
      </c>
      <c r="K64" s="21" t="str">
        <f aca="false">IF(Variants!$Y65="","",Variants!$Y65)</f>
        <v/>
      </c>
      <c r="L64" s="21" t="str">
        <f aca="false">IF(Variants!$H65="","",Variants!$H65)</f>
        <v>white</v>
      </c>
      <c r="M64" s="21" t="str">
        <f aca="false">IF(Variants!$G65="","",Variants!$G65)</f>
        <v/>
      </c>
    </row>
    <row r="65" customFormat="false" ht="15.75" hidden="false" customHeight="true" outlineLevel="0" collapsed="false">
      <c r="A65" s="21" t="str">
        <f aca="false">IF(Variants!$B66="","",Variants!$C66&amp;" — "&amp;Variants!$E66&amp;IF(Variants!$F66=""," "," "&amp;Variants!$F66)&amp;" — "&amp;Variants!$H66)</f>
        <v>Bird Letter Pendant — Alphabet Ն — red</v>
      </c>
      <c r="B65" s="21" t="str">
        <f aca="false">IFERROR(IF(Variants!$B66="","",VLOOKUP(Variants!$B66,Designs!$A$3:$AP$165,9,FALSE())&amp;" Handmade in Armenia."),"")</f>
        <v>Bird letters are an ornamental medieval Armenian script where each letter is formed from stylised birds, used in illuminated manuscripts. Handmade in Armenia.</v>
      </c>
      <c r="C65" s="18" t="n">
        <f aca="false">IF(Variants!$J66="","",Variants!$J66)</f>
        <v>49.4</v>
      </c>
      <c r="D65" s="21" t="n">
        <f aca="false">IF(Variants!$O66="","",Variants!$O66)</f>
        <v>0</v>
      </c>
      <c r="E65" s="21" t="str">
        <f aca="false">Variants!$A66</f>
        <v>KARNI-PEND-ALPHA-NU-RED</v>
      </c>
      <c r="F65" s="21" t="str">
        <f aca="false">IF(Variants!$E66="","",Variants!$E66&amp;", Armenian, handmade, enamel, "&amp;Variants!$D66)</f>
        <v>Alphabet, Armenian, handmade, enamel, Pendant</v>
      </c>
      <c r="G65" s="21" t="str">
        <f aca="false">IFERROR(VLOOKUP(Variants!$B66,Designs!$A$3:$AP$165,12,FALSE())&amp;", enamel","")</f>
        <v>925 Silver Gold-Plated, enamel</v>
      </c>
      <c r="H65" s="21" t="str">
        <f aca="false">IF(Variants!$B66="","","I did")</f>
        <v>I did</v>
      </c>
      <c r="I65" s="21" t="str">
        <f aca="false">IF(Variants!$B66="","","Made to order")</f>
        <v>Made to order</v>
      </c>
      <c r="J65" s="21" t="str">
        <f aca="false">IF(Variants!$D66="","",Variants!$D66)</f>
        <v>Pendant</v>
      </c>
      <c r="K65" s="21" t="str">
        <f aca="false">IF(Variants!$Y66="","",Variants!$Y66)</f>
        <v/>
      </c>
      <c r="L65" s="21" t="str">
        <f aca="false">IF(Variants!$H66="","",Variants!$H66)</f>
        <v>red</v>
      </c>
      <c r="M65" s="21" t="str">
        <f aca="false">IF(Variants!$G66="","",Variants!$G66)</f>
        <v/>
      </c>
    </row>
    <row r="66" customFormat="false" ht="15.75" hidden="false" customHeight="true" outlineLevel="0" collapsed="false">
      <c r="A66" s="21" t="str">
        <f aca="false">IF(Variants!$B67="","",Variants!$C67&amp;" — "&amp;Variants!$E67&amp;IF(Variants!$F67=""," "," "&amp;Variants!$F67)&amp;" — "&amp;Variants!$H67)</f>
        <v>Bird Letter Pendant — Alphabet Ն — turquoise</v>
      </c>
      <c r="B66" s="21" t="str">
        <f aca="false">IFERROR(IF(Variants!$B67="","",VLOOKUP(Variants!$B67,Designs!$A$3:$AP$165,9,FALSE())&amp;" Handmade in Armenia."),"")</f>
        <v>Bird letters are an ornamental medieval Armenian script where each letter is formed from stylised birds, used in illuminated manuscripts. Handmade in Armenia.</v>
      </c>
      <c r="C66" s="18" t="n">
        <f aca="false">IF(Variants!$J67="","",Variants!$J67)</f>
        <v>49.4</v>
      </c>
      <c r="D66" s="21" t="n">
        <f aca="false">IF(Variants!$O67="","",Variants!$O67)</f>
        <v>0</v>
      </c>
      <c r="E66" s="21" t="str">
        <f aca="false">Variants!$A67</f>
        <v>KARNI-PEND-ALPHA-NU-TURQUOISE</v>
      </c>
      <c r="F66" s="21" t="str">
        <f aca="false">IF(Variants!$E67="","",Variants!$E67&amp;", Armenian, handmade, enamel, "&amp;Variants!$D67)</f>
        <v>Alphabet, Armenian, handmade, enamel, Pendant</v>
      </c>
      <c r="G66" s="21" t="str">
        <f aca="false">IFERROR(VLOOKUP(Variants!$B67,Designs!$A$3:$AP$165,12,FALSE())&amp;", enamel","")</f>
        <v>925 Silver Gold-Plated, enamel</v>
      </c>
      <c r="H66" s="21" t="str">
        <f aca="false">IF(Variants!$B67="","","I did")</f>
        <v>I did</v>
      </c>
      <c r="I66" s="21" t="str">
        <f aca="false">IF(Variants!$B67="","","Made to order")</f>
        <v>Made to order</v>
      </c>
      <c r="J66" s="21" t="str">
        <f aca="false">IF(Variants!$D67="","",Variants!$D67)</f>
        <v>Pendant</v>
      </c>
      <c r="K66" s="21" t="str">
        <f aca="false">IF(Variants!$Y67="","",Variants!$Y67)</f>
        <v/>
      </c>
      <c r="L66" s="21" t="str">
        <f aca="false">IF(Variants!$H67="","",Variants!$H67)</f>
        <v>turquoise</v>
      </c>
      <c r="M66" s="21" t="str">
        <f aca="false">IF(Variants!$G67="","",Variants!$G67)</f>
        <v/>
      </c>
    </row>
    <row r="67" customFormat="false" ht="15.75" hidden="false" customHeight="true" outlineLevel="0" collapsed="false">
      <c r="A67" s="21" t="str">
        <f aca="false">IF(Variants!$B68="","",Variants!$C68&amp;" — "&amp;Variants!$E68&amp;IF(Variants!$F68=""," "," "&amp;Variants!$F68)&amp;" — "&amp;Variants!$H68)</f>
        <v>Bird Letter Pendant — Alphabet Ն — white</v>
      </c>
      <c r="B67" s="21" t="str">
        <f aca="false">IFERROR(IF(Variants!$B68="","",VLOOKUP(Variants!$B68,Designs!$A$3:$AP$165,9,FALSE())&amp;" Handmade in Armenia."),"")</f>
        <v>Bird letters are an ornamental medieval Armenian script where each letter is formed from stylised birds, used in illuminated manuscripts. Handmade in Armenia.</v>
      </c>
      <c r="C67" s="18" t="n">
        <f aca="false">IF(Variants!$J68="","",Variants!$J68)</f>
        <v>49.4</v>
      </c>
      <c r="D67" s="21" t="n">
        <f aca="false">IF(Variants!$O68="","",Variants!$O68)</f>
        <v>0</v>
      </c>
      <c r="E67" s="21" t="str">
        <f aca="false">Variants!$A68</f>
        <v>KARNI-PEND-ALPHA-NU-WHITE</v>
      </c>
      <c r="F67" s="21" t="str">
        <f aca="false">IF(Variants!$E68="","",Variants!$E68&amp;", Armenian, handmade, enamel, "&amp;Variants!$D68)</f>
        <v>Alphabet, Armenian, handmade, enamel, Pendant</v>
      </c>
      <c r="G67" s="21" t="str">
        <f aca="false">IFERROR(VLOOKUP(Variants!$B68,Designs!$A$3:$AP$165,12,FALSE())&amp;", enamel","")</f>
        <v>925 Silver Gold-Plated, enamel</v>
      </c>
      <c r="H67" s="21" t="str">
        <f aca="false">IF(Variants!$B68="","","I did")</f>
        <v>I did</v>
      </c>
      <c r="I67" s="21" t="str">
        <f aca="false">IF(Variants!$B68="","","Made to order")</f>
        <v>Made to order</v>
      </c>
      <c r="J67" s="21" t="str">
        <f aca="false">IF(Variants!$D68="","",Variants!$D68)</f>
        <v>Pendant</v>
      </c>
      <c r="K67" s="21" t="str">
        <f aca="false">IF(Variants!$Y68="","",Variants!$Y68)</f>
        <v/>
      </c>
      <c r="L67" s="21" t="str">
        <f aca="false">IF(Variants!$H68="","",Variants!$H68)</f>
        <v>white</v>
      </c>
      <c r="M67" s="21" t="str">
        <f aca="false">IF(Variants!$G68="","",Variants!$G68)</f>
        <v/>
      </c>
    </row>
    <row r="68" customFormat="false" ht="15.75" hidden="false" customHeight="true" outlineLevel="0" collapsed="false">
      <c r="A68" s="21" t="str">
        <f aca="false">IF(Variants!$B69="","",Variants!$C69&amp;" — "&amp;Variants!$E69&amp;IF(Variants!$F69=""," "," "&amp;Variants!$F69)&amp;" — "&amp;Variants!$H69)</f>
        <v>Bird Letter Pendant — Alphabet Շ — red</v>
      </c>
      <c r="B68" s="21" t="str">
        <f aca="false">IFERROR(IF(Variants!$B69="","",VLOOKUP(Variants!$B69,Designs!$A$3:$AP$165,9,FALSE())&amp;" Handmade in Armenia."),"")</f>
        <v>Bird letters are an ornamental medieval Armenian script where each letter is formed from stylised birds, used in illuminated manuscripts. Handmade in Armenia.</v>
      </c>
      <c r="C68" s="18" t="n">
        <f aca="false">IF(Variants!$J69="","",Variants!$J69)</f>
        <v>49.4</v>
      </c>
      <c r="D68" s="21" t="n">
        <f aca="false">IF(Variants!$O69="","",Variants!$O69)</f>
        <v>0</v>
      </c>
      <c r="E68" s="21" t="str">
        <f aca="false">Variants!$A69</f>
        <v>KARNI-PEND-ALPHA-SHA-RED</v>
      </c>
      <c r="F68" s="21" t="str">
        <f aca="false">IF(Variants!$E69="","",Variants!$E69&amp;", Armenian, handmade, enamel, "&amp;Variants!$D69)</f>
        <v>Alphabet, Armenian, handmade, enamel, Pendant</v>
      </c>
      <c r="G68" s="21" t="str">
        <f aca="false">IFERROR(VLOOKUP(Variants!$B69,Designs!$A$3:$AP$165,12,FALSE())&amp;", enamel","")</f>
        <v>925 Silver Gold-Plated, enamel</v>
      </c>
      <c r="H68" s="21" t="str">
        <f aca="false">IF(Variants!$B69="","","I did")</f>
        <v>I did</v>
      </c>
      <c r="I68" s="21" t="str">
        <f aca="false">IF(Variants!$B69="","","Made to order")</f>
        <v>Made to order</v>
      </c>
      <c r="J68" s="21" t="str">
        <f aca="false">IF(Variants!$D69="","",Variants!$D69)</f>
        <v>Pendant</v>
      </c>
      <c r="K68" s="21" t="str">
        <f aca="false">IF(Variants!$Y69="","",Variants!$Y69)</f>
        <v/>
      </c>
      <c r="L68" s="21" t="str">
        <f aca="false">IF(Variants!$H69="","",Variants!$H69)</f>
        <v>red</v>
      </c>
      <c r="M68" s="21" t="str">
        <f aca="false">IF(Variants!$G69="","",Variants!$G69)</f>
        <v/>
      </c>
    </row>
    <row r="69" customFormat="false" ht="15.75" hidden="false" customHeight="true" outlineLevel="0" collapsed="false">
      <c r="A69" s="21" t="str">
        <f aca="false">IF(Variants!$B70="","",Variants!$C70&amp;" — "&amp;Variants!$E70&amp;IF(Variants!$F70=""," "," "&amp;Variants!$F70)&amp;" — "&amp;Variants!$H70)</f>
        <v>Bird Letter Pendant — Alphabet Շ — turquoise</v>
      </c>
      <c r="B69" s="21" t="str">
        <f aca="false">IFERROR(IF(Variants!$B70="","",VLOOKUP(Variants!$B70,Designs!$A$3:$AP$165,9,FALSE())&amp;" Handmade in Armenia."),"")</f>
        <v>Bird letters are an ornamental medieval Armenian script where each letter is formed from stylised birds, used in illuminated manuscripts. Handmade in Armenia.</v>
      </c>
      <c r="C69" s="18" t="n">
        <f aca="false">IF(Variants!$J70="","",Variants!$J70)</f>
        <v>49.4</v>
      </c>
      <c r="D69" s="21" t="n">
        <f aca="false">IF(Variants!$O70="","",Variants!$O70)</f>
        <v>0</v>
      </c>
      <c r="E69" s="21" t="str">
        <f aca="false">Variants!$A70</f>
        <v>KARNI-PEND-ALPHA-SHA-TURQUOISE</v>
      </c>
      <c r="F69" s="21" t="str">
        <f aca="false">IF(Variants!$E70="","",Variants!$E70&amp;", Armenian, handmade, enamel, "&amp;Variants!$D70)</f>
        <v>Alphabet, Armenian, handmade, enamel, Pendant</v>
      </c>
      <c r="G69" s="21" t="str">
        <f aca="false">IFERROR(VLOOKUP(Variants!$B70,Designs!$A$3:$AP$165,12,FALSE())&amp;", enamel","")</f>
        <v>925 Silver Gold-Plated, enamel</v>
      </c>
      <c r="H69" s="21" t="str">
        <f aca="false">IF(Variants!$B70="","","I did")</f>
        <v>I did</v>
      </c>
      <c r="I69" s="21" t="str">
        <f aca="false">IF(Variants!$B70="","","Made to order")</f>
        <v>Made to order</v>
      </c>
      <c r="J69" s="21" t="str">
        <f aca="false">IF(Variants!$D70="","",Variants!$D70)</f>
        <v>Pendant</v>
      </c>
      <c r="K69" s="21" t="str">
        <f aca="false">IF(Variants!$Y70="","",Variants!$Y70)</f>
        <v/>
      </c>
      <c r="L69" s="21" t="str">
        <f aca="false">IF(Variants!$H70="","",Variants!$H70)</f>
        <v>turquoise</v>
      </c>
      <c r="M69" s="21" t="str">
        <f aca="false">IF(Variants!$G70="","",Variants!$G70)</f>
        <v/>
      </c>
    </row>
    <row r="70" customFormat="false" ht="15.75" hidden="false" customHeight="true" outlineLevel="0" collapsed="false">
      <c r="A70" s="21" t="str">
        <f aca="false">IF(Variants!$B71="","",Variants!$C71&amp;" — "&amp;Variants!$E71&amp;IF(Variants!$F71=""," "," "&amp;Variants!$F71)&amp;" — "&amp;Variants!$H71)</f>
        <v>Bird Letter Pendant — Alphabet Շ — white</v>
      </c>
      <c r="B70" s="21" t="str">
        <f aca="false">IFERROR(IF(Variants!$B71="","",VLOOKUP(Variants!$B71,Designs!$A$3:$AP$165,9,FALSE())&amp;" Handmade in Armenia."),"")</f>
        <v>Bird letters are an ornamental medieval Armenian script where each letter is formed from stylised birds, used in illuminated manuscripts. Handmade in Armenia.</v>
      </c>
      <c r="C70" s="18" t="n">
        <f aca="false">IF(Variants!$J71="","",Variants!$J71)</f>
        <v>49.4</v>
      </c>
      <c r="D70" s="21" t="n">
        <f aca="false">IF(Variants!$O71="","",Variants!$O71)</f>
        <v>0</v>
      </c>
      <c r="E70" s="21" t="str">
        <f aca="false">Variants!$A71</f>
        <v>KARNI-PEND-ALPHA-SHA-WHITE</v>
      </c>
      <c r="F70" s="21" t="str">
        <f aca="false">IF(Variants!$E71="","",Variants!$E71&amp;", Armenian, handmade, enamel, "&amp;Variants!$D71)</f>
        <v>Alphabet, Armenian, handmade, enamel, Pendant</v>
      </c>
      <c r="G70" s="21" t="str">
        <f aca="false">IFERROR(VLOOKUP(Variants!$B71,Designs!$A$3:$AP$165,12,FALSE())&amp;", enamel","")</f>
        <v>925 Silver Gold-Plated, enamel</v>
      </c>
      <c r="H70" s="21" t="str">
        <f aca="false">IF(Variants!$B71="","","I did")</f>
        <v>I did</v>
      </c>
      <c r="I70" s="21" t="str">
        <f aca="false">IF(Variants!$B71="","","Made to order")</f>
        <v>Made to order</v>
      </c>
      <c r="J70" s="21" t="str">
        <f aca="false">IF(Variants!$D71="","",Variants!$D71)</f>
        <v>Pendant</v>
      </c>
      <c r="K70" s="21" t="str">
        <f aca="false">IF(Variants!$Y71="","",Variants!$Y71)</f>
        <v/>
      </c>
      <c r="L70" s="21" t="str">
        <f aca="false">IF(Variants!$H71="","",Variants!$H71)</f>
        <v>white</v>
      </c>
      <c r="M70" s="21" t="str">
        <f aca="false">IF(Variants!$G71="","",Variants!$G71)</f>
        <v/>
      </c>
    </row>
    <row r="71" customFormat="false" ht="15.75" hidden="false" customHeight="true" outlineLevel="0" collapsed="false">
      <c r="A71" s="21" t="str">
        <f aca="false">IF(Variants!$B72="","",Variants!$C72&amp;" — "&amp;Variants!$E72&amp;IF(Variants!$F72=""," "," "&amp;Variants!$F72)&amp;" — "&amp;Variants!$H72)</f>
        <v>Bird Letter Pendant — Alphabet Ո — red</v>
      </c>
      <c r="B71" s="21" t="str">
        <f aca="false">IFERROR(IF(Variants!$B72="","",VLOOKUP(Variants!$B72,Designs!$A$3:$AP$165,9,FALSE())&amp;" Handmade in Armenia."),"")</f>
        <v>Bird letters are an ornamental medieval Armenian script where each letter is formed from stylised birds, used in illuminated manuscripts. Handmade in Armenia.</v>
      </c>
      <c r="C71" s="18" t="n">
        <f aca="false">IF(Variants!$J72="","",Variants!$J72)</f>
        <v>49.4</v>
      </c>
      <c r="D71" s="21" t="n">
        <f aca="false">IF(Variants!$O72="","",Variants!$O72)</f>
        <v>0</v>
      </c>
      <c r="E71" s="21" t="str">
        <f aca="false">Variants!$A72</f>
        <v>KARNI-PEND-ALPHA-VO-RED</v>
      </c>
      <c r="F71" s="21" t="str">
        <f aca="false">IF(Variants!$E72="","",Variants!$E72&amp;", Armenian, handmade, enamel, "&amp;Variants!$D72)</f>
        <v>Alphabet, Armenian, handmade, enamel, Pendant</v>
      </c>
      <c r="G71" s="21" t="str">
        <f aca="false">IFERROR(VLOOKUP(Variants!$B72,Designs!$A$3:$AP$165,12,FALSE())&amp;", enamel","")</f>
        <v>925 Silver Gold-Plated, enamel</v>
      </c>
      <c r="H71" s="21" t="str">
        <f aca="false">IF(Variants!$B72="","","I did")</f>
        <v>I did</v>
      </c>
      <c r="I71" s="21" t="str">
        <f aca="false">IF(Variants!$B72="","","Made to order")</f>
        <v>Made to order</v>
      </c>
      <c r="J71" s="21" t="str">
        <f aca="false">IF(Variants!$D72="","",Variants!$D72)</f>
        <v>Pendant</v>
      </c>
      <c r="K71" s="21" t="str">
        <f aca="false">IF(Variants!$Y72="","",Variants!$Y72)</f>
        <v/>
      </c>
      <c r="L71" s="21" t="str">
        <f aca="false">IF(Variants!$H72="","",Variants!$H72)</f>
        <v>red</v>
      </c>
      <c r="M71" s="21" t="str">
        <f aca="false">IF(Variants!$G72="","",Variants!$G72)</f>
        <v/>
      </c>
    </row>
    <row r="72" customFormat="false" ht="15.75" hidden="false" customHeight="true" outlineLevel="0" collapsed="false">
      <c r="A72" s="21" t="str">
        <f aca="false">IF(Variants!$B73="","",Variants!$C73&amp;" — "&amp;Variants!$E73&amp;IF(Variants!$F73=""," "," "&amp;Variants!$F73)&amp;" — "&amp;Variants!$H73)</f>
        <v>Bird Letter Pendant — Alphabet Ո — turquoise</v>
      </c>
      <c r="B72" s="21" t="str">
        <f aca="false">IFERROR(IF(Variants!$B73="","",VLOOKUP(Variants!$B73,Designs!$A$3:$AP$165,9,FALSE())&amp;" Handmade in Armenia."),"")</f>
        <v>Bird letters are an ornamental medieval Armenian script where each letter is formed from stylised birds, used in illuminated manuscripts. Handmade in Armenia.</v>
      </c>
      <c r="C72" s="18" t="n">
        <f aca="false">IF(Variants!$J73="","",Variants!$J73)</f>
        <v>49.4</v>
      </c>
      <c r="D72" s="21" t="n">
        <f aca="false">IF(Variants!$O73="","",Variants!$O73)</f>
        <v>0</v>
      </c>
      <c r="E72" s="21" t="str">
        <f aca="false">Variants!$A73</f>
        <v>KARNI-PEND-ALPHA-VO-TURQUOISE</v>
      </c>
      <c r="F72" s="21" t="str">
        <f aca="false">IF(Variants!$E73="","",Variants!$E73&amp;", Armenian, handmade, enamel, "&amp;Variants!$D73)</f>
        <v>Alphabet, Armenian, handmade, enamel, Pendant</v>
      </c>
      <c r="G72" s="21" t="str">
        <f aca="false">IFERROR(VLOOKUP(Variants!$B73,Designs!$A$3:$AP$165,12,FALSE())&amp;", enamel","")</f>
        <v>925 Silver Gold-Plated, enamel</v>
      </c>
      <c r="H72" s="21" t="str">
        <f aca="false">IF(Variants!$B73="","","I did")</f>
        <v>I did</v>
      </c>
      <c r="I72" s="21" t="str">
        <f aca="false">IF(Variants!$B73="","","Made to order")</f>
        <v>Made to order</v>
      </c>
      <c r="J72" s="21" t="str">
        <f aca="false">IF(Variants!$D73="","",Variants!$D73)</f>
        <v>Pendant</v>
      </c>
      <c r="K72" s="21" t="str">
        <f aca="false">IF(Variants!$Y73="","",Variants!$Y73)</f>
        <v/>
      </c>
      <c r="L72" s="21" t="str">
        <f aca="false">IF(Variants!$H73="","",Variants!$H73)</f>
        <v>turquoise</v>
      </c>
      <c r="M72" s="21" t="str">
        <f aca="false">IF(Variants!$G73="","",Variants!$G73)</f>
        <v/>
      </c>
    </row>
    <row r="73" customFormat="false" ht="15.75" hidden="false" customHeight="true" outlineLevel="0" collapsed="false">
      <c r="A73" s="21" t="str">
        <f aca="false">IF(Variants!$B74="","",Variants!$C74&amp;" — "&amp;Variants!$E74&amp;IF(Variants!$F74=""," "," "&amp;Variants!$F74)&amp;" — "&amp;Variants!$H74)</f>
        <v>Bird Letter Pendant — Alphabet Ո — white</v>
      </c>
      <c r="B73" s="21" t="str">
        <f aca="false">IFERROR(IF(Variants!$B74="","",VLOOKUP(Variants!$B74,Designs!$A$3:$AP$165,9,FALSE())&amp;" Handmade in Armenia."),"")</f>
        <v>Bird letters are an ornamental medieval Armenian script where each letter is formed from stylised birds, used in illuminated manuscripts. Handmade in Armenia.</v>
      </c>
      <c r="C73" s="18" t="n">
        <f aca="false">IF(Variants!$J74="","",Variants!$J74)</f>
        <v>49.4</v>
      </c>
      <c r="D73" s="21" t="n">
        <f aca="false">IF(Variants!$O74="","",Variants!$O74)</f>
        <v>0</v>
      </c>
      <c r="E73" s="21" t="str">
        <f aca="false">Variants!$A74</f>
        <v>KARNI-PEND-ALPHA-VO-WHITE</v>
      </c>
      <c r="F73" s="21" t="str">
        <f aca="false">IF(Variants!$E74="","",Variants!$E74&amp;", Armenian, handmade, enamel, "&amp;Variants!$D74)</f>
        <v>Alphabet, Armenian, handmade, enamel, Pendant</v>
      </c>
      <c r="G73" s="21" t="str">
        <f aca="false">IFERROR(VLOOKUP(Variants!$B74,Designs!$A$3:$AP$165,12,FALSE())&amp;", enamel","")</f>
        <v>925 Silver Gold-Plated, enamel</v>
      </c>
      <c r="H73" s="21" t="str">
        <f aca="false">IF(Variants!$B74="","","I did")</f>
        <v>I did</v>
      </c>
      <c r="I73" s="21" t="str">
        <f aca="false">IF(Variants!$B74="","","Made to order")</f>
        <v>Made to order</v>
      </c>
      <c r="J73" s="21" t="str">
        <f aca="false">IF(Variants!$D74="","",Variants!$D74)</f>
        <v>Pendant</v>
      </c>
      <c r="K73" s="21" t="str">
        <f aca="false">IF(Variants!$Y74="","",Variants!$Y74)</f>
        <v/>
      </c>
      <c r="L73" s="21" t="str">
        <f aca="false">IF(Variants!$H74="","",Variants!$H74)</f>
        <v>white</v>
      </c>
      <c r="M73" s="21" t="str">
        <f aca="false">IF(Variants!$G74="","",Variants!$G74)</f>
        <v/>
      </c>
    </row>
    <row r="74" customFormat="false" ht="15.75" hidden="false" customHeight="true" outlineLevel="0" collapsed="false">
      <c r="A74" s="21" t="str">
        <f aca="false">IF(Variants!$B75="","",Variants!$C75&amp;" — "&amp;Variants!$E75&amp;IF(Variants!$F75=""," "," "&amp;Variants!$F75)&amp;" — "&amp;Variants!$H75)</f>
        <v>Bird Letter Pendant — Alphabet Չ — red</v>
      </c>
      <c r="B74" s="21" t="str">
        <f aca="false">IFERROR(IF(Variants!$B75="","",VLOOKUP(Variants!$B75,Designs!$A$3:$AP$165,9,FALSE())&amp;" Handmade in Armenia."),"")</f>
        <v>Bird letters are an ornamental medieval Armenian script where each letter is formed from stylised birds, used in illuminated manuscripts. Handmade in Armenia.</v>
      </c>
      <c r="C74" s="18" t="n">
        <f aca="false">IF(Variants!$J75="","",Variants!$J75)</f>
        <v>49.4</v>
      </c>
      <c r="D74" s="21" t="n">
        <f aca="false">IF(Variants!$O75="","",Variants!$O75)</f>
        <v>0</v>
      </c>
      <c r="E74" s="21" t="str">
        <f aca="false">Variants!$A75</f>
        <v>KARNI-PEND-ALPHA-CHA-RED</v>
      </c>
      <c r="F74" s="21" t="str">
        <f aca="false">IF(Variants!$E75="","",Variants!$E75&amp;", Armenian, handmade, enamel, "&amp;Variants!$D75)</f>
        <v>Alphabet, Armenian, handmade, enamel, Pendant</v>
      </c>
      <c r="G74" s="21" t="str">
        <f aca="false">IFERROR(VLOOKUP(Variants!$B75,Designs!$A$3:$AP$165,12,FALSE())&amp;", enamel","")</f>
        <v>925 Silver Gold-Plated, enamel</v>
      </c>
      <c r="H74" s="21" t="str">
        <f aca="false">IF(Variants!$B75="","","I did")</f>
        <v>I did</v>
      </c>
      <c r="I74" s="21" t="str">
        <f aca="false">IF(Variants!$B75="","","Made to order")</f>
        <v>Made to order</v>
      </c>
      <c r="J74" s="21" t="str">
        <f aca="false">IF(Variants!$D75="","",Variants!$D75)</f>
        <v>Pendant</v>
      </c>
      <c r="K74" s="21" t="str">
        <f aca="false">IF(Variants!$Y75="","",Variants!$Y75)</f>
        <v/>
      </c>
      <c r="L74" s="21" t="str">
        <f aca="false">IF(Variants!$H75="","",Variants!$H75)</f>
        <v>red</v>
      </c>
      <c r="M74" s="21" t="str">
        <f aca="false">IF(Variants!$G75="","",Variants!$G75)</f>
        <v/>
      </c>
    </row>
    <row r="75" customFormat="false" ht="15.75" hidden="false" customHeight="true" outlineLevel="0" collapsed="false">
      <c r="A75" s="21" t="str">
        <f aca="false">IF(Variants!$B76="","",Variants!$C76&amp;" — "&amp;Variants!$E76&amp;IF(Variants!$F76=""," "," "&amp;Variants!$F76)&amp;" — "&amp;Variants!$H76)</f>
        <v>Bird Letter Pendant — Alphabet Չ — turquoise</v>
      </c>
      <c r="B75" s="21" t="str">
        <f aca="false">IFERROR(IF(Variants!$B76="","",VLOOKUP(Variants!$B76,Designs!$A$3:$AP$165,9,FALSE())&amp;" Handmade in Armenia."),"")</f>
        <v>Bird letters are an ornamental medieval Armenian script where each letter is formed from stylised birds, used in illuminated manuscripts. Handmade in Armenia.</v>
      </c>
      <c r="C75" s="18" t="n">
        <f aca="false">IF(Variants!$J76="","",Variants!$J76)</f>
        <v>49.4</v>
      </c>
      <c r="D75" s="21" t="n">
        <f aca="false">IF(Variants!$O76="","",Variants!$O76)</f>
        <v>0</v>
      </c>
      <c r="E75" s="21" t="str">
        <f aca="false">Variants!$A76</f>
        <v>KARNI-PEND-ALPHA-CHA-TURQUOISE</v>
      </c>
      <c r="F75" s="21" t="str">
        <f aca="false">IF(Variants!$E76="","",Variants!$E76&amp;", Armenian, handmade, enamel, "&amp;Variants!$D76)</f>
        <v>Alphabet, Armenian, handmade, enamel, Pendant</v>
      </c>
      <c r="G75" s="21" t="str">
        <f aca="false">IFERROR(VLOOKUP(Variants!$B76,Designs!$A$3:$AP$165,12,FALSE())&amp;", enamel","")</f>
        <v>925 Silver Gold-Plated, enamel</v>
      </c>
      <c r="H75" s="21" t="str">
        <f aca="false">IF(Variants!$B76="","","I did")</f>
        <v>I did</v>
      </c>
      <c r="I75" s="21" t="str">
        <f aca="false">IF(Variants!$B76="","","Made to order")</f>
        <v>Made to order</v>
      </c>
      <c r="J75" s="21" t="str">
        <f aca="false">IF(Variants!$D76="","",Variants!$D76)</f>
        <v>Pendant</v>
      </c>
      <c r="K75" s="21" t="str">
        <f aca="false">IF(Variants!$Y76="","",Variants!$Y76)</f>
        <v/>
      </c>
      <c r="L75" s="21" t="str">
        <f aca="false">IF(Variants!$H76="","",Variants!$H76)</f>
        <v>turquoise</v>
      </c>
      <c r="M75" s="21" t="str">
        <f aca="false">IF(Variants!$G76="","",Variants!$G76)</f>
        <v/>
      </c>
    </row>
    <row r="76" customFormat="false" ht="15.75" hidden="false" customHeight="true" outlineLevel="0" collapsed="false">
      <c r="A76" s="21" t="str">
        <f aca="false">IF(Variants!$B77="","",Variants!$C77&amp;" — "&amp;Variants!$E77&amp;IF(Variants!$F77=""," "," "&amp;Variants!$F77)&amp;" — "&amp;Variants!$H77)</f>
        <v>Bird Letter Pendant — Alphabet Չ — white</v>
      </c>
      <c r="B76" s="21" t="str">
        <f aca="false">IFERROR(IF(Variants!$B77="","",VLOOKUP(Variants!$B77,Designs!$A$3:$AP$165,9,FALSE())&amp;" Handmade in Armenia."),"")</f>
        <v>Bird letters are an ornamental medieval Armenian script where each letter is formed from stylised birds, used in illuminated manuscripts. Handmade in Armenia.</v>
      </c>
      <c r="C76" s="18" t="n">
        <f aca="false">IF(Variants!$J77="","",Variants!$J77)</f>
        <v>49.4</v>
      </c>
      <c r="D76" s="21" t="n">
        <f aca="false">IF(Variants!$O77="","",Variants!$O77)</f>
        <v>0</v>
      </c>
      <c r="E76" s="21" t="str">
        <f aca="false">Variants!$A77</f>
        <v>KARNI-PEND-ALPHA-CHA-WHITE</v>
      </c>
      <c r="F76" s="21" t="str">
        <f aca="false">IF(Variants!$E77="","",Variants!$E77&amp;", Armenian, handmade, enamel, "&amp;Variants!$D77)</f>
        <v>Alphabet, Armenian, handmade, enamel, Pendant</v>
      </c>
      <c r="G76" s="21" t="str">
        <f aca="false">IFERROR(VLOOKUP(Variants!$B77,Designs!$A$3:$AP$165,12,FALSE())&amp;", enamel","")</f>
        <v>925 Silver Gold-Plated, enamel</v>
      </c>
      <c r="H76" s="21" t="str">
        <f aca="false">IF(Variants!$B77="","","I did")</f>
        <v>I did</v>
      </c>
      <c r="I76" s="21" t="str">
        <f aca="false">IF(Variants!$B77="","","Made to order")</f>
        <v>Made to order</v>
      </c>
      <c r="J76" s="21" t="str">
        <f aca="false">IF(Variants!$D77="","",Variants!$D77)</f>
        <v>Pendant</v>
      </c>
      <c r="K76" s="21" t="str">
        <f aca="false">IF(Variants!$Y77="","",Variants!$Y77)</f>
        <v/>
      </c>
      <c r="L76" s="21" t="str">
        <f aca="false">IF(Variants!$H77="","",Variants!$H77)</f>
        <v>white</v>
      </c>
      <c r="M76" s="21" t="str">
        <f aca="false">IF(Variants!$G77="","",Variants!$G77)</f>
        <v/>
      </c>
    </row>
    <row r="77" customFormat="false" ht="15.75" hidden="false" customHeight="true" outlineLevel="0" collapsed="false">
      <c r="A77" s="21" t="str">
        <f aca="false">IF(Variants!$B78="","",Variants!$C78&amp;" — "&amp;Variants!$E78&amp;IF(Variants!$F78=""," "," "&amp;Variants!$F78)&amp;" — "&amp;Variants!$H78)</f>
        <v>Bird Letter Pendant — Alphabet Պ — red</v>
      </c>
      <c r="B77" s="21" t="str">
        <f aca="false">IFERROR(IF(Variants!$B78="","",VLOOKUP(Variants!$B78,Designs!$A$3:$AP$165,9,FALSE())&amp;" Handmade in Armenia."),"")</f>
        <v>Bird letters are an ornamental medieval Armenian script where each letter is formed from stylised birds, used in illuminated manuscripts. Handmade in Armenia.</v>
      </c>
      <c r="C77" s="18" t="n">
        <f aca="false">IF(Variants!$J78="","",Variants!$J78)</f>
        <v>49.4</v>
      </c>
      <c r="D77" s="21" t="n">
        <f aca="false">IF(Variants!$O78="","",Variants!$O78)</f>
        <v>0</v>
      </c>
      <c r="E77" s="21" t="str">
        <f aca="false">Variants!$A78</f>
        <v>KARNI-PEND-ALPHA-PEH-RED</v>
      </c>
      <c r="F77" s="21" t="str">
        <f aca="false">IF(Variants!$E78="","",Variants!$E78&amp;", Armenian, handmade, enamel, "&amp;Variants!$D78)</f>
        <v>Alphabet, Armenian, handmade, enamel, Pendant</v>
      </c>
      <c r="G77" s="21" t="str">
        <f aca="false">IFERROR(VLOOKUP(Variants!$B78,Designs!$A$3:$AP$165,12,FALSE())&amp;", enamel","")</f>
        <v>925 Silver Gold-Plated, enamel</v>
      </c>
      <c r="H77" s="21" t="str">
        <f aca="false">IF(Variants!$B78="","","I did")</f>
        <v>I did</v>
      </c>
      <c r="I77" s="21" t="str">
        <f aca="false">IF(Variants!$B78="","","Made to order")</f>
        <v>Made to order</v>
      </c>
      <c r="J77" s="21" t="str">
        <f aca="false">IF(Variants!$D78="","",Variants!$D78)</f>
        <v>Pendant</v>
      </c>
      <c r="K77" s="21" t="str">
        <f aca="false">IF(Variants!$Y78="","",Variants!$Y78)</f>
        <v/>
      </c>
      <c r="L77" s="21" t="str">
        <f aca="false">IF(Variants!$H78="","",Variants!$H78)</f>
        <v>red</v>
      </c>
      <c r="M77" s="21" t="str">
        <f aca="false">IF(Variants!$G78="","",Variants!$G78)</f>
        <v/>
      </c>
    </row>
    <row r="78" customFormat="false" ht="15.75" hidden="false" customHeight="true" outlineLevel="0" collapsed="false">
      <c r="A78" s="21" t="str">
        <f aca="false">IF(Variants!$B79="","",Variants!$C79&amp;" — "&amp;Variants!$E79&amp;IF(Variants!$F79=""," "," "&amp;Variants!$F79)&amp;" — "&amp;Variants!$H79)</f>
        <v>Bird Letter Pendant — Alphabet Պ — turquoise</v>
      </c>
      <c r="B78" s="21" t="str">
        <f aca="false">IFERROR(IF(Variants!$B79="","",VLOOKUP(Variants!$B79,Designs!$A$3:$AP$165,9,FALSE())&amp;" Handmade in Armenia."),"")</f>
        <v>Bird letters are an ornamental medieval Armenian script where each letter is formed from stylised birds, used in illuminated manuscripts. Handmade in Armenia.</v>
      </c>
      <c r="C78" s="18" t="n">
        <f aca="false">IF(Variants!$J79="","",Variants!$J79)</f>
        <v>49.4</v>
      </c>
      <c r="D78" s="21" t="n">
        <f aca="false">IF(Variants!$O79="","",Variants!$O79)</f>
        <v>0</v>
      </c>
      <c r="E78" s="21" t="str">
        <f aca="false">Variants!$A79</f>
        <v>KARNI-PEND-ALPHA-PEH-TURQUOISE</v>
      </c>
      <c r="F78" s="21" t="str">
        <f aca="false">IF(Variants!$E79="","",Variants!$E79&amp;", Armenian, handmade, enamel, "&amp;Variants!$D79)</f>
        <v>Alphabet, Armenian, handmade, enamel, Pendant</v>
      </c>
      <c r="G78" s="21" t="str">
        <f aca="false">IFERROR(VLOOKUP(Variants!$B79,Designs!$A$3:$AP$165,12,FALSE())&amp;", enamel","")</f>
        <v>925 Silver Gold-Plated, enamel</v>
      </c>
      <c r="H78" s="21" t="str">
        <f aca="false">IF(Variants!$B79="","","I did")</f>
        <v>I did</v>
      </c>
      <c r="I78" s="21" t="str">
        <f aca="false">IF(Variants!$B79="","","Made to order")</f>
        <v>Made to order</v>
      </c>
      <c r="J78" s="21" t="str">
        <f aca="false">IF(Variants!$D79="","",Variants!$D79)</f>
        <v>Pendant</v>
      </c>
      <c r="K78" s="21" t="str">
        <f aca="false">IF(Variants!$Y79="","",Variants!$Y79)</f>
        <v/>
      </c>
      <c r="L78" s="21" t="str">
        <f aca="false">IF(Variants!$H79="","",Variants!$H79)</f>
        <v>turquoise</v>
      </c>
      <c r="M78" s="21" t="str">
        <f aca="false">IF(Variants!$G79="","",Variants!$G79)</f>
        <v/>
      </c>
    </row>
    <row r="79" customFormat="false" ht="15.75" hidden="false" customHeight="true" outlineLevel="0" collapsed="false">
      <c r="A79" s="21" t="str">
        <f aca="false">IF(Variants!$B80="","",Variants!$C80&amp;" — "&amp;Variants!$E80&amp;IF(Variants!$F80=""," "," "&amp;Variants!$F80)&amp;" — "&amp;Variants!$H80)</f>
        <v>Bird Letter Pendant — Alphabet Պ — white</v>
      </c>
      <c r="B79" s="21" t="str">
        <f aca="false">IFERROR(IF(Variants!$B80="","",VLOOKUP(Variants!$B80,Designs!$A$3:$AP$165,9,FALSE())&amp;" Handmade in Armenia."),"")</f>
        <v>Bird letters are an ornamental medieval Armenian script where each letter is formed from stylised birds, used in illuminated manuscripts. Handmade in Armenia.</v>
      </c>
      <c r="C79" s="18" t="n">
        <f aca="false">IF(Variants!$J80="","",Variants!$J80)</f>
        <v>49.4</v>
      </c>
      <c r="D79" s="21" t="n">
        <f aca="false">IF(Variants!$O80="","",Variants!$O80)</f>
        <v>0</v>
      </c>
      <c r="E79" s="21" t="str">
        <f aca="false">Variants!$A80</f>
        <v>KARNI-PEND-ALPHA-PEH-WHITE</v>
      </c>
      <c r="F79" s="21" t="str">
        <f aca="false">IF(Variants!$E80="","",Variants!$E80&amp;", Armenian, handmade, enamel, "&amp;Variants!$D80)</f>
        <v>Alphabet, Armenian, handmade, enamel, Pendant</v>
      </c>
      <c r="G79" s="21" t="str">
        <f aca="false">IFERROR(VLOOKUP(Variants!$B80,Designs!$A$3:$AP$165,12,FALSE())&amp;", enamel","")</f>
        <v>925 Silver Gold-Plated, enamel</v>
      </c>
      <c r="H79" s="21" t="str">
        <f aca="false">IF(Variants!$B80="","","I did")</f>
        <v>I did</v>
      </c>
      <c r="I79" s="21" t="str">
        <f aca="false">IF(Variants!$B80="","","Made to order")</f>
        <v>Made to order</v>
      </c>
      <c r="J79" s="21" t="str">
        <f aca="false">IF(Variants!$D80="","",Variants!$D80)</f>
        <v>Pendant</v>
      </c>
      <c r="K79" s="21" t="str">
        <f aca="false">IF(Variants!$Y80="","",Variants!$Y80)</f>
        <v/>
      </c>
      <c r="L79" s="21" t="str">
        <f aca="false">IF(Variants!$H80="","",Variants!$H80)</f>
        <v>white</v>
      </c>
      <c r="M79" s="21" t="str">
        <f aca="false">IF(Variants!$G80="","",Variants!$G80)</f>
        <v/>
      </c>
    </row>
    <row r="80" customFormat="false" ht="15.75" hidden="false" customHeight="true" outlineLevel="0" collapsed="false">
      <c r="A80" s="21" t="str">
        <f aca="false">IF(Variants!$B81="","",Variants!$C81&amp;" — "&amp;Variants!$E81&amp;IF(Variants!$F81=""," "," "&amp;Variants!$F81)&amp;" — "&amp;Variants!$H81)</f>
        <v>Bird Letter Pendant — Alphabet Ջ — red</v>
      </c>
      <c r="B80" s="21" t="str">
        <f aca="false">IFERROR(IF(Variants!$B81="","",VLOOKUP(Variants!$B81,Designs!$A$3:$AP$165,9,FALSE())&amp;" Handmade in Armenia."),"")</f>
        <v>Bird letters are an ornamental medieval Armenian script where each letter is formed from stylised birds, used in illuminated manuscripts. Handmade in Armenia.</v>
      </c>
      <c r="C80" s="18" t="n">
        <f aca="false">IF(Variants!$J81="","",Variants!$J81)</f>
        <v>49.4</v>
      </c>
      <c r="D80" s="21" t="n">
        <f aca="false">IF(Variants!$O81="","",Variants!$O81)</f>
        <v>0</v>
      </c>
      <c r="E80" s="21" t="str">
        <f aca="false">Variants!$A81</f>
        <v>KARNI-PEND-ALPHA-JHEH-RED</v>
      </c>
      <c r="F80" s="21" t="str">
        <f aca="false">IF(Variants!$E81="","",Variants!$E81&amp;", Armenian, handmade, enamel, "&amp;Variants!$D81)</f>
        <v>Alphabet, Armenian, handmade, enamel, Pendant</v>
      </c>
      <c r="G80" s="21" t="str">
        <f aca="false">IFERROR(VLOOKUP(Variants!$B81,Designs!$A$3:$AP$165,12,FALSE())&amp;", enamel","")</f>
        <v>925 Silver Gold-Plated, enamel</v>
      </c>
      <c r="H80" s="21" t="str">
        <f aca="false">IF(Variants!$B81="","","I did")</f>
        <v>I did</v>
      </c>
      <c r="I80" s="21" t="str">
        <f aca="false">IF(Variants!$B81="","","Made to order")</f>
        <v>Made to order</v>
      </c>
      <c r="J80" s="21" t="str">
        <f aca="false">IF(Variants!$D81="","",Variants!$D81)</f>
        <v>Pendant</v>
      </c>
      <c r="K80" s="21" t="str">
        <f aca="false">IF(Variants!$Y81="","",Variants!$Y81)</f>
        <v/>
      </c>
      <c r="L80" s="21" t="str">
        <f aca="false">IF(Variants!$H81="","",Variants!$H81)</f>
        <v>red</v>
      </c>
      <c r="M80" s="21" t="str">
        <f aca="false">IF(Variants!$G81="","",Variants!$G81)</f>
        <v/>
      </c>
    </row>
    <row r="81" customFormat="false" ht="15.75" hidden="false" customHeight="true" outlineLevel="0" collapsed="false">
      <c r="A81" s="21" t="str">
        <f aca="false">IF(Variants!$B82="","",Variants!$C82&amp;" — "&amp;Variants!$E82&amp;IF(Variants!$F82=""," "," "&amp;Variants!$F82)&amp;" — "&amp;Variants!$H82)</f>
        <v>Bird Letter Pendant — Alphabet Ջ — turquoise</v>
      </c>
      <c r="B81" s="21" t="str">
        <f aca="false">IFERROR(IF(Variants!$B82="","",VLOOKUP(Variants!$B82,Designs!$A$3:$AP$165,9,FALSE())&amp;" Handmade in Armenia."),"")</f>
        <v>Bird letters are an ornamental medieval Armenian script where each letter is formed from stylised birds, used in illuminated manuscripts. Handmade in Armenia.</v>
      </c>
      <c r="C81" s="18" t="n">
        <f aca="false">IF(Variants!$J82="","",Variants!$J82)</f>
        <v>49.4</v>
      </c>
      <c r="D81" s="21" t="n">
        <f aca="false">IF(Variants!$O82="","",Variants!$O82)</f>
        <v>0</v>
      </c>
      <c r="E81" s="21" t="str">
        <f aca="false">Variants!$A82</f>
        <v>KARNI-PEND-ALPHA-JHEH-TURQUOISE</v>
      </c>
      <c r="F81" s="21" t="str">
        <f aca="false">IF(Variants!$E82="","",Variants!$E82&amp;", Armenian, handmade, enamel, "&amp;Variants!$D82)</f>
        <v>Alphabet, Armenian, handmade, enamel, Pendant</v>
      </c>
      <c r="G81" s="21" t="str">
        <f aca="false">IFERROR(VLOOKUP(Variants!$B82,Designs!$A$3:$AP$165,12,FALSE())&amp;", enamel","")</f>
        <v>925 Silver Gold-Plated, enamel</v>
      </c>
      <c r="H81" s="21" t="str">
        <f aca="false">IF(Variants!$B82="","","I did")</f>
        <v>I did</v>
      </c>
      <c r="I81" s="21" t="str">
        <f aca="false">IF(Variants!$B82="","","Made to order")</f>
        <v>Made to order</v>
      </c>
      <c r="J81" s="21" t="str">
        <f aca="false">IF(Variants!$D82="","",Variants!$D82)</f>
        <v>Pendant</v>
      </c>
      <c r="K81" s="21" t="str">
        <f aca="false">IF(Variants!$Y82="","",Variants!$Y82)</f>
        <v/>
      </c>
      <c r="L81" s="21" t="str">
        <f aca="false">IF(Variants!$H82="","",Variants!$H82)</f>
        <v>turquoise</v>
      </c>
      <c r="M81" s="21" t="str">
        <f aca="false">IF(Variants!$G82="","",Variants!$G82)</f>
        <v/>
      </c>
    </row>
    <row r="82" customFormat="false" ht="15.75" hidden="false" customHeight="true" outlineLevel="0" collapsed="false">
      <c r="A82" s="21" t="str">
        <f aca="false">IF(Variants!$B83="","",Variants!$C83&amp;" — "&amp;Variants!$E83&amp;IF(Variants!$F83=""," "," "&amp;Variants!$F83)&amp;" — "&amp;Variants!$H83)</f>
        <v>Bird Letter Pendant — Alphabet Ջ — white</v>
      </c>
      <c r="B82" s="21" t="str">
        <f aca="false">IFERROR(IF(Variants!$B83="","",VLOOKUP(Variants!$B83,Designs!$A$3:$AP$165,9,FALSE())&amp;" Handmade in Armenia."),"")</f>
        <v>Bird letters are an ornamental medieval Armenian script where each letter is formed from stylised birds, used in illuminated manuscripts. Handmade in Armenia.</v>
      </c>
      <c r="C82" s="18" t="n">
        <f aca="false">IF(Variants!$J83="","",Variants!$J83)</f>
        <v>49.4</v>
      </c>
      <c r="D82" s="21" t="n">
        <f aca="false">IF(Variants!$O83="","",Variants!$O83)</f>
        <v>0</v>
      </c>
      <c r="E82" s="21" t="str">
        <f aca="false">Variants!$A83</f>
        <v>KARNI-PEND-ALPHA-JHEH-WHITE</v>
      </c>
      <c r="F82" s="21" t="str">
        <f aca="false">IF(Variants!$E83="","",Variants!$E83&amp;", Armenian, handmade, enamel, "&amp;Variants!$D83)</f>
        <v>Alphabet, Armenian, handmade, enamel, Pendant</v>
      </c>
      <c r="G82" s="21" t="str">
        <f aca="false">IFERROR(VLOOKUP(Variants!$B83,Designs!$A$3:$AP$165,12,FALSE())&amp;", enamel","")</f>
        <v>925 Silver Gold-Plated, enamel</v>
      </c>
      <c r="H82" s="21" t="str">
        <f aca="false">IF(Variants!$B83="","","I did")</f>
        <v>I did</v>
      </c>
      <c r="I82" s="21" t="str">
        <f aca="false">IF(Variants!$B83="","","Made to order")</f>
        <v>Made to order</v>
      </c>
      <c r="J82" s="21" t="str">
        <f aca="false">IF(Variants!$D83="","",Variants!$D83)</f>
        <v>Pendant</v>
      </c>
      <c r="K82" s="21" t="str">
        <f aca="false">IF(Variants!$Y83="","",Variants!$Y83)</f>
        <v/>
      </c>
      <c r="L82" s="21" t="str">
        <f aca="false">IF(Variants!$H83="","",Variants!$H83)</f>
        <v>white</v>
      </c>
      <c r="M82" s="21" t="str">
        <f aca="false">IF(Variants!$G83="","",Variants!$G83)</f>
        <v/>
      </c>
    </row>
    <row r="83" customFormat="false" ht="15.75" hidden="false" customHeight="true" outlineLevel="0" collapsed="false">
      <c r="A83" s="21" t="str">
        <f aca="false">IF(Variants!$B84="","",Variants!$C84&amp;" — "&amp;Variants!$E84&amp;IF(Variants!$F84=""," "," "&amp;Variants!$F84)&amp;" — "&amp;Variants!$H84)</f>
        <v>Bird Letter Pendant — Alphabet Ռ — red</v>
      </c>
      <c r="B83" s="21" t="str">
        <f aca="false">IFERROR(IF(Variants!$B84="","",VLOOKUP(Variants!$B84,Designs!$A$3:$AP$165,9,FALSE())&amp;" Handmade in Armenia."),"")</f>
        <v>Bird letters are an ornamental medieval Armenian script where each letter is formed from stylised birds, used in illuminated manuscripts. Handmade in Armenia.</v>
      </c>
      <c r="C83" s="18" t="n">
        <f aca="false">IF(Variants!$J84="","",Variants!$J84)</f>
        <v>49.4</v>
      </c>
      <c r="D83" s="21" t="n">
        <f aca="false">IF(Variants!$O84="","",Variants!$O84)</f>
        <v>0</v>
      </c>
      <c r="E83" s="21" t="str">
        <f aca="false">Variants!$A84</f>
        <v>KARNI-PEND-ALPHA-RA-RED</v>
      </c>
      <c r="F83" s="21" t="str">
        <f aca="false">IF(Variants!$E84="","",Variants!$E84&amp;", Armenian, handmade, enamel, "&amp;Variants!$D84)</f>
        <v>Alphabet, Armenian, handmade, enamel, Pendant</v>
      </c>
      <c r="G83" s="21" t="str">
        <f aca="false">IFERROR(VLOOKUP(Variants!$B84,Designs!$A$3:$AP$165,12,FALSE())&amp;", enamel","")</f>
        <v>925 Silver Gold-Plated, enamel</v>
      </c>
      <c r="H83" s="21" t="str">
        <f aca="false">IF(Variants!$B84="","","I did")</f>
        <v>I did</v>
      </c>
      <c r="I83" s="21" t="str">
        <f aca="false">IF(Variants!$B84="","","Made to order")</f>
        <v>Made to order</v>
      </c>
      <c r="J83" s="21" t="str">
        <f aca="false">IF(Variants!$D84="","",Variants!$D84)</f>
        <v>Pendant</v>
      </c>
      <c r="K83" s="21" t="str">
        <f aca="false">IF(Variants!$Y84="","",Variants!$Y84)</f>
        <v/>
      </c>
      <c r="L83" s="21" t="str">
        <f aca="false">IF(Variants!$H84="","",Variants!$H84)</f>
        <v>red</v>
      </c>
      <c r="M83" s="21" t="str">
        <f aca="false">IF(Variants!$G84="","",Variants!$G84)</f>
        <v/>
      </c>
    </row>
    <row r="84" customFormat="false" ht="15.75" hidden="false" customHeight="true" outlineLevel="0" collapsed="false">
      <c r="A84" s="21" t="str">
        <f aca="false">IF(Variants!$B85="","",Variants!$C85&amp;" — "&amp;Variants!$E85&amp;IF(Variants!$F85=""," "," "&amp;Variants!$F85)&amp;" — "&amp;Variants!$H85)</f>
        <v>Bird Letter Pendant — Alphabet Ռ — turquoise</v>
      </c>
      <c r="B84" s="21" t="str">
        <f aca="false">IFERROR(IF(Variants!$B85="","",VLOOKUP(Variants!$B85,Designs!$A$3:$AP$165,9,FALSE())&amp;" Handmade in Armenia."),"")</f>
        <v>Bird letters are an ornamental medieval Armenian script where each letter is formed from stylised birds, used in illuminated manuscripts. Handmade in Armenia.</v>
      </c>
      <c r="C84" s="18" t="n">
        <f aca="false">IF(Variants!$J85="","",Variants!$J85)</f>
        <v>49.4</v>
      </c>
      <c r="D84" s="21" t="n">
        <f aca="false">IF(Variants!$O85="","",Variants!$O85)</f>
        <v>0</v>
      </c>
      <c r="E84" s="21" t="str">
        <f aca="false">Variants!$A85</f>
        <v>KARNI-PEND-ALPHA-RA-TURQUOISE</v>
      </c>
      <c r="F84" s="21" t="str">
        <f aca="false">IF(Variants!$E85="","",Variants!$E85&amp;", Armenian, handmade, enamel, "&amp;Variants!$D85)</f>
        <v>Alphabet, Armenian, handmade, enamel, Pendant</v>
      </c>
      <c r="G84" s="21" t="str">
        <f aca="false">IFERROR(VLOOKUP(Variants!$B85,Designs!$A$3:$AP$165,12,FALSE())&amp;", enamel","")</f>
        <v>925 Silver Gold-Plated, enamel</v>
      </c>
      <c r="H84" s="21" t="str">
        <f aca="false">IF(Variants!$B85="","","I did")</f>
        <v>I did</v>
      </c>
      <c r="I84" s="21" t="str">
        <f aca="false">IF(Variants!$B85="","","Made to order")</f>
        <v>Made to order</v>
      </c>
      <c r="J84" s="21" t="str">
        <f aca="false">IF(Variants!$D85="","",Variants!$D85)</f>
        <v>Pendant</v>
      </c>
      <c r="K84" s="21" t="str">
        <f aca="false">IF(Variants!$Y85="","",Variants!$Y85)</f>
        <v/>
      </c>
      <c r="L84" s="21" t="str">
        <f aca="false">IF(Variants!$H85="","",Variants!$H85)</f>
        <v>turquoise</v>
      </c>
      <c r="M84" s="21" t="str">
        <f aca="false">IF(Variants!$G85="","",Variants!$G85)</f>
        <v/>
      </c>
    </row>
    <row r="85" customFormat="false" ht="15.75" hidden="false" customHeight="true" outlineLevel="0" collapsed="false">
      <c r="A85" s="21" t="str">
        <f aca="false">IF(Variants!$B86="","",Variants!$C86&amp;" — "&amp;Variants!$E86&amp;IF(Variants!$F86=""," "," "&amp;Variants!$F86)&amp;" — "&amp;Variants!$H86)</f>
        <v>Bird Letter Pendant — Alphabet Ռ — white</v>
      </c>
      <c r="B85" s="21" t="str">
        <f aca="false">IFERROR(IF(Variants!$B86="","",VLOOKUP(Variants!$B86,Designs!$A$3:$AP$165,9,FALSE())&amp;" Handmade in Armenia."),"")</f>
        <v>Bird letters are an ornamental medieval Armenian script where each letter is formed from stylised birds, used in illuminated manuscripts. Handmade in Armenia.</v>
      </c>
      <c r="C85" s="18" t="n">
        <f aca="false">IF(Variants!$J86="","",Variants!$J86)</f>
        <v>49.4</v>
      </c>
      <c r="D85" s="21" t="n">
        <f aca="false">IF(Variants!$O86="","",Variants!$O86)</f>
        <v>0</v>
      </c>
      <c r="E85" s="21" t="str">
        <f aca="false">Variants!$A86</f>
        <v>KARNI-PEND-ALPHA-RA-WHITE</v>
      </c>
      <c r="F85" s="21" t="str">
        <f aca="false">IF(Variants!$E86="","",Variants!$E86&amp;", Armenian, handmade, enamel, "&amp;Variants!$D86)</f>
        <v>Alphabet, Armenian, handmade, enamel, Pendant</v>
      </c>
      <c r="G85" s="21" t="str">
        <f aca="false">IFERROR(VLOOKUP(Variants!$B86,Designs!$A$3:$AP$165,12,FALSE())&amp;", enamel","")</f>
        <v>925 Silver Gold-Plated, enamel</v>
      </c>
      <c r="H85" s="21" t="str">
        <f aca="false">IF(Variants!$B86="","","I did")</f>
        <v>I did</v>
      </c>
      <c r="I85" s="21" t="str">
        <f aca="false">IF(Variants!$B86="","","Made to order")</f>
        <v>Made to order</v>
      </c>
      <c r="J85" s="21" t="str">
        <f aca="false">IF(Variants!$D86="","",Variants!$D86)</f>
        <v>Pendant</v>
      </c>
      <c r="K85" s="21" t="str">
        <f aca="false">IF(Variants!$Y86="","",Variants!$Y86)</f>
        <v/>
      </c>
      <c r="L85" s="21" t="str">
        <f aca="false">IF(Variants!$H86="","",Variants!$H86)</f>
        <v>white</v>
      </c>
      <c r="M85" s="21" t="str">
        <f aca="false">IF(Variants!$G86="","",Variants!$G86)</f>
        <v/>
      </c>
    </row>
    <row r="86" customFormat="false" ht="15.75" hidden="false" customHeight="true" outlineLevel="0" collapsed="false">
      <c r="A86" s="21" t="str">
        <f aca="false">IF(Variants!$B87="","",Variants!$C87&amp;" — "&amp;Variants!$E87&amp;IF(Variants!$F87=""," "," "&amp;Variants!$F87)&amp;" — "&amp;Variants!$H87)</f>
        <v>Bird Letter Pendant — Alphabet Ս — red</v>
      </c>
      <c r="B86" s="21" t="str">
        <f aca="false">IFERROR(IF(Variants!$B87="","",VLOOKUP(Variants!$B87,Designs!$A$3:$AP$165,9,FALSE())&amp;" Handmade in Armenia."),"")</f>
        <v>Bird letters are an ornamental medieval Armenian script where each letter is formed from stylised birds, used in illuminated manuscripts. Handmade in Armenia.</v>
      </c>
      <c r="C86" s="18" t="n">
        <f aca="false">IF(Variants!$J87="","",Variants!$J87)</f>
        <v>49.4</v>
      </c>
      <c r="D86" s="21" t="n">
        <f aca="false">IF(Variants!$O87="","",Variants!$O87)</f>
        <v>0</v>
      </c>
      <c r="E86" s="21" t="str">
        <f aca="false">Variants!$A87</f>
        <v>KARNI-PEND-ALPHA-SEH-RED</v>
      </c>
      <c r="F86" s="21" t="str">
        <f aca="false">IF(Variants!$E87="","",Variants!$E87&amp;", Armenian, handmade, enamel, "&amp;Variants!$D87)</f>
        <v>Alphabet, Armenian, handmade, enamel, Pendant</v>
      </c>
      <c r="G86" s="21" t="str">
        <f aca="false">IFERROR(VLOOKUP(Variants!$B87,Designs!$A$3:$AP$165,12,FALSE())&amp;", enamel","")</f>
        <v>925 Silver Gold-Plated, enamel</v>
      </c>
      <c r="H86" s="21" t="str">
        <f aca="false">IF(Variants!$B87="","","I did")</f>
        <v>I did</v>
      </c>
      <c r="I86" s="21" t="str">
        <f aca="false">IF(Variants!$B87="","","Made to order")</f>
        <v>Made to order</v>
      </c>
      <c r="J86" s="21" t="str">
        <f aca="false">IF(Variants!$D87="","",Variants!$D87)</f>
        <v>Pendant</v>
      </c>
      <c r="K86" s="21" t="str">
        <f aca="false">IF(Variants!$Y87="","",Variants!$Y87)</f>
        <v/>
      </c>
      <c r="L86" s="21" t="str">
        <f aca="false">IF(Variants!$H87="","",Variants!$H87)</f>
        <v>red</v>
      </c>
      <c r="M86" s="21" t="str">
        <f aca="false">IF(Variants!$G87="","",Variants!$G87)</f>
        <v/>
      </c>
    </row>
    <row r="87" customFormat="false" ht="15.75" hidden="false" customHeight="true" outlineLevel="0" collapsed="false">
      <c r="A87" s="21" t="str">
        <f aca="false">IF(Variants!$B88="","",Variants!$C88&amp;" — "&amp;Variants!$E88&amp;IF(Variants!$F88=""," "," "&amp;Variants!$F88)&amp;" — "&amp;Variants!$H88)</f>
        <v>Bird Letter Pendant — Alphabet Ս — turquoise</v>
      </c>
      <c r="B87" s="21" t="str">
        <f aca="false">IFERROR(IF(Variants!$B88="","",VLOOKUP(Variants!$B88,Designs!$A$3:$AP$165,9,FALSE())&amp;" Handmade in Armenia."),"")</f>
        <v>Bird letters are an ornamental medieval Armenian script where each letter is formed from stylised birds, used in illuminated manuscripts. Handmade in Armenia.</v>
      </c>
      <c r="C87" s="18" t="n">
        <f aca="false">IF(Variants!$J88="","",Variants!$J88)</f>
        <v>49.4</v>
      </c>
      <c r="D87" s="21" t="n">
        <f aca="false">IF(Variants!$O88="","",Variants!$O88)</f>
        <v>0</v>
      </c>
      <c r="E87" s="21" t="str">
        <f aca="false">Variants!$A88</f>
        <v>KARNI-PEND-ALPHA-SEH-TURQUOISE</v>
      </c>
      <c r="F87" s="21" t="str">
        <f aca="false">IF(Variants!$E88="","",Variants!$E88&amp;", Armenian, handmade, enamel, "&amp;Variants!$D88)</f>
        <v>Alphabet, Armenian, handmade, enamel, Pendant</v>
      </c>
      <c r="G87" s="21" t="str">
        <f aca="false">IFERROR(VLOOKUP(Variants!$B88,Designs!$A$3:$AP$165,12,FALSE())&amp;", enamel","")</f>
        <v>925 Silver Gold-Plated, enamel</v>
      </c>
      <c r="H87" s="21" t="str">
        <f aca="false">IF(Variants!$B88="","","I did")</f>
        <v>I did</v>
      </c>
      <c r="I87" s="21" t="str">
        <f aca="false">IF(Variants!$B88="","","Made to order")</f>
        <v>Made to order</v>
      </c>
      <c r="J87" s="21" t="str">
        <f aca="false">IF(Variants!$D88="","",Variants!$D88)</f>
        <v>Pendant</v>
      </c>
      <c r="K87" s="21" t="str">
        <f aca="false">IF(Variants!$Y88="","",Variants!$Y88)</f>
        <v/>
      </c>
      <c r="L87" s="21" t="str">
        <f aca="false">IF(Variants!$H88="","",Variants!$H88)</f>
        <v>turquoise</v>
      </c>
      <c r="M87" s="21" t="str">
        <f aca="false">IF(Variants!$G88="","",Variants!$G88)</f>
        <v/>
      </c>
    </row>
    <row r="88" customFormat="false" ht="15.75" hidden="false" customHeight="true" outlineLevel="0" collapsed="false">
      <c r="A88" s="21" t="str">
        <f aca="false">IF(Variants!$B89="","",Variants!$C89&amp;" — "&amp;Variants!$E89&amp;IF(Variants!$F89=""," "," "&amp;Variants!$F89)&amp;" — "&amp;Variants!$H89)</f>
        <v>Bird Letter Pendant — Alphabet Ս — white</v>
      </c>
      <c r="B88" s="21" t="str">
        <f aca="false">IFERROR(IF(Variants!$B89="","",VLOOKUP(Variants!$B89,Designs!$A$3:$AP$165,9,FALSE())&amp;" Handmade in Armenia."),"")</f>
        <v>Bird letters are an ornamental medieval Armenian script where each letter is formed from stylised birds, used in illuminated manuscripts. Handmade in Armenia.</v>
      </c>
      <c r="C88" s="18" t="n">
        <f aca="false">IF(Variants!$J89="","",Variants!$J89)</f>
        <v>49.4</v>
      </c>
      <c r="D88" s="21" t="n">
        <f aca="false">IF(Variants!$O89="","",Variants!$O89)</f>
        <v>0</v>
      </c>
      <c r="E88" s="21" t="str">
        <f aca="false">Variants!$A89</f>
        <v>KARNI-PEND-ALPHA-SEH-WHITE</v>
      </c>
      <c r="F88" s="21" t="str">
        <f aca="false">IF(Variants!$E89="","",Variants!$E89&amp;", Armenian, handmade, enamel, "&amp;Variants!$D89)</f>
        <v>Alphabet, Armenian, handmade, enamel, Pendant</v>
      </c>
      <c r="G88" s="21" t="str">
        <f aca="false">IFERROR(VLOOKUP(Variants!$B89,Designs!$A$3:$AP$165,12,FALSE())&amp;", enamel","")</f>
        <v>925 Silver Gold-Plated, enamel</v>
      </c>
      <c r="H88" s="21" t="str">
        <f aca="false">IF(Variants!$B89="","","I did")</f>
        <v>I did</v>
      </c>
      <c r="I88" s="21" t="str">
        <f aca="false">IF(Variants!$B89="","","Made to order")</f>
        <v>Made to order</v>
      </c>
      <c r="J88" s="21" t="str">
        <f aca="false">IF(Variants!$D89="","",Variants!$D89)</f>
        <v>Pendant</v>
      </c>
      <c r="K88" s="21" t="str">
        <f aca="false">IF(Variants!$Y89="","",Variants!$Y89)</f>
        <v/>
      </c>
      <c r="L88" s="21" t="str">
        <f aca="false">IF(Variants!$H89="","",Variants!$H89)</f>
        <v>white</v>
      </c>
      <c r="M88" s="21" t="str">
        <f aca="false">IF(Variants!$G89="","",Variants!$G89)</f>
        <v/>
      </c>
    </row>
    <row r="89" customFormat="false" ht="15.75" hidden="false" customHeight="true" outlineLevel="0" collapsed="false">
      <c r="A89" s="21" t="str">
        <f aca="false">IF(Variants!$B90="","",Variants!$C90&amp;" — "&amp;Variants!$E90&amp;IF(Variants!$F90=""," "," "&amp;Variants!$F90)&amp;" — "&amp;Variants!$H90)</f>
        <v>Bird Letter Pendant — Alphabet Վ — red</v>
      </c>
      <c r="B89" s="21" t="str">
        <f aca="false">IFERROR(IF(Variants!$B90="","",VLOOKUP(Variants!$B90,Designs!$A$3:$AP$165,9,FALSE())&amp;" Handmade in Armenia."),"")</f>
        <v>Bird letters are an ornamental medieval Armenian script where each letter is formed from stylised birds, used in illuminated manuscripts. Handmade in Armenia.</v>
      </c>
      <c r="C89" s="18" t="n">
        <f aca="false">IF(Variants!$J90="","",Variants!$J90)</f>
        <v>49.4</v>
      </c>
      <c r="D89" s="21" t="n">
        <f aca="false">IF(Variants!$O90="","",Variants!$O90)</f>
        <v>0</v>
      </c>
      <c r="E89" s="21" t="str">
        <f aca="false">Variants!$A90</f>
        <v>KARNI-PEND-ALPHA-VEV-RED</v>
      </c>
      <c r="F89" s="21" t="str">
        <f aca="false">IF(Variants!$E90="","",Variants!$E90&amp;", Armenian, handmade, enamel, "&amp;Variants!$D90)</f>
        <v>Alphabet, Armenian, handmade, enamel, Pendant</v>
      </c>
      <c r="G89" s="21" t="str">
        <f aca="false">IFERROR(VLOOKUP(Variants!$B90,Designs!$A$3:$AP$165,12,FALSE())&amp;", enamel","")</f>
        <v>925 Silver Gold-Plated, enamel</v>
      </c>
      <c r="H89" s="21" t="str">
        <f aca="false">IF(Variants!$B90="","","I did")</f>
        <v>I did</v>
      </c>
      <c r="I89" s="21" t="str">
        <f aca="false">IF(Variants!$B90="","","Made to order")</f>
        <v>Made to order</v>
      </c>
      <c r="J89" s="21" t="str">
        <f aca="false">IF(Variants!$D90="","",Variants!$D90)</f>
        <v>Pendant</v>
      </c>
      <c r="K89" s="21" t="str">
        <f aca="false">IF(Variants!$Y90="","",Variants!$Y90)</f>
        <v/>
      </c>
      <c r="L89" s="21" t="str">
        <f aca="false">IF(Variants!$H90="","",Variants!$H90)</f>
        <v>red</v>
      </c>
      <c r="M89" s="21" t="str">
        <f aca="false">IF(Variants!$G90="","",Variants!$G90)</f>
        <v/>
      </c>
    </row>
    <row r="90" customFormat="false" ht="15.75" hidden="false" customHeight="true" outlineLevel="0" collapsed="false">
      <c r="A90" s="21" t="str">
        <f aca="false">IF(Variants!$B91="","",Variants!$C91&amp;" — "&amp;Variants!$E91&amp;IF(Variants!$F91=""," "," "&amp;Variants!$F91)&amp;" — "&amp;Variants!$H91)</f>
        <v>Bird Letter Pendant — Alphabet Վ — turquoise</v>
      </c>
      <c r="B90" s="21" t="str">
        <f aca="false">IFERROR(IF(Variants!$B91="","",VLOOKUP(Variants!$B91,Designs!$A$3:$AP$165,9,FALSE())&amp;" Handmade in Armenia."),"")</f>
        <v>Bird letters are an ornamental medieval Armenian script where each letter is formed from stylised birds, used in illuminated manuscripts. Handmade in Armenia.</v>
      </c>
      <c r="C90" s="18" t="n">
        <f aca="false">IF(Variants!$J91="","",Variants!$J91)</f>
        <v>49.4</v>
      </c>
      <c r="D90" s="21" t="n">
        <f aca="false">IF(Variants!$O91="","",Variants!$O91)</f>
        <v>0</v>
      </c>
      <c r="E90" s="21" t="str">
        <f aca="false">Variants!$A91</f>
        <v>KARNI-PEND-ALPHA-VEV-TURQUOISE</v>
      </c>
      <c r="F90" s="21" t="str">
        <f aca="false">IF(Variants!$E91="","",Variants!$E91&amp;", Armenian, handmade, enamel, "&amp;Variants!$D91)</f>
        <v>Alphabet, Armenian, handmade, enamel, Pendant</v>
      </c>
      <c r="G90" s="21" t="str">
        <f aca="false">IFERROR(VLOOKUP(Variants!$B91,Designs!$A$3:$AP$165,12,FALSE())&amp;", enamel","")</f>
        <v>925 Silver Gold-Plated, enamel</v>
      </c>
      <c r="H90" s="21" t="str">
        <f aca="false">IF(Variants!$B91="","","I did")</f>
        <v>I did</v>
      </c>
      <c r="I90" s="21" t="str">
        <f aca="false">IF(Variants!$B91="","","Made to order")</f>
        <v>Made to order</v>
      </c>
      <c r="J90" s="21" t="str">
        <f aca="false">IF(Variants!$D91="","",Variants!$D91)</f>
        <v>Pendant</v>
      </c>
      <c r="K90" s="21" t="str">
        <f aca="false">IF(Variants!$Y91="","",Variants!$Y91)</f>
        <v/>
      </c>
      <c r="L90" s="21" t="str">
        <f aca="false">IF(Variants!$H91="","",Variants!$H91)</f>
        <v>turquoise</v>
      </c>
      <c r="M90" s="21" t="str">
        <f aca="false">IF(Variants!$G91="","",Variants!$G91)</f>
        <v/>
      </c>
    </row>
    <row r="91" customFormat="false" ht="15.75" hidden="false" customHeight="true" outlineLevel="0" collapsed="false">
      <c r="A91" s="21" t="str">
        <f aca="false">IF(Variants!$B92="","",Variants!$C92&amp;" — "&amp;Variants!$E92&amp;IF(Variants!$F92=""," "," "&amp;Variants!$F92)&amp;" — "&amp;Variants!$H92)</f>
        <v>Bird Letter Pendant — Alphabet Վ — white</v>
      </c>
      <c r="B91" s="21" t="str">
        <f aca="false">IFERROR(IF(Variants!$B92="","",VLOOKUP(Variants!$B92,Designs!$A$3:$AP$165,9,FALSE())&amp;" Handmade in Armenia."),"")</f>
        <v>Bird letters are an ornamental medieval Armenian script where each letter is formed from stylised birds, used in illuminated manuscripts. Handmade in Armenia.</v>
      </c>
      <c r="C91" s="18" t="n">
        <f aca="false">IF(Variants!$J92="","",Variants!$J92)</f>
        <v>49.4</v>
      </c>
      <c r="D91" s="21" t="n">
        <f aca="false">IF(Variants!$O92="","",Variants!$O92)</f>
        <v>0</v>
      </c>
      <c r="E91" s="21" t="str">
        <f aca="false">Variants!$A92</f>
        <v>KARNI-PEND-ALPHA-VEV-WHITE</v>
      </c>
      <c r="F91" s="21" t="str">
        <f aca="false">IF(Variants!$E92="","",Variants!$E92&amp;", Armenian, handmade, enamel, "&amp;Variants!$D92)</f>
        <v>Alphabet, Armenian, handmade, enamel, Pendant</v>
      </c>
      <c r="G91" s="21" t="str">
        <f aca="false">IFERROR(VLOOKUP(Variants!$B92,Designs!$A$3:$AP$165,12,FALSE())&amp;", enamel","")</f>
        <v>925 Silver Gold-Plated, enamel</v>
      </c>
      <c r="H91" s="21" t="str">
        <f aca="false">IF(Variants!$B92="","","I did")</f>
        <v>I did</v>
      </c>
      <c r="I91" s="21" t="str">
        <f aca="false">IF(Variants!$B92="","","Made to order")</f>
        <v>Made to order</v>
      </c>
      <c r="J91" s="21" t="str">
        <f aca="false">IF(Variants!$D92="","",Variants!$D92)</f>
        <v>Pendant</v>
      </c>
      <c r="K91" s="21" t="str">
        <f aca="false">IF(Variants!$Y92="","",Variants!$Y92)</f>
        <v/>
      </c>
      <c r="L91" s="21" t="str">
        <f aca="false">IF(Variants!$H92="","",Variants!$H92)</f>
        <v>white</v>
      </c>
      <c r="M91" s="21" t="str">
        <f aca="false">IF(Variants!$G92="","",Variants!$G92)</f>
        <v/>
      </c>
    </row>
    <row r="92" customFormat="false" ht="15.75" hidden="false" customHeight="true" outlineLevel="0" collapsed="false">
      <c r="A92" s="21" t="str">
        <f aca="false">IF(Variants!$B93="","",Variants!$C93&amp;" — "&amp;Variants!$E93&amp;IF(Variants!$F93=""," "," "&amp;Variants!$F93)&amp;" — "&amp;Variants!$H93)</f>
        <v>Bird Letter Pendant — Alphabet Տ — red</v>
      </c>
      <c r="B92" s="21" t="str">
        <f aca="false">IFERROR(IF(Variants!$B93="","",VLOOKUP(Variants!$B93,Designs!$A$3:$AP$165,9,FALSE())&amp;" Handmade in Armenia."),"")</f>
        <v>Bird letters are an ornamental medieval Armenian script where each letter is formed from stylised birds, used in illuminated manuscripts. Handmade in Armenia.</v>
      </c>
      <c r="C92" s="18" t="n">
        <f aca="false">IF(Variants!$J93="","",Variants!$J93)</f>
        <v>49.4</v>
      </c>
      <c r="D92" s="21" t="n">
        <f aca="false">IF(Variants!$O93="","",Variants!$O93)</f>
        <v>0</v>
      </c>
      <c r="E92" s="21" t="str">
        <f aca="false">Variants!$A93</f>
        <v>KARNI-PEND-ALPHA-TYUN-RED</v>
      </c>
      <c r="F92" s="21" t="str">
        <f aca="false">IF(Variants!$E93="","",Variants!$E93&amp;", Armenian, handmade, enamel, "&amp;Variants!$D93)</f>
        <v>Alphabet, Armenian, handmade, enamel, Pendant</v>
      </c>
      <c r="G92" s="21" t="str">
        <f aca="false">IFERROR(VLOOKUP(Variants!$B93,Designs!$A$3:$AP$165,12,FALSE())&amp;", enamel","")</f>
        <v>925 Silver Gold-Plated, enamel</v>
      </c>
      <c r="H92" s="21" t="str">
        <f aca="false">IF(Variants!$B93="","","I did")</f>
        <v>I did</v>
      </c>
      <c r="I92" s="21" t="str">
        <f aca="false">IF(Variants!$B93="","","Made to order")</f>
        <v>Made to order</v>
      </c>
      <c r="J92" s="21" t="str">
        <f aca="false">IF(Variants!$D93="","",Variants!$D93)</f>
        <v>Pendant</v>
      </c>
      <c r="K92" s="21" t="str">
        <f aca="false">IF(Variants!$Y93="","",Variants!$Y93)</f>
        <v/>
      </c>
      <c r="L92" s="21" t="str">
        <f aca="false">IF(Variants!$H93="","",Variants!$H93)</f>
        <v>red</v>
      </c>
      <c r="M92" s="21" t="str">
        <f aca="false">IF(Variants!$G93="","",Variants!$G93)</f>
        <v/>
      </c>
    </row>
    <row r="93" customFormat="false" ht="15.75" hidden="false" customHeight="true" outlineLevel="0" collapsed="false">
      <c r="A93" s="21" t="str">
        <f aca="false">IF(Variants!$B94="","",Variants!$C94&amp;" — "&amp;Variants!$E94&amp;IF(Variants!$F94=""," "," "&amp;Variants!$F94)&amp;" — "&amp;Variants!$H94)</f>
        <v>Bird Letter Pendant — Alphabet Տ — turquoise</v>
      </c>
      <c r="B93" s="21" t="str">
        <f aca="false">IFERROR(IF(Variants!$B94="","",VLOOKUP(Variants!$B94,Designs!$A$3:$AP$165,9,FALSE())&amp;" Handmade in Armenia."),"")</f>
        <v>Bird letters are an ornamental medieval Armenian script where each letter is formed from stylised birds, used in illuminated manuscripts. Handmade in Armenia.</v>
      </c>
      <c r="C93" s="18" t="n">
        <f aca="false">IF(Variants!$J94="","",Variants!$J94)</f>
        <v>49.4</v>
      </c>
      <c r="D93" s="21" t="n">
        <f aca="false">IF(Variants!$O94="","",Variants!$O94)</f>
        <v>0</v>
      </c>
      <c r="E93" s="21" t="str">
        <f aca="false">Variants!$A94</f>
        <v>KARNI-PEND-ALPHA-TYUN-TURQUOISE</v>
      </c>
      <c r="F93" s="21" t="str">
        <f aca="false">IF(Variants!$E94="","",Variants!$E94&amp;", Armenian, handmade, enamel, "&amp;Variants!$D94)</f>
        <v>Alphabet, Armenian, handmade, enamel, Pendant</v>
      </c>
      <c r="G93" s="21" t="str">
        <f aca="false">IFERROR(VLOOKUP(Variants!$B94,Designs!$A$3:$AP$165,12,FALSE())&amp;", enamel","")</f>
        <v>925 Silver Gold-Plated, enamel</v>
      </c>
      <c r="H93" s="21" t="str">
        <f aca="false">IF(Variants!$B94="","","I did")</f>
        <v>I did</v>
      </c>
      <c r="I93" s="21" t="str">
        <f aca="false">IF(Variants!$B94="","","Made to order")</f>
        <v>Made to order</v>
      </c>
      <c r="J93" s="21" t="str">
        <f aca="false">IF(Variants!$D94="","",Variants!$D94)</f>
        <v>Pendant</v>
      </c>
      <c r="K93" s="21" t="str">
        <f aca="false">IF(Variants!$Y94="","",Variants!$Y94)</f>
        <v/>
      </c>
      <c r="L93" s="21" t="str">
        <f aca="false">IF(Variants!$H94="","",Variants!$H94)</f>
        <v>turquoise</v>
      </c>
      <c r="M93" s="21" t="str">
        <f aca="false">IF(Variants!$G94="","",Variants!$G94)</f>
        <v/>
      </c>
    </row>
    <row r="94" customFormat="false" ht="15.75" hidden="false" customHeight="true" outlineLevel="0" collapsed="false">
      <c r="A94" s="21" t="str">
        <f aca="false">IF(Variants!$B95="","",Variants!$C95&amp;" — "&amp;Variants!$E95&amp;IF(Variants!$F95=""," "," "&amp;Variants!$F95)&amp;" — "&amp;Variants!$H95)</f>
        <v>Bird Letter Pendant — Alphabet Տ — white</v>
      </c>
      <c r="B94" s="21" t="str">
        <f aca="false">IFERROR(IF(Variants!$B95="","",VLOOKUP(Variants!$B95,Designs!$A$3:$AP$165,9,FALSE())&amp;" Handmade in Armenia."),"")</f>
        <v>Bird letters are an ornamental medieval Armenian script where each letter is formed from stylised birds, used in illuminated manuscripts. Handmade in Armenia.</v>
      </c>
      <c r="C94" s="18" t="n">
        <f aca="false">IF(Variants!$J95="","",Variants!$J95)</f>
        <v>49.4</v>
      </c>
      <c r="D94" s="21" t="n">
        <f aca="false">IF(Variants!$O95="","",Variants!$O95)</f>
        <v>0</v>
      </c>
      <c r="E94" s="21" t="str">
        <f aca="false">Variants!$A95</f>
        <v>KARNI-PEND-ALPHA-TYUN-WHITE</v>
      </c>
      <c r="F94" s="21" t="str">
        <f aca="false">IF(Variants!$E95="","",Variants!$E95&amp;", Armenian, handmade, enamel, "&amp;Variants!$D95)</f>
        <v>Alphabet, Armenian, handmade, enamel, Pendant</v>
      </c>
      <c r="G94" s="21" t="str">
        <f aca="false">IFERROR(VLOOKUP(Variants!$B95,Designs!$A$3:$AP$165,12,FALSE())&amp;", enamel","")</f>
        <v>925 Silver Gold-Plated, enamel</v>
      </c>
      <c r="H94" s="21" t="str">
        <f aca="false">IF(Variants!$B95="","","I did")</f>
        <v>I did</v>
      </c>
      <c r="I94" s="21" t="str">
        <f aca="false">IF(Variants!$B95="","","Made to order")</f>
        <v>Made to order</v>
      </c>
      <c r="J94" s="21" t="str">
        <f aca="false">IF(Variants!$D95="","",Variants!$D95)</f>
        <v>Pendant</v>
      </c>
      <c r="K94" s="21" t="str">
        <f aca="false">IF(Variants!$Y95="","",Variants!$Y95)</f>
        <v/>
      </c>
      <c r="L94" s="21" t="str">
        <f aca="false">IF(Variants!$H95="","",Variants!$H95)</f>
        <v>white</v>
      </c>
      <c r="M94" s="21" t="str">
        <f aca="false">IF(Variants!$G95="","",Variants!$G95)</f>
        <v/>
      </c>
    </row>
    <row r="95" customFormat="false" ht="15.75" hidden="false" customHeight="true" outlineLevel="0" collapsed="false">
      <c r="A95" s="21" t="str">
        <f aca="false">IF(Variants!$B96="","",Variants!$C96&amp;" — "&amp;Variants!$E96&amp;IF(Variants!$F96=""," "," "&amp;Variants!$F96)&amp;" — "&amp;Variants!$H96)</f>
        <v>Bird Letter Pendant — Alphabet Ր — red</v>
      </c>
      <c r="B95" s="21" t="str">
        <f aca="false">IFERROR(IF(Variants!$B96="","",VLOOKUP(Variants!$B96,Designs!$A$3:$AP$165,9,FALSE())&amp;" Handmade in Armenia."),"")</f>
        <v>Bird letters are an ornamental medieval Armenian script where each letter is formed from stylised birds, used in illuminated manuscripts. Handmade in Armenia.</v>
      </c>
      <c r="C95" s="18" t="n">
        <f aca="false">IF(Variants!$J96="","",Variants!$J96)</f>
        <v>49.4</v>
      </c>
      <c r="D95" s="21" t="n">
        <f aca="false">IF(Variants!$O96="","",Variants!$O96)</f>
        <v>0</v>
      </c>
      <c r="E95" s="21" t="str">
        <f aca="false">Variants!$A96</f>
        <v>KARNI-PEND-ALPHA-REH-RED</v>
      </c>
      <c r="F95" s="21" t="str">
        <f aca="false">IF(Variants!$E96="","",Variants!$E96&amp;", Armenian, handmade, enamel, "&amp;Variants!$D96)</f>
        <v>Alphabet, Armenian, handmade, enamel, Pendant</v>
      </c>
      <c r="G95" s="21" t="str">
        <f aca="false">IFERROR(VLOOKUP(Variants!$B96,Designs!$A$3:$AP$165,12,FALSE())&amp;", enamel","")</f>
        <v>925 Silver Gold-Plated, enamel</v>
      </c>
      <c r="H95" s="21" t="str">
        <f aca="false">IF(Variants!$B96="","","I did")</f>
        <v>I did</v>
      </c>
      <c r="I95" s="21" t="str">
        <f aca="false">IF(Variants!$B96="","","Made to order")</f>
        <v>Made to order</v>
      </c>
      <c r="J95" s="21" t="str">
        <f aca="false">IF(Variants!$D96="","",Variants!$D96)</f>
        <v>Pendant</v>
      </c>
      <c r="K95" s="21" t="str">
        <f aca="false">IF(Variants!$Y96="","",Variants!$Y96)</f>
        <v/>
      </c>
      <c r="L95" s="21" t="str">
        <f aca="false">IF(Variants!$H96="","",Variants!$H96)</f>
        <v>red</v>
      </c>
      <c r="M95" s="21" t="str">
        <f aca="false">IF(Variants!$G96="","",Variants!$G96)</f>
        <v/>
      </c>
    </row>
    <row r="96" customFormat="false" ht="15.75" hidden="false" customHeight="true" outlineLevel="0" collapsed="false">
      <c r="A96" s="21" t="str">
        <f aca="false">IF(Variants!$B97="","",Variants!$C97&amp;" — "&amp;Variants!$E97&amp;IF(Variants!$F97=""," "," "&amp;Variants!$F97)&amp;" — "&amp;Variants!$H97)</f>
        <v>Bird Letter Pendant — Alphabet Ր — turquoise</v>
      </c>
      <c r="B96" s="21" t="str">
        <f aca="false">IFERROR(IF(Variants!$B97="","",VLOOKUP(Variants!$B97,Designs!$A$3:$AP$165,9,FALSE())&amp;" Handmade in Armenia."),"")</f>
        <v>Bird letters are an ornamental medieval Armenian script where each letter is formed from stylised birds, used in illuminated manuscripts. Handmade in Armenia.</v>
      </c>
      <c r="C96" s="18" t="n">
        <f aca="false">IF(Variants!$J97="","",Variants!$J97)</f>
        <v>49.4</v>
      </c>
      <c r="D96" s="21" t="n">
        <f aca="false">IF(Variants!$O97="","",Variants!$O97)</f>
        <v>0</v>
      </c>
      <c r="E96" s="21" t="str">
        <f aca="false">Variants!$A97</f>
        <v>KARNI-PEND-ALPHA-REH-TURQUOISE</v>
      </c>
      <c r="F96" s="21" t="str">
        <f aca="false">IF(Variants!$E97="","",Variants!$E97&amp;", Armenian, handmade, enamel, "&amp;Variants!$D97)</f>
        <v>Alphabet, Armenian, handmade, enamel, Pendant</v>
      </c>
      <c r="G96" s="21" t="str">
        <f aca="false">IFERROR(VLOOKUP(Variants!$B97,Designs!$A$3:$AP$165,12,FALSE())&amp;", enamel","")</f>
        <v>925 Silver Gold-Plated, enamel</v>
      </c>
      <c r="H96" s="21" t="str">
        <f aca="false">IF(Variants!$B97="","","I did")</f>
        <v>I did</v>
      </c>
      <c r="I96" s="21" t="str">
        <f aca="false">IF(Variants!$B97="","","Made to order")</f>
        <v>Made to order</v>
      </c>
      <c r="J96" s="21" t="str">
        <f aca="false">IF(Variants!$D97="","",Variants!$D97)</f>
        <v>Pendant</v>
      </c>
      <c r="K96" s="21" t="str">
        <f aca="false">IF(Variants!$Y97="","",Variants!$Y97)</f>
        <v/>
      </c>
      <c r="L96" s="21" t="str">
        <f aca="false">IF(Variants!$H97="","",Variants!$H97)</f>
        <v>turquoise</v>
      </c>
      <c r="M96" s="21" t="str">
        <f aca="false">IF(Variants!$G97="","",Variants!$G97)</f>
        <v/>
      </c>
    </row>
    <row r="97" customFormat="false" ht="15.75" hidden="false" customHeight="true" outlineLevel="0" collapsed="false">
      <c r="A97" s="21" t="str">
        <f aca="false">IF(Variants!$B98="","",Variants!$C98&amp;" — "&amp;Variants!$E98&amp;IF(Variants!$F98=""," "," "&amp;Variants!$F98)&amp;" — "&amp;Variants!$H98)</f>
        <v>Bird Letter Pendant — Alphabet Ր — white</v>
      </c>
      <c r="B97" s="21" t="str">
        <f aca="false">IFERROR(IF(Variants!$B98="","",VLOOKUP(Variants!$B98,Designs!$A$3:$AP$165,9,FALSE())&amp;" Handmade in Armenia."),"")</f>
        <v>Bird letters are an ornamental medieval Armenian script where each letter is formed from stylised birds, used in illuminated manuscripts. Handmade in Armenia.</v>
      </c>
      <c r="C97" s="18" t="n">
        <f aca="false">IF(Variants!$J98="","",Variants!$J98)</f>
        <v>49.4</v>
      </c>
      <c r="D97" s="21" t="n">
        <f aca="false">IF(Variants!$O98="","",Variants!$O98)</f>
        <v>0</v>
      </c>
      <c r="E97" s="21" t="str">
        <f aca="false">Variants!$A98</f>
        <v>KARNI-PEND-ALPHA-REH-WHITE</v>
      </c>
      <c r="F97" s="21" t="str">
        <f aca="false">IF(Variants!$E98="","",Variants!$E98&amp;", Armenian, handmade, enamel, "&amp;Variants!$D98)</f>
        <v>Alphabet, Armenian, handmade, enamel, Pendant</v>
      </c>
      <c r="G97" s="21" t="str">
        <f aca="false">IFERROR(VLOOKUP(Variants!$B98,Designs!$A$3:$AP$165,12,FALSE())&amp;", enamel","")</f>
        <v>925 Silver Gold-Plated, enamel</v>
      </c>
      <c r="H97" s="21" t="str">
        <f aca="false">IF(Variants!$B98="","","I did")</f>
        <v>I did</v>
      </c>
      <c r="I97" s="21" t="str">
        <f aca="false">IF(Variants!$B98="","","Made to order")</f>
        <v>Made to order</v>
      </c>
      <c r="J97" s="21" t="str">
        <f aca="false">IF(Variants!$D98="","",Variants!$D98)</f>
        <v>Pendant</v>
      </c>
      <c r="K97" s="21" t="str">
        <f aca="false">IF(Variants!$Y98="","",Variants!$Y98)</f>
        <v/>
      </c>
      <c r="L97" s="21" t="str">
        <f aca="false">IF(Variants!$H98="","",Variants!$H98)</f>
        <v>white</v>
      </c>
      <c r="M97" s="21" t="str">
        <f aca="false">IF(Variants!$G98="","",Variants!$G98)</f>
        <v/>
      </c>
    </row>
    <row r="98" customFormat="false" ht="15.75" hidden="false" customHeight="true" outlineLevel="0" collapsed="false">
      <c r="A98" s="21" t="str">
        <f aca="false">IF(Variants!$B99="","",Variants!$C99&amp;" — "&amp;Variants!$E99&amp;IF(Variants!$F99=""," "," "&amp;Variants!$F99)&amp;" — "&amp;Variants!$H99)</f>
        <v>Bird Letter Pendant — Alphabet Ց — red</v>
      </c>
      <c r="B98" s="21" t="str">
        <f aca="false">IFERROR(IF(Variants!$B99="","",VLOOKUP(Variants!$B99,Designs!$A$3:$AP$165,9,FALSE())&amp;" Handmade in Armenia."),"")</f>
        <v>Bird letters are an ornamental medieval Armenian script where each letter is formed from stylised birds, used in illuminated manuscripts. Handmade in Armenia.</v>
      </c>
      <c r="C98" s="18" t="n">
        <f aca="false">IF(Variants!$J99="","",Variants!$J99)</f>
        <v>49.4</v>
      </c>
      <c r="D98" s="21" t="n">
        <f aca="false">IF(Variants!$O99="","",Variants!$O99)</f>
        <v>0</v>
      </c>
      <c r="E98" s="21" t="str">
        <f aca="false">Variants!$A99</f>
        <v>KARNI-PEND-ALPHA-TSO-RED</v>
      </c>
      <c r="F98" s="21" t="str">
        <f aca="false">IF(Variants!$E99="","",Variants!$E99&amp;", Armenian, handmade, enamel, "&amp;Variants!$D99)</f>
        <v>Alphabet, Armenian, handmade, enamel, Pendant</v>
      </c>
      <c r="G98" s="21" t="str">
        <f aca="false">IFERROR(VLOOKUP(Variants!$B99,Designs!$A$3:$AP$165,12,FALSE())&amp;", enamel","")</f>
        <v>925 Silver Gold-Plated, enamel</v>
      </c>
      <c r="H98" s="21" t="str">
        <f aca="false">IF(Variants!$B99="","","I did")</f>
        <v>I did</v>
      </c>
      <c r="I98" s="21" t="str">
        <f aca="false">IF(Variants!$B99="","","Made to order")</f>
        <v>Made to order</v>
      </c>
      <c r="J98" s="21" t="str">
        <f aca="false">IF(Variants!$D99="","",Variants!$D99)</f>
        <v>Pendant</v>
      </c>
      <c r="K98" s="21" t="str">
        <f aca="false">IF(Variants!$Y99="","",Variants!$Y99)</f>
        <v/>
      </c>
      <c r="L98" s="21" t="str">
        <f aca="false">IF(Variants!$H99="","",Variants!$H99)</f>
        <v>red</v>
      </c>
      <c r="M98" s="21" t="str">
        <f aca="false">IF(Variants!$G99="","",Variants!$G99)</f>
        <v/>
      </c>
    </row>
    <row r="99" customFormat="false" ht="15.75" hidden="false" customHeight="true" outlineLevel="0" collapsed="false">
      <c r="A99" s="21" t="str">
        <f aca="false">IF(Variants!$B100="","",Variants!$C100&amp;" — "&amp;Variants!$E100&amp;IF(Variants!$F100=""," "," "&amp;Variants!$F100)&amp;" — "&amp;Variants!$H100)</f>
        <v>Bird Letter Pendant — Alphabet Ց — turquoise</v>
      </c>
      <c r="B99" s="21" t="str">
        <f aca="false">IFERROR(IF(Variants!$B100="","",VLOOKUP(Variants!$B100,Designs!$A$3:$AP$165,9,FALSE())&amp;" Handmade in Armenia."),"")</f>
        <v>Bird letters are an ornamental medieval Armenian script where each letter is formed from stylised birds, used in illuminated manuscripts. Handmade in Armenia.</v>
      </c>
      <c r="C99" s="18" t="n">
        <f aca="false">IF(Variants!$J100="","",Variants!$J100)</f>
        <v>49.4</v>
      </c>
      <c r="D99" s="21" t="n">
        <f aca="false">IF(Variants!$O100="","",Variants!$O100)</f>
        <v>0</v>
      </c>
      <c r="E99" s="21" t="str">
        <f aca="false">Variants!$A100</f>
        <v>KARNI-PEND-ALPHA-TSO-TURQUOISE</v>
      </c>
      <c r="F99" s="21" t="str">
        <f aca="false">IF(Variants!$E100="","",Variants!$E100&amp;", Armenian, handmade, enamel, "&amp;Variants!$D100)</f>
        <v>Alphabet, Armenian, handmade, enamel, Pendant</v>
      </c>
      <c r="G99" s="21" t="str">
        <f aca="false">IFERROR(VLOOKUP(Variants!$B100,Designs!$A$3:$AP$165,12,FALSE())&amp;", enamel","")</f>
        <v>925 Silver Gold-Plated, enamel</v>
      </c>
      <c r="H99" s="21" t="str">
        <f aca="false">IF(Variants!$B100="","","I did")</f>
        <v>I did</v>
      </c>
      <c r="I99" s="21" t="str">
        <f aca="false">IF(Variants!$B100="","","Made to order")</f>
        <v>Made to order</v>
      </c>
      <c r="J99" s="21" t="str">
        <f aca="false">IF(Variants!$D100="","",Variants!$D100)</f>
        <v>Pendant</v>
      </c>
      <c r="K99" s="21" t="str">
        <f aca="false">IF(Variants!$Y100="","",Variants!$Y100)</f>
        <v/>
      </c>
      <c r="L99" s="21" t="str">
        <f aca="false">IF(Variants!$H100="","",Variants!$H100)</f>
        <v>turquoise</v>
      </c>
      <c r="M99" s="21" t="str">
        <f aca="false">IF(Variants!$G100="","",Variants!$G100)</f>
        <v/>
      </c>
    </row>
    <row r="100" customFormat="false" ht="15.75" hidden="false" customHeight="true" outlineLevel="0" collapsed="false">
      <c r="A100" s="21" t="str">
        <f aca="false">IF(Variants!$B101="","",Variants!$C101&amp;" — "&amp;Variants!$E101&amp;IF(Variants!$F101=""," "," "&amp;Variants!$F101)&amp;" — "&amp;Variants!$H101)</f>
        <v>Bird Letter Pendant — Alphabet Ց — white</v>
      </c>
      <c r="B100" s="21" t="str">
        <f aca="false">IFERROR(IF(Variants!$B101="","",VLOOKUP(Variants!$B101,Designs!$A$3:$AP$165,9,FALSE())&amp;" Handmade in Armenia."),"")</f>
        <v>Bird letters are an ornamental medieval Armenian script where each letter is formed from stylised birds, used in illuminated manuscripts. Handmade in Armenia.</v>
      </c>
      <c r="C100" s="18" t="n">
        <f aca="false">IF(Variants!$J101="","",Variants!$J101)</f>
        <v>49.4</v>
      </c>
      <c r="D100" s="21" t="n">
        <f aca="false">IF(Variants!$O101="","",Variants!$O101)</f>
        <v>0</v>
      </c>
      <c r="E100" s="21" t="str">
        <f aca="false">Variants!$A101</f>
        <v>KARNI-PEND-ALPHA-TSO-WHITE</v>
      </c>
      <c r="F100" s="21" t="str">
        <f aca="false">IF(Variants!$E101="","",Variants!$E101&amp;", Armenian, handmade, enamel, "&amp;Variants!$D101)</f>
        <v>Alphabet, Armenian, handmade, enamel, Pendant</v>
      </c>
      <c r="G100" s="21" t="str">
        <f aca="false">IFERROR(VLOOKUP(Variants!$B101,Designs!$A$3:$AP$165,12,FALSE())&amp;", enamel","")</f>
        <v>925 Silver Gold-Plated, enamel</v>
      </c>
      <c r="H100" s="21" t="str">
        <f aca="false">IF(Variants!$B101="","","I did")</f>
        <v>I did</v>
      </c>
      <c r="I100" s="21" t="str">
        <f aca="false">IF(Variants!$B101="","","Made to order")</f>
        <v>Made to order</v>
      </c>
      <c r="J100" s="21" t="str">
        <f aca="false">IF(Variants!$D101="","",Variants!$D101)</f>
        <v>Pendant</v>
      </c>
      <c r="K100" s="21" t="str">
        <f aca="false">IF(Variants!$Y101="","",Variants!$Y101)</f>
        <v/>
      </c>
      <c r="L100" s="21" t="str">
        <f aca="false">IF(Variants!$H101="","",Variants!$H101)</f>
        <v>white</v>
      </c>
      <c r="M100" s="21" t="str">
        <f aca="false">IF(Variants!$G101="","",Variants!$G101)</f>
        <v/>
      </c>
    </row>
    <row r="101" customFormat="false" ht="15.75" hidden="false" customHeight="true" outlineLevel="0" collapsed="false">
      <c r="A101" s="21" t="str">
        <f aca="false">IF(Variants!$B102="","",Variants!$C102&amp;" — "&amp;Variants!$E102&amp;IF(Variants!$F102=""," "," "&amp;Variants!$F102)&amp;" — "&amp;Variants!$H102)</f>
        <v>Bird Letter Pendant — Alphabet Ւ — red</v>
      </c>
      <c r="B101" s="21" t="str">
        <f aca="false">IFERROR(IF(Variants!$B102="","",VLOOKUP(Variants!$B102,Designs!$A$3:$AP$165,9,FALSE())&amp;" Handmade in Armenia."),"")</f>
        <v>Bird letters are an ornamental medieval Armenian script where each letter is formed from stylised birds, used in illuminated manuscripts. Handmade in Armenia.</v>
      </c>
      <c r="C101" s="18" t="n">
        <f aca="false">IF(Variants!$J102="","",Variants!$J102)</f>
        <v>49.4</v>
      </c>
      <c r="D101" s="21" t="n">
        <f aca="false">IF(Variants!$O102="","",Variants!$O102)</f>
        <v>0</v>
      </c>
      <c r="E101" s="21" t="str">
        <f aca="false">Variants!$A102</f>
        <v>KARNI-PEND-ALPHA-VYUN-RED</v>
      </c>
      <c r="F101" s="21" t="str">
        <f aca="false">IF(Variants!$E102="","",Variants!$E102&amp;", Armenian, handmade, enamel, "&amp;Variants!$D102)</f>
        <v>Alphabet, Armenian, handmade, enamel, Pendant</v>
      </c>
      <c r="G101" s="21" t="str">
        <f aca="false">IFERROR(VLOOKUP(Variants!$B102,Designs!$A$3:$AP$165,12,FALSE())&amp;", enamel","")</f>
        <v>925 Silver Gold-Plated, enamel</v>
      </c>
      <c r="H101" s="21" t="str">
        <f aca="false">IF(Variants!$B102="","","I did")</f>
        <v>I did</v>
      </c>
      <c r="I101" s="21" t="str">
        <f aca="false">IF(Variants!$B102="","","Made to order")</f>
        <v>Made to order</v>
      </c>
      <c r="J101" s="21" t="str">
        <f aca="false">IF(Variants!$D102="","",Variants!$D102)</f>
        <v>Pendant</v>
      </c>
      <c r="K101" s="21" t="str">
        <f aca="false">IF(Variants!$Y102="","",Variants!$Y102)</f>
        <v/>
      </c>
      <c r="L101" s="21" t="str">
        <f aca="false">IF(Variants!$H102="","",Variants!$H102)</f>
        <v>red</v>
      </c>
      <c r="M101" s="21" t="str">
        <f aca="false">IF(Variants!$G102="","",Variants!$G102)</f>
        <v/>
      </c>
    </row>
    <row r="102" customFormat="false" ht="15.75" hidden="false" customHeight="true" outlineLevel="0" collapsed="false">
      <c r="A102" s="21" t="str">
        <f aca="false">IF(Variants!$B103="","",Variants!$C103&amp;" — "&amp;Variants!$E103&amp;IF(Variants!$F103=""," "," "&amp;Variants!$F103)&amp;" — "&amp;Variants!$H103)</f>
        <v>Bird Letter Pendant — Alphabet Ւ — turquoise</v>
      </c>
      <c r="B102" s="21" t="str">
        <f aca="false">IFERROR(IF(Variants!$B103="","",VLOOKUP(Variants!$B103,Designs!$A$3:$AP$165,9,FALSE())&amp;" Handmade in Armenia."),"")</f>
        <v>Bird letters are an ornamental medieval Armenian script where each letter is formed from stylised birds, used in illuminated manuscripts. Handmade in Armenia.</v>
      </c>
      <c r="C102" s="18" t="n">
        <f aca="false">IF(Variants!$J103="","",Variants!$J103)</f>
        <v>49.4</v>
      </c>
      <c r="D102" s="21" t="n">
        <f aca="false">IF(Variants!$O103="","",Variants!$O103)</f>
        <v>0</v>
      </c>
      <c r="E102" s="21" t="str">
        <f aca="false">Variants!$A103</f>
        <v>KARNI-PEND-ALPHA-VYUN-TURQUOISE</v>
      </c>
      <c r="F102" s="21" t="str">
        <f aca="false">IF(Variants!$E103="","",Variants!$E103&amp;", Armenian, handmade, enamel, "&amp;Variants!$D103)</f>
        <v>Alphabet, Armenian, handmade, enamel, Pendant</v>
      </c>
      <c r="G102" s="21" t="str">
        <f aca="false">IFERROR(VLOOKUP(Variants!$B103,Designs!$A$3:$AP$165,12,FALSE())&amp;", enamel","")</f>
        <v>925 Silver Gold-Plated, enamel</v>
      </c>
      <c r="H102" s="21" t="str">
        <f aca="false">IF(Variants!$B103="","","I did")</f>
        <v>I did</v>
      </c>
      <c r="I102" s="21" t="str">
        <f aca="false">IF(Variants!$B103="","","Made to order")</f>
        <v>Made to order</v>
      </c>
      <c r="J102" s="21" t="str">
        <f aca="false">IF(Variants!$D103="","",Variants!$D103)</f>
        <v>Pendant</v>
      </c>
      <c r="K102" s="21" t="str">
        <f aca="false">IF(Variants!$Y103="","",Variants!$Y103)</f>
        <v/>
      </c>
      <c r="L102" s="21" t="str">
        <f aca="false">IF(Variants!$H103="","",Variants!$H103)</f>
        <v>turquoise</v>
      </c>
      <c r="M102" s="21" t="str">
        <f aca="false">IF(Variants!$G103="","",Variants!$G103)</f>
        <v/>
      </c>
    </row>
    <row r="103" customFormat="false" ht="15.75" hidden="false" customHeight="true" outlineLevel="0" collapsed="false">
      <c r="A103" s="21" t="str">
        <f aca="false">IF(Variants!$B104="","",Variants!$C104&amp;" — "&amp;Variants!$E104&amp;IF(Variants!$F104=""," "," "&amp;Variants!$F104)&amp;" — "&amp;Variants!$H104)</f>
        <v>Bird Letter Pendant — Alphabet Ւ — white</v>
      </c>
      <c r="B103" s="21" t="str">
        <f aca="false">IFERROR(IF(Variants!$B104="","",VLOOKUP(Variants!$B104,Designs!$A$3:$AP$165,9,FALSE())&amp;" Handmade in Armenia."),"")</f>
        <v>Bird letters are an ornamental medieval Armenian script where each letter is formed from stylised birds, used in illuminated manuscripts. Handmade in Armenia.</v>
      </c>
      <c r="C103" s="18" t="n">
        <f aca="false">IF(Variants!$J104="","",Variants!$J104)</f>
        <v>49.4</v>
      </c>
      <c r="D103" s="21" t="n">
        <f aca="false">IF(Variants!$O104="","",Variants!$O104)</f>
        <v>0</v>
      </c>
      <c r="E103" s="21" t="str">
        <f aca="false">Variants!$A104</f>
        <v>KARNI-PEND-ALPHA-VYUN-WHITE</v>
      </c>
      <c r="F103" s="21" t="str">
        <f aca="false">IF(Variants!$E104="","",Variants!$E104&amp;", Armenian, handmade, enamel, "&amp;Variants!$D104)</f>
        <v>Alphabet, Armenian, handmade, enamel, Pendant</v>
      </c>
      <c r="G103" s="21" t="str">
        <f aca="false">IFERROR(VLOOKUP(Variants!$B104,Designs!$A$3:$AP$165,12,FALSE())&amp;", enamel","")</f>
        <v>925 Silver Gold-Plated, enamel</v>
      </c>
      <c r="H103" s="21" t="str">
        <f aca="false">IF(Variants!$B104="","","I did")</f>
        <v>I did</v>
      </c>
      <c r="I103" s="21" t="str">
        <f aca="false">IF(Variants!$B104="","","Made to order")</f>
        <v>Made to order</v>
      </c>
      <c r="J103" s="21" t="str">
        <f aca="false">IF(Variants!$D104="","",Variants!$D104)</f>
        <v>Pendant</v>
      </c>
      <c r="K103" s="21" t="str">
        <f aca="false">IF(Variants!$Y104="","",Variants!$Y104)</f>
        <v/>
      </c>
      <c r="L103" s="21" t="str">
        <f aca="false">IF(Variants!$H104="","",Variants!$H104)</f>
        <v>white</v>
      </c>
      <c r="M103" s="21" t="str">
        <f aca="false">IF(Variants!$G104="","",Variants!$G104)</f>
        <v/>
      </c>
    </row>
    <row r="104" customFormat="false" ht="15.75" hidden="false" customHeight="true" outlineLevel="0" collapsed="false">
      <c r="A104" s="21" t="str">
        <f aca="false">IF(Variants!$B105="","",Variants!$C105&amp;" — "&amp;Variants!$E105&amp;IF(Variants!$F105=""," "," "&amp;Variants!$F105)&amp;" — "&amp;Variants!$H105)</f>
        <v>Bird Letter Pendant — Alphabet Փ — red</v>
      </c>
      <c r="B104" s="21" t="str">
        <f aca="false">IFERROR(IF(Variants!$B105="","",VLOOKUP(Variants!$B105,Designs!$A$3:$AP$165,9,FALSE())&amp;" Handmade in Armenia."),"")</f>
        <v>Bird letters are an ornamental medieval Armenian script where each letter is formed from stylised birds, used in illuminated manuscripts. Handmade in Armenia.</v>
      </c>
      <c r="C104" s="18" t="n">
        <f aca="false">IF(Variants!$J105="","",Variants!$J105)</f>
        <v>49.4</v>
      </c>
      <c r="D104" s="21" t="n">
        <f aca="false">IF(Variants!$O105="","",Variants!$O105)</f>
        <v>0</v>
      </c>
      <c r="E104" s="21" t="str">
        <f aca="false">Variants!$A105</f>
        <v>KARNI-PEND-ALPHA-PYUR-RED</v>
      </c>
      <c r="F104" s="21" t="str">
        <f aca="false">IF(Variants!$E105="","",Variants!$E105&amp;", Armenian, handmade, enamel, "&amp;Variants!$D105)</f>
        <v>Alphabet, Armenian, handmade, enamel, Pendant</v>
      </c>
      <c r="G104" s="21" t="str">
        <f aca="false">IFERROR(VLOOKUP(Variants!$B105,Designs!$A$3:$AP$165,12,FALSE())&amp;", enamel","")</f>
        <v>925 Silver Gold-Plated, enamel</v>
      </c>
      <c r="H104" s="21" t="str">
        <f aca="false">IF(Variants!$B105="","","I did")</f>
        <v>I did</v>
      </c>
      <c r="I104" s="21" t="str">
        <f aca="false">IF(Variants!$B105="","","Made to order")</f>
        <v>Made to order</v>
      </c>
      <c r="J104" s="21" t="str">
        <f aca="false">IF(Variants!$D105="","",Variants!$D105)</f>
        <v>Pendant</v>
      </c>
      <c r="K104" s="21" t="str">
        <f aca="false">IF(Variants!$Y105="","",Variants!$Y105)</f>
        <v/>
      </c>
      <c r="L104" s="21" t="str">
        <f aca="false">IF(Variants!$H105="","",Variants!$H105)</f>
        <v>red</v>
      </c>
      <c r="M104" s="21" t="str">
        <f aca="false">IF(Variants!$G105="","",Variants!$G105)</f>
        <v/>
      </c>
    </row>
    <row r="105" customFormat="false" ht="15.75" hidden="false" customHeight="true" outlineLevel="0" collapsed="false">
      <c r="A105" s="21" t="str">
        <f aca="false">IF(Variants!$B106="","",Variants!$C106&amp;" — "&amp;Variants!$E106&amp;IF(Variants!$F106=""," "," "&amp;Variants!$F106)&amp;" — "&amp;Variants!$H106)</f>
        <v>Bird Letter Pendant — Alphabet Փ — turquoise</v>
      </c>
      <c r="B105" s="21" t="str">
        <f aca="false">IFERROR(IF(Variants!$B106="","",VLOOKUP(Variants!$B106,Designs!$A$3:$AP$165,9,FALSE())&amp;" Handmade in Armenia."),"")</f>
        <v>Bird letters are an ornamental medieval Armenian script where each letter is formed from stylised birds, used in illuminated manuscripts. Handmade in Armenia.</v>
      </c>
      <c r="C105" s="18" t="n">
        <f aca="false">IF(Variants!$J106="","",Variants!$J106)</f>
        <v>49.4</v>
      </c>
      <c r="D105" s="21" t="n">
        <f aca="false">IF(Variants!$O106="","",Variants!$O106)</f>
        <v>0</v>
      </c>
      <c r="E105" s="21" t="str">
        <f aca="false">Variants!$A106</f>
        <v>KARNI-PEND-ALPHA-PYUR-TURQUOISE</v>
      </c>
      <c r="F105" s="21" t="str">
        <f aca="false">IF(Variants!$E106="","",Variants!$E106&amp;", Armenian, handmade, enamel, "&amp;Variants!$D106)</f>
        <v>Alphabet, Armenian, handmade, enamel, Pendant</v>
      </c>
      <c r="G105" s="21" t="str">
        <f aca="false">IFERROR(VLOOKUP(Variants!$B106,Designs!$A$3:$AP$165,12,FALSE())&amp;", enamel","")</f>
        <v>925 Silver Gold-Plated, enamel</v>
      </c>
      <c r="H105" s="21" t="str">
        <f aca="false">IF(Variants!$B106="","","I did")</f>
        <v>I did</v>
      </c>
      <c r="I105" s="21" t="str">
        <f aca="false">IF(Variants!$B106="","","Made to order")</f>
        <v>Made to order</v>
      </c>
      <c r="J105" s="21" t="str">
        <f aca="false">IF(Variants!$D106="","",Variants!$D106)</f>
        <v>Pendant</v>
      </c>
      <c r="K105" s="21" t="str">
        <f aca="false">IF(Variants!$Y106="","",Variants!$Y106)</f>
        <v/>
      </c>
      <c r="L105" s="21" t="str">
        <f aca="false">IF(Variants!$H106="","",Variants!$H106)</f>
        <v>turquoise</v>
      </c>
      <c r="M105" s="21" t="str">
        <f aca="false">IF(Variants!$G106="","",Variants!$G106)</f>
        <v/>
      </c>
    </row>
    <row r="106" customFormat="false" ht="15.75" hidden="false" customHeight="true" outlineLevel="0" collapsed="false">
      <c r="A106" s="21" t="str">
        <f aca="false">IF(Variants!$B107="","",Variants!$C107&amp;" — "&amp;Variants!$E107&amp;IF(Variants!$F107=""," "," "&amp;Variants!$F107)&amp;" — "&amp;Variants!$H107)</f>
        <v>Bird Letter Pendant — Alphabet Փ — white</v>
      </c>
      <c r="B106" s="21" t="str">
        <f aca="false">IFERROR(IF(Variants!$B107="","",VLOOKUP(Variants!$B107,Designs!$A$3:$AP$165,9,FALSE())&amp;" Handmade in Armenia."),"")</f>
        <v>Bird letters are an ornamental medieval Armenian script where each letter is formed from stylised birds, used in illuminated manuscripts. Handmade in Armenia.</v>
      </c>
      <c r="C106" s="18" t="n">
        <f aca="false">IF(Variants!$J107="","",Variants!$J107)</f>
        <v>49.4</v>
      </c>
      <c r="D106" s="21" t="n">
        <f aca="false">IF(Variants!$O107="","",Variants!$O107)</f>
        <v>0</v>
      </c>
      <c r="E106" s="21" t="str">
        <f aca="false">Variants!$A107</f>
        <v>KARNI-PEND-ALPHA-PYUR-WHITE</v>
      </c>
      <c r="F106" s="21" t="str">
        <f aca="false">IF(Variants!$E107="","",Variants!$E107&amp;", Armenian, handmade, enamel, "&amp;Variants!$D107)</f>
        <v>Alphabet, Armenian, handmade, enamel, Pendant</v>
      </c>
      <c r="G106" s="21" t="str">
        <f aca="false">IFERROR(VLOOKUP(Variants!$B107,Designs!$A$3:$AP$165,12,FALSE())&amp;", enamel","")</f>
        <v>925 Silver Gold-Plated, enamel</v>
      </c>
      <c r="H106" s="21" t="str">
        <f aca="false">IF(Variants!$B107="","","I did")</f>
        <v>I did</v>
      </c>
      <c r="I106" s="21" t="str">
        <f aca="false">IF(Variants!$B107="","","Made to order")</f>
        <v>Made to order</v>
      </c>
      <c r="J106" s="21" t="str">
        <f aca="false">IF(Variants!$D107="","",Variants!$D107)</f>
        <v>Pendant</v>
      </c>
      <c r="K106" s="21" t="str">
        <f aca="false">IF(Variants!$Y107="","",Variants!$Y107)</f>
        <v/>
      </c>
      <c r="L106" s="21" t="str">
        <f aca="false">IF(Variants!$H107="","",Variants!$H107)</f>
        <v>white</v>
      </c>
      <c r="M106" s="21" t="str">
        <f aca="false">IF(Variants!$G107="","",Variants!$G107)</f>
        <v/>
      </c>
    </row>
    <row r="107" customFormat="false" ht="15.75" hidden="false" customHeight="true" outlineLevel="0" collapsed="false">
      <c r="A107" s="21" t="str">
        <f aca="false">IF(Variants!$B108="","",Variants!$C108&amp;" — "&amp;Variants!$E108&amp;IF(Variants!$F108=""," "," "&amp;Variants!$F108)&amp;" — "&amp;Variants!$H108)</f>
        <v>Bird Letter Pendant — Alphabet Ք — red</v>
      </c>
      <c r="B107" s="21" t="str">
        <f aca="false">IFERROR(IF(Variants!$B108="","",VLOOKUP(Variants!$B108,Designs!$A$3:$AP$165,9,FALSE())&amp;" Handmade in Armenia."),"")</f>
        <v>Bird letters are an ornamental medieval Armenian script where each letter is formed from stylised birds, used in illuminated manuscripts. Handmade in Armenia.</v>
      </c>
      <c r="C107" s="18" t="n">
        <f aca="false">IF(Variants!$J108="","",Variants!$J108)</f>
        <v>49.4</v>
      </c>
      <c r="D107" s="21" t="n">
        <f aca="false">IF(Variants!$O108="","",Variants!$O108)</f>
        <v>0</v>
      </c>
      <c r="E107" s="21" t="str">
        <f aca="false">Variants!$A108</f>
        <v>KARNI-PEND-ALPHA-QEH-RED</v>
      </c>
      <c r="F107" s="21" t="str">
        <f aca="false">IF(Variants!$E108="","",Variants!$E108&amp;", Armenian, handmade, enamel, "&amp;Variants!$D108)</f>
        <v>Alphabet, Armenian, handmade, enamel, Pendant</v>
      </c>
      <c r="G107" s="21" t="str">
        <f aca="false">IFERROR(VLOOKUP(Variants!$B108,Designs!$A$3:$AP$165,12,FALSE())&amp;", enamel","")</f>
        <v>925 Silver Gold-Plated, enamel</v>
      </c>
      <c r="H107" s="21" t="str">
        <f aca="false">IF(Variants!$B108="","","I did")</f>
        <v>I did</v>
      </c>
      <c r="I107" s="21" t="str">
        <f aca="false">IF(Variants!$B108="","","Made to order")</f>
        <v>Made to order</v>
      </c>
      <c r="J107" s="21" t="str">
        <f aca="false">IF(Variants!$D108="","",Variants!$D108)</f>
        <v>Pendant</v>
      </c>
      <c r="K107" s="21" t="str">
        <f aca="false">IF(Variants!$Y108="","",Variants!$Y108)</f>
        <v/>
      </c>
      <c r="L107" s="21" t="str">
        <f aca="false">IF(Variants!$H108="","",Variants!$H108)</f>
        <v>red</v>
      </c>
      <c r="M107" s="21" t="str">
        <f aca="false">IF(Variants!$G108="","",Variants!$G108)</f>
        <v/>
      </c>
    </row>
    <row r="108" customFormat="false" ht="15.75" hidden="false" customHeight="true" outlineLevel="0" collapsed="false">
      <c r="A108" s="21" t="str">
        <f aca="false">IF(Variants!$B109="","",Variants!$C109&amp;" — "&amp;Variants!$E109&amp;IF(Variants!$F109=""," "," "&amp;Variants!$F109)&amp;" — "&amp;Variants!$H109)</f>
        <v>Bird Letter Pendant — Alphabet Ք — turquoise</v>
      </c>
      <c r="B108" s="21" t="str">
        <f aca="false">IFERROR(IF(Variants!$B109="","",VLOOKUP(Variants!$B109,Designs!$A$3:$AP$165,9,FALSE())&amp;" Handmade in Armenia."),"")</f>
        <v>Bird letters are an ornamental medieval Armenian script where each letter is formed from stylised birds, used in illuminated manuscripts. Handmade in Armenia.</v>
      </c>
      <c r="C108" s="18" t="n">
        <f aca="false">IF(Variants!$J109="","",Variants!$J109)</f>
        <v>49.4</v>
      </c>
      <c r="D108" s="21" t="n">
        <f aca="false">IF(Variants!$O109="","",Variants!$O109)</f>
        <v>0</v>
      </c>
      <c r="E108" s="21" t="str">
        <f aca="false">Variants!$A109</f>
        <v>KARNI-PEND-ALPHA-QEH-TURQUOISE</v>
      </c>
      <c r="F108" s="21" t="str">
        <f aca="false">IF(Variants!$E109="","",Variants!$E109&amp;", Armenian, handmade, enamel, "&amp;Variants!$D109)</f>
        <v>Alphabet, Armenian, handmade, enamel, Pendant</v>
      </c>
      <c r="G108" s="21" t="str">
        <f aca="false">IFERROR(VLOOKUP(Variants!$B109,Designs!$A$3:$AP$165,12,FALSE())&amp;", enamel","")</f>
        <v>925 Silver Gold-Plated, enamel</v>
      </c>
      <c r="H108" s="21" t="str">
        <f aca="false">IF(Variants!$B109="","","I did")</f>
        <v>I did</v>
      </c>
      <c r="I108" s="21" t="str">
        <f aca="false">IF(Variants!$B109="","","Made to order")</f>
        <v>Made to order</v>
      </c>
      <c r="J108" s="21" t="str">
        <f aca="false">IF(Variants!$D109="","",Variants!$D109)</f>
        <v>Pendant</v>
      </c>
      <c r="K108" s="21" t="str">
        <f aca="false">IF(Variants!$Y109="","",Variants!$Y109)</f>
        <v/>
      </c>
      <c r="L108" s="21" t="str">
        <f aca="false">IF(Variants!$H109="","",Variants!$H109)</f>
        <v>turquoise</v>
      </c>
      <c r="M108" s="21" t="str">
        <f aca="false">IF(Variants!$G109="","",Variants!$G109)</f>
        <v/>
      </c>
    </row>
    <row r="109" customFormat="false" ht="15.75" hidden="false" customHeight="true" outlineLevel="0" collapsed="false">
      <c r="A109" s="21" t="str">
        <f aca="false">IF(Variants!$B110="","",Variants!$C110&amp;" — "&amp;Variants!$E110&amp;IF(Variants!$F110=""," "," "&amp;Variants!$F110)&amp;" — "&amp;Variants!$H110)</f>
        <v>Bird Letter Pendant — Alphabet Ք — white</v>
      </c>
      <c r="B109" s="21" t="str">
        <f aca="false">IFERROR(IF(Variants!$B110="","",VLOOKUP(Variants!$B110,Designs!$A$3:$AP$165,9,FALSE())&amp;" Handmade in Armenia."),"")</f>
        <v>Bird letters are an ornamental medieval Armenian script where each letter is formed from stylised birds, used in illuminated manuscripts. Handmade in Armenia.</v>
      </c>
      <c r="C109" s="18" t="n">
        <f aca="false">IF(Variants!$J110="","",Variants!$J110)</f>
        <v>49.4</v>
      </c>
      <c r="D109" s="21" t="n">
        <f aca="false">IF(Variants!$O110="","",Variants!$O110)</f>
        <v>0</v>
      </c>
      <c r="E109" s="21" t="str">
        <f aca="false">Variants!$A110</f>
        <v>KARNI-PEND-ALPHA-QEH-WHITE</v>
      </c>
      <c r="F109" s="21" t="str">
        <f aca="false">IF(Variants!$E110="","",Variants!$E110&amp;", Armenian, handmade, enamel, "&amp;Variants!$D110)</f>
        <v>Alphabet, Armenian, handmade, enamel, Pendant</v>
      </c>
      <c r="G109" s="21" t="str">
        <f aca="false">IFERROR(VLOOKUP(Variants!$B110,Designs!$A$3:$AP$165,12,FALSE())&amp;", enamel","")</f>
        <v>925 Silver Gold-Plated, enamel</v>
      </c>
      <c r="H109" s="21" t="str">
        <f aca="false">IF(Variants!$B110="","","I did")</f>
        <v>I did</v>
      </c>
      <c r="I109" s="21" t="str">
        <f aca="false">IF(Variants!$B110="","","Made to order")</f>
        <v>Made to order</v>
      </c>
      <c r="J109" s="21" t="str">
        <f aca="false">IF(Variants!$D110="","",Variants!$D110)</f>
        <v>Pendant</v>
      </c>
      <c r="K109" s="21" t="str">
        <f aca="false">IF(Variants!$Y110="","",Variants!$Y110)</f>
        <v/>
      </c>
      <c r="L109" s="21" t="str">
        <f aca="false">IF(Variants!$H110="","",Variants!$H110)</f>
        <v>white</v>
      </c>
      <c r="M109" s="21" t="str">
        <f aca="false">IF(Variants!$G110="","",Variants!$G110)</f>
        <v/>
      </c>
    </row>
    <row r="110" customFormat="false" ht="15.75" hidden="false" customHeight="true" outlineLevel="0" collapsed="false">
      <c r="A110" s="21" t="str">
        <f aca="false">IF(Variants!$B111="","",Variants!$C111&amp;" — "&amp;Variants!$E111&amp;IF(Variants!$F111=""," "," "&amp;Variants!$F111)&amp;" — "&amp;Variants!$H111)</f>
        <v>Bird Letter Pendant — Alphabet Օ — red</v>
      </c>
      <c r="B110" s="21" t="str">
        <f aca="false">IFERROR(IF(Variants!$B111="","",VLOOKUP(Variants!$B111,Designs!$A$3:$AP$165,9,FALSE())&amp;" Handmade in Armenia."),"")</f>
        <v>Bird letters are an ornamental medieval Armenian script where each letter is formed from stylised birds, used in illuminated manuscripts. Handmade in Armenia.</v>
      </c>
      <c r="C110" s="18" t="n">
        <f aca="false">IF(Variants!$J111="","",Variants!$J111)</f>
        <v>49.4</v>
      </c>
      <c r="D110" s="21" t="n">
        <f aca="false">IF(Variants!$O111="","",Variants!$O111)</f>
        <v>0</v>
      </c>
      <c r="E110" s="21" t="str">
        <f aca="false">Variants!$A111</f>
        <v>KARNI-PEND-ALPHA-OH-RED</v>
      </c>
      <c r="F110" s="21" t="str">
        <f aca="false">IF(Variants!$E111="","",Variants!$E111&amp;", Armenian, handmade, enamel, "&amp;Variants!$D111)</f>
        <v>Alphabet, Armenian, handmade, enamel, Pendant</v>
      </c>
      <c r="G110" s="21" t="str">
        <f aca="false">IFERROR(VLOOKUP(Variants!$B111,Designs!$A$3:$AP$165,12,FALSE())&amp;", enamel","")</f>
        <v>925 Silver Gold-Plated, enamel</v>
      </c>
      <c r="H110" s="21" t="str">
        <f aca="false">IF(Variants!$B111="","","I did")</f>
        <v>I did</v>
      </c>
      <c r="I110" s="21" t="str">
        <f aca="false">IF(Variants!$B111="","","Made to order")</f>
        <v>Made to order</v>
      </c>
      <c r="J110" s="21" t="str">
        <f aca="false">IF(Variants!$D111="","",Variants!$D111)</f>
        <v>Pendant</v>
      </c>
      <c r="K110" s="21" t="str">
        <f aca="false">IF(Variants!$Y111="","",Variants!$Y111)</f>
        <v/>
      </c>
      <c r="L110" s="21" t="str">
        <f aca="false">IF(Variants!$H111="","",Variants!$H111)</f>
        <v>red</v>
      </c>
      <c r="M110" s="21" t="str">
        <f aca="false">IF(Variants!$G111="","",Variants!$G111)</f>
        <v/>
      </c>
    </row>
    <row r="111" customFormat="false" ht="15.75" hidden="false" customHeight="true" outlineLevel="0" collapsed="false">
      <c r="A111" s="21" t="str">
        <f aca="false">IF(Variants!$B112="","",Variants!$C112&amp;" — "&amp;Variants!$E112&amp;IF(Variants!$F112=""," "," "&amp;Variants!$F112)&amp;" — "&amp;Variants!$H112)</f>
        <v>Bird Letter Pendant — Alphabet Օ — turquoise</v>
      </c>
      <c r="B111" s="21" t="str">
        <f aca="false">IFERROR(IF(Variants!$B112="","",VLOOKUP(Variants!$B112,Designs!$A$3:$AP$165,9,FALSE())&amp;" Handmade in Armenia."),"")</f>
        <v>Bird letters are an ornamental medieval Armenian script where each letter is formed from stylised birds, used in illuminated manuscripts. Handmade in Armenia.</v>
      </c>
      <c r="C111" s="18" t="n">
        <f aca="false">IF(Variants!$J112="","",Variants!$J112)</f>
        <v>49.4</v>
      </c>
      <c r="D111" s="21" t="n">
        <f aca="false">IF(Variants!$O112="","",Variants!$O112)</f>
        <v>0</v>
      </c>
      <c r="E111" s="21" t="str">
        <f aca="false">Variants!$A112</f>
        <v>KARNI-PEND-ALPHA-OH-TURQUOISE</v>
      </c>
      <c r="F111" s="21" t="str">
        <f aca="false">IF(Variants!$E112="","",Variants!$E112&amp;", Armenian, handmade, enamel, "&amp;Variants!$D112)</f>
        <v>Alphabet, Armenian, handmade, enamel, Pendant</v>
      </c>
      <c r="G111" s="21" t="str">
        <f aca="false">IFERROR(VLOOKUP(Variants!$B112,Designs!$A$3:$AP$165,12,FALSE())&amp;", enamel","")</f>
        <v>925 Silver Gold-Plated, enamel</v>
      </c>
      <c r="H111" s="21" t="str">
        <f aca="false">IF(Variants!$B112="","","I did")</f>
        <v>I did</v>
      </c>
      <c r="I111" s="21" t="str">
        <f aca="false">IF(Variants!$B112="","","Made to order")</f>
        <v>Made to order</v>
      </c>
      <c r="J111" s="21" t="str">
        <f aca="false">IF(Variants!$D112="","",Variants!$D112)</f>
        <v>Pendant</v>
      </c>
      <c r="K111" s="21" t="str">
        <f aca="false">IF(Variants!$Y112="","",Variants!$Y112)</f>
        <v/>
      </c>
      <c r="L111" s="21" t="str">
        <f aca="false">IF(Variants!$H112="","",Variants!$H112)</f>
        <v>turquoise</v>
      </c>
      <c r="M111" s="21" t="str">
        <f aca="false">IF(Variants!$G112="","",Variants!$G112)</f>
        <v/>
      </c>
    </row>
    <row r="112" customFormat="false" ht="15.75" hidden="false" customHeight="true" outlineLevel="0" collapsed="false">
      <c r="A112" s="21" t="str">
        <f aca="false">IF(Variants!$B113="","",Variants!$C113&amp;" — "&amp;Variants!$E113&amp;IF(Variants!$F113=""," "," "&amp;Variants!$F113)&amp;" — "&amp;Variants!$H113)</f>
        <v>Bird Letter Pendant — Alphabet Օ — white</v>
      </c>
      <c r="B112" s="21" t="str">
        <f aca="false">IFERROR(IF(Variants!$B113="","",VLOOKUP(Variants!$B113,Designs!$A$3:$AP$165,9,FALSE())&amp;" Handmade in Armenia."),"")</f>
        <v>Bird letters are an ornamental medieval Armenian script where each letter is formed from stylised birds, used in illuminated manuscripts. Handmade in Armenia.</v>
      </c>
      <c r="C112" s="18" t="n">
        <f aca="false">IF(Variants!$J113="","",Variants!$J113)</f>
        <v>49.4</v>
      </c>
      <c r="D112" s="21" t="n">
        <f aca="false">IF(Variants!$O113="","",Variants!$O113)</f>
        <v>0</v>
      </c>
      <c r="E112" s="21" t="str">
        <f aca="false">Variants!$A113</f>
        <v>KARNI-PEND-ALPHA-OH-WHITE</v>
      </c>
      <c r="F112" s="21" t="str">
        <f aca="false">IF(Variants!$E113="","",Variants!$E113&amp;", Armenian, handmade, enamel, "&amp;Variants!$D113)</f>
        <v>Alphabet, Armenian, handmade, enamel, Pendant</v>
      </c>
      <c r="G112" s="21" t="str">
        <f aca="false">IFERROR(VLOOKUP(Variants!$B113,Designs!$A$3:$AP$165,12,FALSE())&amp;", enamel","")</f>
        <v>925 Silver Gold-Plated, enamel</v>
      </c>
      <c r="H112" s="21" t="str">
        <f aca="false">IF(Variants!$B113="","","I did")</f>
        <v>I did</v>
      </c>
      <c r="I112" s="21" t="str">
        <f aca="false">IF(Variants!$B113="","","Made to order")</f>
        <v>Made to order</v>
      </c>
      <c r="J112" s="21" t="str">
        <f aca="false">IF(Variants!$D113="","",Variants!$D113)</f>
        <v>Pendant</v>
      </c>
      <c r="K112" s="21" t="str">
        <f aca="false">IF(Variants!$Y113="","",Variants!$Y113)</f>
        <v/>
      </c>
      <c r="L112" s="21" t="str">
        <f aca="false">IF(Variants!$H113="","",Variants!$H113)</f>
        <v>white</v>
      </c>
      <c r="M112" s="21" t="str">
        <f aca="false">IF(Variants!$G113="","",Variants!$G113)</f>
        <v/>
      </c>
    </row>
    <row r="113" customFormat="false" ht="15.75" hidden="false" customHeight="true" outlineLevel="0" collapsed="false">
      <c r="A113" s="21" t="str">
        <f aca="false">IF(Variants!$B114="","",Variants!$C114&amp;" — "&amp;Variants!$E114&amp;IF(Variants!$F114=""," "," "&amp;Variants!$F114)&amp;" — "&amp;Variants!$H114)</f>
        <v>Bird Letter Pendant — Alphabet Ֆ — red</v>
      </c>
      <c r="B113" s="21" t="str">
        <f aca="false">IFERROR(IF(Variants!$B114="","",VLOOKUP(Variants!$B114,Designs!$A$3:$AP$165,9,FALSE())&amp;" Handmade in Armenia."),"")</f>
        <v>Bird letters are an ornamental medieval Armenian script where each letter is formed from stylised birds, used in illuminated manuscripts. Handmade in Armenia.</v>
      </c>
      <c r="C113" s="18" t="n">
        <f aca="false">IF(Variants!$J114="","",Variants!$J114)</f>
        <v>49.4</v>
      </c>
      <c r="D113" s="21" t="n">
        <f aca="false">IF(Variants!$O114="","",Variants!$O114)</f>
        <v>0</v>
      </c>
      <c r="E113" s="21" t="str">
        <f aca="false">Variants!$A114</f>
        <v>KARNI-PEND-ALPHA-FEH-RED</v>
      </c>
      <c r="F113" s="21" t="str">
        <f aca="false">IF(Variants!$E114="","",Variants!$E114&amp;", Armenian, handmade, enamel, "&amp;Variants!$D114)</f>
        <v>Alphabet, Armenian, handmade, enamel, Pendant</v>
      </c>
      <c r="G113" s="21" t="str">
        <f aca="false">IFERROR(VLOOKUP(Variants!$B114,Designs!$A$3:$AP$165,12,FALSE())&amp;", enamel","")</f>
        <v>925 Silver Gold-Plated, enamel</v>
      </c>
      <c r="H113" s="21" t="str">
        <f aca="false">IF(Variants!$B114="","","I did")</f>
        <v>I did</v>
      </c>
      <c r="I113" s="21" t="str">
        <f aca="false">IF(Variants!$B114="","","Made to order")</f>
        <v>Made to order</v>
      </c>
      <c r="J113" s="21" t="str">
        <f aca="false">IF(Variants!$D114="","",Variants!$D114)</f>
        <v>Pendant</v>
      </c>
      <c r="K113" s="21" t="str">
        <f aca="false">IF(Variants!$Y114="","",Variants!$Y114)</f>
        <v/>
      </c>
      <c r="L113" s="21" t="str">
        <f aca="false">IF(Variants!$H114="","",Variants!$H114)</f>
        <v>red</v>
      </c>
      <c r="M113" s="21" t="str">
        <f aca="false">IF(Variants!$G114="","",Variants!$G114)</f>
        <v/>
      </c>
    </row>
    <row r="114" customFormat="false" ht="15.75" hidden="false" customHeight="true" outlineLevel="0" collapsed="false">
      <c r="A114" s="21" t="str">
        <f aca="false">IF(Variants!$B115="","",Variants!$C115&amp;" — "&amp;Variants!$E115&amp;IF(Variants!$F115=""," "," "&amp;Variants!$F115)&amp;" — "&amp;Variants!$H115)</f>
        <v>Bird Letter Pendant — Alphabet Ֆ — turquoise</v>
      </c>
      <c r="B114" s="21" t="str">
        <f aca="false">IFERROR(IF(Variants!$B115="","",VLOOKUP(Variants!$B115,Designs!$A$3:$AP$165,9,FALSE())&amp;" Handmade in Armenia."),"")</f>
        <v>Bird letters are an ornamental medieval Armenian script where each letter is formed from stylised birds, used in illuminated manuscripts. Handmade in Armenia.</v>
      </c>
      <c r="C114" s="18" t="n">
        <f aca="false">IF(Variants!$J115="","",Variants!$J115)</f>
        <v>49.4</v>
      </c>
      <c r="D114" s="21" t="n">
        <f aca="false">IF(Variants!$O115="","",Variants!$O115)</f>
        <v>0</v>
      </c>
      <c r="E114" s="21" t="str">
        <f aca="false">Variants!$A115</f>
        <v>KARNI-PEND-ALPHA-FEH-TURQUOISE</v>
      </c>
      <c r="F114" s="21" t="str">
        <f aca="false">IF(Variants!$E115="","",Variants!$E115&amp;", Armenian, handmade, enamel, "&amp;Variants!$D115)</f>
        <v>Alphabet, Armenian, handmade, enamel, Pendant</v>
      </c>
      <c r="G114" s="21" t="str">
        <f aca="false">IFERROR(VLOOKUP(Variants!$B115,Designs!$A$3:$AP$165,12,FALSE())&amp;", enamel","")</f>
        <v>925 Silver Gold-Plated, enamel</v>
      </c>
      <c r="H114" s="21" t="str">
        <f aca="false">IF(Variants!$B115="","","I did")</f>
        <v>I did</v>
      </c>
      <c r="I114" s="21" t="str">
        <f aca="false">IF(Variants!$B115="","","Made to order")</f>
        <v>Made to order</v>
      </c>
      <c r="J114" s="21" t="str">
        <f aca="false">IF(Variants!$D115="","",Variants!$D115)</f>
        <v>Pendant</v>
      </c>
      <c r="K114" s="21" t="str">
        <f aca="false">IF(Variants!$Y115="","",Variants!$Y115)</f>
        <v/>
      </c>
      <c r="L114" s="21" t="str">
        <f aca="false">IF(Variants!$H115="","",Variants!$H115)</f>
        <v>turquoise</v>
      </c>
      <c r="M114" s="21" t="str">
        <f aca="false">IF(Variants!$G115="","",Variants!$G115)</f>
        <v/>
      </c>
    </row>
    <row r="115" customFormat="false" ht="15.75" hidden="false" customHeight="true" outlineLevel="0" collapsed="false">
      <c r="A115" s="21" t="str">
        <f aca="false">IF(Variants!$B116="","",Variants!$C116&amp;" — "&amp;Variants!$E116&amp;IF(Variants!$F116=""," "," "&amp;Variants!$F116)&amp;" — "&amp;Variants!$H116)</f>
        <v>Bird Letter Pendant — Alphabet Ֆ — white</v>
      </c>
      <c r="B115" s="21" t="str">
        <f aca="false">IFERROR(IF(Variants!$B116="","",VLOOKUP(Variants!$B116,Designs!$A$3:$AP$165,9,FALSE())&amp;" Handmade in Armenia."),"")</f>
        <v>Bird letters are an ornamental medieval Armenian script where each letter is formed from stylised birds, used in illuminated manuscripts. Handmade in Armenia.</v>
      </c>
      <c r="C115" s="18" t="n">
        <f aca="false">IF(Variants!$J116="","",Variants!$J116)</f>
        <v>49.4</v>
      </c>
      <c r="D115" s="21" t="n">
        <f aca="false">IF(Variants!$O116="","",Variants!$O116)</f>
        <v>0</v>
      </c>
      <c r="E115" s="21" t="str">
        <f aca="false">Variants!$A116</f>
        <v>KARNI-PEND-ALPHA-FEH-WHITE</v>
      </c>
      <c r="F115" s="21" t="str">
        <f aca="false">IF(Variants!$E116="","",Variants!$E116&amp;", Armenian, handmade, enamel, "&amp;Variants!$D116)</f>
        <v>Alphabet, Armenian, handmade, enamel, Pendant</v>
      </c>
      <c r="G115" s="21" t="str">
        <f aca="false">IFERROR(VLOOKUP(Variants!$B116,Designs!$A$3:$AP$165,12,FALSE())&amp;", enamel","")</f>
        <v>925 Silver Gold-Plated, enamel</v>
      </c>
      <c r="H115" s="21" t="str">
        <f aca="false">IF(Variants!$B116="","","I did")</f>
        <v>I did</v>
      </c>
      <c r="I115" s="21" t="str">
        <f aca="false">IF(Variants!$B116="","","Made to order")</f>
        <v>Made to order</v>
      </c>
      <c r="J115" s="21" t="str">
        <f aca="false">IF(Variants!$D116="","",Variants!$D116)</f>
        <v>Pendant</v>
      </c>
      <c r="K115" s="21" t="str">
        <f aca="false">IF(Variants!$Y116="","",Variants!$Y116)</f>
        <v/>
      </c>
      <c r="L115" s="21" t="str">
        <f aca="false">IF(Variants!$H116="","",Variants!$H116)</f>
        <v>white</v>
      </c>
      <c r="M115" s="21" t="str">
        <f aca="false">IF(Variants!$G116="","",Variants!$G116)</f>
        <v/>
      </c>
    </row>
    <row r="116" customFormat="false" ht="15.75" hidden="false" customHeight="true" outlineLevel="0" collapsed="false">
      <c r="A116" s="21" t="str">
        <f aca="false">IF(Variants!$B117="","",Variants!$C117&amp;" — "&amp;Variants!$E117&amp;IF(Variants!$F117=""," "," "&amp;Variants!$F117)&amp;" — "&amp;Variants!$H117)</f>
        <v>Bird Letter Bracelet — Alphabet Ա — red</v>
      </c>
      <c r="B116" s="21" t="str">
        <f aca="false">IFERROR(IF(Variants!$B117="","",VLOOKUP(Variants!$B117,Designs!$A$3:$AP$165,9,FALSE())&amp;" Handmade in Armenia."),"")</f>
        <v>Bird letters are an ornamental medieval Armenian script where each letter is formed from stylised birds, used in illuminated manuscripts. Handmade in Armenia.</v>
      </c>
      <c r="C116" s="18" t="n">
        <f aca="false">IF(Variants!$J117="","",Variants!$J117)</f>
        <v>49.4</v>
      </c>
      <c r="D116" s="21" t="n">
        <f aca="false">IF(Variants!$O117="","",Variants!$O117)</f>
        <v>0</v>
      </c>
      <c r="E116" s="21" t="str">
        <f aca="false">Variants!$A117</f>
        <v>KARNI-BRAC-ALPHA-AYB-RED</v>
      </c>
      <c r="F116" s="21" t="str">
        <f aca="false">IF(Variants!$E117="","",Variants!$E117&amp;", Armenian, handmade, enamel, "&amp;Variants!$D117)</f>
        <v>Alphabet, Armenian, handmade, enamel, Bracelet</v>
      </c>
      <c r="G116" s="21" t="str">
        <f aca="false">IFERROR(VLOOKUP(Variants!$B117,Designs!$A$3:$AP$165,12,FALSE())&amp;", enamel","")</f>
        <v>925 Silver Gold-Plated, enamel</v>
      </c>
      <c r="H116" s="21" t="str">
        <f aca="false">IF(Variants!$B117="","","I did")</f>
        <v>I did</v>
      </c>
      <c r="I116" s="21" t="str">
        <f aca="false">IF(Variants!$B117="","","Made to order")</f>
        <v>Made to order</v>
      </c>
      <c r="J116" s="21" t="str">
        <f aca="false">IF(Variants!$D117="","",Variants!$D117)</f>
        <v>Bracelet</v>
      </c>
      <c r="K116" s="21" t="str">
        <f aca="false">IF(Variants!$Y117="","",Variants!$Y117)</f>
        <v/>
      </c>
      <c r="L116" s="21" t="str">
        <f aca="false">IF(Variants!$H117="","",Variants!$H117)</f>
        <v>red</v>
      </c>
      <c r="M116" s="21" t="str">
        <f aca="false">IF(Variants!$G117="","",Variants!$G117)</f>
        <v/>
      </c>
    </row>
    <row r="117" customFormat="false" ht="15.75" hidden="false" customHeight="true" outlineLevel="0" collapsed="false">
      <c r="A117" s="21" t="str">
        <f aca="false">IF(Variants!$B118="","",Variants!$C118&amp;" — "&amp;Variants!$E118&amp;IF(Variants!$F118=""," "," "&amp;Variants!$F118)&amp;" — "&amp;Variants!$H118)</f>
        <v>Bird Letter Bracelet — Alphabet Ա — turquoise</v>
      </c>
      <c r="B117" s="21" t="str">
        <f aca="false">IFERROR(IF(Variants!$B118="","",VLOOKUP(Variants!$B118,Designs!$A$3:$AP$165,9,FALSE())&amp;" Handmade in Armenia."),"")</f>
        <v>Bird letters are an ornamental medieval Armenian script where each letter is formed from stylised birds, used in illuminated manuscripts. Handmade in Armenia.</v>
      </c>
      <c r="C117" s="18" t="n">
        <f aca="false">IF(Variants!$J118="","",Variants!$J118)</f>
        <v>49.4</v>
      </c>
      <c r="D117" s="21" t="n">
        <f aca="false">IF(Variants!$O118="","",Variants!$O118)</f>
        <v>0</v>
      </c>
      <c r="E117" s="21" t="str">
        <f aca="false">Variants!$A118</f>
        <v>KARNI-BRAC-ALPHA-AYB-TURQUOISE</v>
      </c>
      <c r="F117" s="21" t="str">
        <f aca="false">IF(Variants!$E118="","",Variants!$E118&amp;", Armenian, handmade, enamel, "&amp;Variants!$D118)</f>
        <v>Alphabet, Armenian, handmade, enamel, Bracelet</v>
      </c>
      <c r="G117" s="21" t="str">
        <f aca="false">IFERROR(VLOOKUP(Variants!$B118,Designs!$A$3:$AP$165,12,FALSE())&amp;", enamel","")</f>
        <v>925 Silver Gold-Plated, enamel</v>
      </c>
      <c r="H117" s="21" t="str">
        <f aca="false">IF(Variants!$B118="","","I did")</f>
        <v>I did</v>
      </c>
      <c r="I117" s="21" t="str">
        <f aca="false">IF(Variants!$B118="","","Made to order")</f>
        <v>Made to order</v>
      </c>
      <c r="J117" s="21" t="str">
        <f aca="false">IF(Variants!$D118="","",Variants!$D118)</f>
        <v>Bracelet</v>
      </c>
      <c r="K117" s="21" t="str">
        <f aca="false">IF(Variants!$Y118="","",Variants!$Y118)</f>
        <v/>
      </c>
      <c r="L117" s="21" t="str">
        <f aca="false">IF(Variants!$H118="","",Variants!$H118)</f>
        <v>turquoise</v>
      </c>
      <c r="M117" s="21" t="str">
        <f aca="false">IF(Variants!$G118="","",Variants!$G118)</f>
        <v/>
      </c>
    </row>
    <row r="118" customFormat="false" ht="15.75" hidden="false" customHeight="true" outlineLevel="0" collapsed="false">
      <c r="A118" s="21" t="str">
        <f aca="false">IF(Variants!$B119="","",Variants!$C119&amp;" — "&amp;Variants!$E119&amp;IF(Variants!$F119=""," "," "&amp;Variants!$F119)&amp;" — "&amp;Variants!$H119)</f>
        <v>Bird Letter Bracelet — Alphabet Ա — white</v>
      </c>
      <c r="B118" s="21" t="str">
        <f aca="false">IFERROR(IF(Variants!$B119="","",VLOOKUP(Variants!$B119,Designs!$A$3:$AP$165,9,FALSE())&amp;" Handmade in Armenia."),"")</f>
        <v>Bird letters are an ornamental medieval Armenian script where each letter is formed from stylised birds, used in illuminated manuscripts. Handmade in Armenia.</v>
      </c>
      <c r="C118" s="18" t="n">
        <f aca="false">IF(Variants!$J119="","",Variants!$J119)</f>
        <v>49.4</v>
      </c>
      <c r="D118" s="21" t="n">
        <f aca="false">IF(Variants!$O119="","",Variants!$O119)</f>
        <v>0</v>
      </c>
      <c r="E118" s="21" t="str">
        <f aca="false">Variants!$A119</f>
        <v>KARNI-BRAC-ALPHA-AYB-WHITE</v>
      </c>
      <c r="F118" s="21" t="str">
        <f aca="false">IF(Variants!$E119="","",Variants!$E119&amp;", Armenian, handmade, enamel, "&amp;Variants!$D119)</f>
        <v>Alphabet, Armenian, handmade, enamel, Bracelet</v>
      </c>
      <c r="G118" s="21" t="str">
        <f aca="false">IFERROR(VLOOKUP(Variants!$B119,Designs!$A$3:$AP$165,12,FALSE())&amp;", enamel","")</f>
        <v>925 Silver Gold-Plated, enamel</v>
      </c>
      <c r="H118" s="21" t="str">
        <f aca="false">IF(Variants!$B119="","","I did")</f>
        <v>I did</v>
      </c>
      <c r="I118" s="21" t="str">
        <f aca="false">IF(Variants!$B119="","","Made to order")</f>
        <v>Made to order</v>
      </c>
      <c r="J118" s="21" t="str">
        <f aca="false">IF(Variants!$D119="","",Variants!$D119)</f>
        <v>Bracelet</v>
      </c>
      <c r="K118" s="21" t="str">
        <f aca="false">IF(Variants!$Y119="","",Variants!$Y119)</f>
        <v/>
      </c>
      <c r="L118" s="21" t="str">
        <f aca="false">IF(Variants!$H119="","",Variants!$H119)</f>
        <v>white</v>
      </c>
      <c r="M118" s="21" t="str">
        <f aca="false">IF(Variants!$G119="","",Variants!$G119)</f>
        <v/>
      </c>
    </row>
    <row r="119" customFormat="false" ht="15.75" hidden="false" customHeight="true" outlineLevel="0" collapsed="false">
      <c r="A119" s="21" t="str">
        <f aca="false">IF(Variants!$B120="","",Variants!$C120&amp;" — "&amp;Variants!$E120&amp;IF(Variants!$F120=""," "," "&amp;Variants!$F120)&amp;" — "&amp;Variants!$H120)</f>
        <v>Bird Letter Bracelet — Alphabet Բ — red</v>
      </c>
      <c r="B119" s="21" t="str">
        <f aca="false">IFERROR(IF(Variants!$B120="","",VLOOKUP(Variants!$B120,Designs!$A$3:$AP$165,9,FALSE())&amp;" Handmade in Armenia."),"")</f>
        <v>Bird letters are an ornamental medieval Armenian script where each letter is formed from stylised birds, used in illuminated manuscripts. Handmade in Armenia.</v>
      </c>
      <c r="C119" s="18" t="n">
        <f aca="false">IF(Variants!$J120="","",Variants!$J120)</f>
        <v>49.4</v>
      </c>
      <c r="D119" s="21" t="n">
        <f aca="false">IF(Variants!$O120="","",Variants!$O120)</f>
        <v>0</v>
      </c>
      <c r="E119" s="21" t="str">
        <f aca="false">Variants!$A120</f>
        <v>KARNI-BRAC-ALPHA-BEN-RED</v>
      </c>
      <c r="F119" s="21" t="str">
        <f aca="false">IF(Variants!$E120="","",Variants!$E120&amp;", Armenian, handmade, enamel, "&amp;Variants!$D120)</f>
        <v>Alphabet, Armenian, handmade, enamel, Bracelet</v>
      </c>
      <c r="G119" s="21" t="str">
        <f aca="false">IFERROR(VLOOKUP(Variants!$B120,Designs!$A$3:$AP$165,12,FALSE())&amp;", enamel","")</f>
        <v>925 Silver Gold-Plated, enamel</v>
      </c>
      <c r="H119" s="21" t="str">
        <f aca="false">IF(Variants!$B120="","","I did")</f>
        <v>I did</v>
      </c>
      <c r="I119" s="21" t="str">
        <f aca="false">IF(Variants!$B120="","","Made to order")</f>
        <v>Made to order</v>
      </c>
      <c r="J119" s="21" t="str">
        <f aca="false">IF(Variants!$D120="","",Variants!$D120)</f>
        <v>Bracelet</v>
      </c>
      <c r="K119" s="21" t="str">
        <f aca="false">IF(Variants!$Y120="","",Variants!$Y120)</f>
        <v/>
      </c>
      <c r="L119" s="21" t="str">
        <f aca="false">IF(Variants!$H120="","",Variants!$H120)</f>
        <v>red</v>
      </c>
      <c r="M119" s="21" t="str">
        <f aca="false">IF(Variants!$G120="","",Variants!$G120)</f>
        <v/>
      </c>
    </row>
    <row r="120" customFormat="false" ht="15.75" hidden="false" customHeight="true" outlineLevel="0" collapsed="false">
      <c r="A120" s="21" t="str">
        <f aca="false">IF(Variants!$B121="","",Variants!$C121&amp;" — "&amp;Variants!$E121&amp;IF(Variants!$F121=""," "," "&amp;Variants!$F121)&amp;" — "&amp;Variants!$H121)</f>
        <v>Bird Letter Bracelet — Alphabet Բ — turquoise</v>
      </c>
      <c r="B120" s="21" t="str">
        <f aca="false">IFERROR(IF(Variants!$B121="","",VLOOKUP(Variants!$B121,Designs!$A$3:$AP$165,9,FALSE())&amp;" Handmade in Armenia."),"")</f>
        <v>Bird letters are an ornamental medieval Armenian script where each letter is formed from stylised birds, used in illuminated manuscripts. Handmade in Armenia.</v>
      </c>
      <c r="C120" s="18" t="n">
        <f aca="false">IF(Variants!$J121="","",Variants!$J121)</f>
        <v>49.4</v>
      </c>
      <c r="D120" s="21" t="n">
        <f aca="false">IF(Variants!$O121="","",Variants!$O121)</f>
        <v>0</v>
      </c>
      <c r="E120" s="21" t="str">
        <f aca="false">Variants!$A121</f>
        <v>KARNI-BRAC-ALPHA-BEN-TURQUOISE</v>
      </c>
      <c r="F120" s="21" t="str">
        <f aca="false">IF(Variants!$E121="","",Variants!$E121&amp;", Armenian, handmade, enamel, "&amp;Variants!$D121)</f>
        <v>Alphabet, Armenian, handmade, enamel, Bracelet</v>
      </c>
      <c r="G120" s="21" t="str">
        <f aca="false">IFERROR(VLOOKUP(Variants!$B121,Designs!$A$3:$AP$165,12,FALSE())&amp;", enamel","")</f>
        <v>925 Silver Gold-Plated, enamel</v>
      </c>
      <c r="H120" s="21" t="str">
        <f aca="false">IF(Variants!$B121="","","I did")</f>
        <v>I did</v>
      </c>
      <c r="I120" s="21" t="str">
        <f aca="false">IF(Variants!$B121="","","Made to order")</f>
        <v>Made to order</v>
      </c>
      <c r="J120" s="21" t="str">
        <f aca="false">IF(Variants!$D121="","",Variants!$D121)</f>
        <v>Bracelet</v>
      </c>
      <c r="K120" s="21" t="str">
        <f aca="false">IF(Variants!$Y121="","",Variants!$Y121)</f>
        <v/>
      </c>
      <c r="L120" s="21" t="str">
        <f aca="false">IF(Variants!$H121="","",Variants!$H121)</f>
        <v>turquoise</v>
      </c>
      <c r="M120" s="21" t="str">
        <f aca="false">IF(Variants!$G121="","",Variants!$G121)</f>
        <v/>
      </c>
    </row>
    <row r="121" customFormat="false" ht="15.75" hidden="false" customHeight="true" outlineLevel="0" collapsed="false">
      <c r="A121" s="21" t="str">
        <f aca="false">IF(Variants!$B122="","",Variants!$C122&amp;" — "&amp;Variants!$E122&amp;IF(Variants!$F122=""," "," "&amp;Variants!$F122)&amp;" — "&amp;Variants!$H122)</f>
        <v>Bird Letter Bracelet — Alphabet Բ — white</v>
      </c>
      <c r="B121" s="21" t="str">
        <f aca="false">IFERROR(IF(Variants!$B122="","",VLOOKUP(Variants!$B122,Designs!$A$3:$AP$165,9,FALSE())&amp;" Handmade in Armenia."),"")</f>
        <v>Bird letters are an ornamental medieval Armenian script where each letter is formed from stylised birds, used in illuminated manuscripts. Handmade in Armenia.</v>
      </c>
      <c r="C121" s="18" t="n">
        <f aca="false">IF(Variants!$J122="","",Variants!$J122)</f>
        <v>49.4</v>
      </c>
      <c r="D121" s="21" t="n">
        <f aca="false">IF(Variants!$O122="","",Variants!$O122)</f>
        <v>0</v>
      </c>
      <c r="E121" s="21" t="str">
        <f aca="false">Variants!$A122</f>
        <v>KARNI-BRAC-ALPHA-BEN-WHITE</v>
      </c>
      <c r="F121" s="21" t="str">
        <f aca="false">IF(Variants!$E122="","",Variants!$E122&amp;", Armenian, handmade, enamel, "&amp;Variants!$D122)</f>
        <v>Alphabet, Armenian, handmade, enamel, Bracelet</v>
      </c>
      <c r="G121" s="21" t="str">
        <f aca="false">IFERROR(VLOOKUP(Variants!$B122,Designs!$A$3:$AP$165,12,FALSE())&amp;", enamel","")</f>
        <v>925 Silver Gold-Plated, enamel</v>
      </c>
      <c r="H121" s="21" t="str">
        <f aca="false">IF(Variants!$B122="","","I did")</f>
        <v>I did</v>
      </c>
      <c r="I121" s="21" t="str">
        <f aca="false">IF(Variants!$B122="","","Made to order")</f>
        <v>Made to order</v>
      </c>
      <c r="J121" s="21" t="str">
        <f aca="false">IF(Variants!$D122="","",Variants!$D122)</f>
        <v>Bracelet</v>
      </c>
      <c r="K121" s="21" t="str">
        <f aca="false">IF(Variants!$Y122="","",Variants!$Y122)</f>
        <v/>
      </c>
      <c r="L121" s="21" t="str">
        <f aca="false">IF(Variants!$H122="","",Variants!$H122)</f>
        <v>white</v>
      </c>
      <c r="M121" s="21" t="str">
        <f aca="false">IF(Variants!$G122="","",Variants!$G122)</f>
        <v/>
      </c>
    </row>
    <row r="122" customFormat="false" ht="15.75" hidden="false" customHeight="true" outlineLevel="0" collapsed="false">
      <c r="A122" s="21" t="str">
        <f aca="false">IF(Variants!$B123="","",Variants!$C123&amp;" — "&amp;Variants!$E123&amp;IF(Variants!$F123=""," "," "&amp;Variants!$F123)&amp;" — "&amp;Variants!$H123)</f>
        <v>Bird Letter Bracelet — Alphabet Գ — red</v>
      </c>
      <c r="B122" s="21" t="str">
        <f aca="false">IFERROR(IF(Variants!$B123="","",VLOOKUP(Variants!$B123,Designs!$A$3:$AP$165,9,FALSE())&amp;" Handmade in Armenia."),"")</f>
        <v>Bird letters are an ornamental medieval Armenian script where each letter is formed from stylised birds, used in illuminated manuscripts. Handmade in Armenia.</v>
      </c>
      <c r="C122" s="18" t="n">
        <f aca="false">IF(Variants!$J123="","",Variants!$J123)</f>
        <v>49.4</v>
      </c>
      <c r="D122" s="21" t="n">
        <f aca="false">IF(Variants!$O123="","",Variants!$O123)</f>
        <v>0</v>
      </c>
      <c r="E122" s="21" t="str">
        <f aca="false">Variants!$A123</f>
        <v>KARNI-BRAC-ALPHA-GIM-RED</v>
      </c>
      <c r="F122" s="21" t="str">
        <f aca="false">IF(Variants!$E123="","",Variants!$E123&amp;", Armenian, handmade, enamel, "&amp;Variants!$D123)</f>
        <v>Alphabet, Armenian, handmade, enamel, Bracelet</v>
      </c>
      <c r="G122" s="21" t="str">
        <f aca="false">IFERROR(VLOOKUP(Variants!$B123,Designs!$A$3:$AP$165,12,FALSE())&amp;", enamel","")</f>
        <v>925 Silver Gold-Plated, enamel</v>
      </c>
      <c r="H122" s="21" t="str">
        <f aca="false">IF(Variants!$B123="","","I did")</f>
        <v>I did</v>
      </c>
      <c r="I122" s="21" t="str">
        <f aca="false">IF(Variants!$B123="","","Made to order")</f>
        <v>Made to order</v>
      </c>
      <c r="J122" s="21" t="str">
        <f aca="false">IF(Variants!$D123="","",Variants!$D123)</f>
        <v>Bracelet</v>
      </c>
      <c r="K122" s="21" t="str">
        <f aca="false">IF(Variants!$Y123="","",Variants!$Y123)</f>
        <v/>
      </c>
      <c r="L122" s="21" t="str">
        <f aca="false">IF(Variants!$H123="","",Variants!$H123)</f>
        <v>red</v>
      </c>
      <c r="M122" s="21" t="str">
        <f aca="false">IF(Variants!$G123="","",Variants!$G123)</f>
        <v/>
      </c>
    </row>
    <row r="123" customFormat="false" ht="15.75" hidden="false" customHeight="true" outlineLevel="0" collapsed="false">
      <c r="A123" s="21" t="str">
        <f aca="false">IF(Variants!$B124="","",Variants!$C124&amp;" — "&amp;Variants!$E124&amp;IF(Variants!$F124=""," "," "&amp;Variants!$F124)&amp;" — "&amp;Variants!$H124)</f>
        <v>Bird Letter Bracelet — Alphabet Գ — turquoise</v>
      </c>
      <c r="B123" s="21" t="str">
        <f aca="false">IFERROR(IF(Variants!$B124="","",VLOOKUP(Variants!$B124,Designs!$A$3:$AP$165,9,FALSE())&amp;" Handmade in Armenia."),"")</f>
        <v>Bird letters are an ornamental medieval Armenian script where each letter is formed from stylised birds, used in illuminated manuscripts. Handmade in Armenia.</v>
      </c>
      <c r="C123" s="18" t="n">
        <f aca="false">IF(Variants!$J124="","",Variants!$J124)</f>
        <v>49.4</v>
      </c>
      <c r="D123" s="21" t="n">
        <f aca="false">IF(Variants!$O124="","",Variants!$O124)</f>
        <v>0</v>
      </c>
      <c r="E123" s="21" t="str">
        <f aca="false">Variants!$A124</f>
        <v>KARNI-BRAC-ALPHA-GIM-TURQUOISE</v>
      </c>
      <c r="F123" s="21" t="str">
        <f aca="false">IF(Variants!$E124="","",Variants!$E124&amp;", Armenian, handmade, enamel, "&amp;Variants!$D124)</f>
        <v>Alphabet, Armenian, handmade, enamel, Bracelet</v>
      </c>
      <c r="G123" s="21" t="str">
        <f aca="false">IFERROR(VLOOKUP(Variants!$B124,Designs!$A$3:$AP$165,12,FALSE())&amp;", enamel","")</f>
        <v>925 Silver Gold-Plated, enamel</v>
      </c>
      <c r="H123" s="21" t="str">
        <f aca="false">IF(Variants!$B124="","","I did")</f>
        <v>I did</v>
      </c>
      <c r="I123" s="21" t="str">
        <f aca="false">IF(Variants!$B124="","","Made to order")</f>
        <v>Made to order</v>
      </c>
      <c r="J123" s="21" t="str">
        <f aca="false">IF(Variants!$D124="","",Variants!$D124)</f>
        <v>Bracelet</v>
      </c>
      <c r="K123" s="21" t="str">
        <f aca="false">IF(Variants!$Y124="","",Variants!$Y124)</f>
        <v/>
      </c>
      <c r="L123" s="21" t="str">
        <f aca="false">IF(Variants!$H124="","",Variants!$H124)</f>
        <v>turquoise</v>
      </c>
      <c r="M123" s="21" t="str">
        <f aca="false">IF(Variants!$G124="","",Variants!$G124)</f>
        <v/>
      </c>
    </row>
    <row r="124" customFormat="false" ht="15.75" hidden="false" customHeight="true" outlineLevel="0" collapsed="false">
      <c r="A124" s="21" t="str">
        <f aca="false">IF(Variants!$B125="","",Variants!$C125&amp;" — "&amp;Variants!$E125&amp;IF(Variants!$F125=""," "," "&amp;Variants!$F125)&amp;" — "&amp;Variants!$H125)</f>
        <v>Bird Letter Bracelet — Alphabet Գ — white</v>
      </c>
      <c r="B124" s="21" t="str">
        <f aca="false">IFERROR(IF(Variants!$B125="","",VLOOKUP(Variants!$B125,Designs!$A$3:$AP$165,9,FALSE())&amp;" Handmade in Armenia."),"")</f>
        <v>Bird letters are an ornamental medieval Armenian script where each letter is formed from stylised birds, used in illuminated manuscripts. Handmade in Armenia.</v>
      </c>
      <c r="C124" s="18" t="n">
        <f aca="false">IF(Variants!$J125="","",Variants!$J125)</f>
        <v>49.4</v>
      </c>
      <c r="D124" s="21" t="n">
        <f aca="false">IF(Variants!$O125="","",Variants!$O125)</f>
        <v>0</v>
      </c>
      <c r="E124" s="21" t="str">
        <f aca="false">Variants!$A125</f>
        <v>KARNI-BRAC-ALPHA-GIM-WHITE</v>
      </c>
      <c r="F124" s="21" t="str">
        <f aca="false">IF(Variants!$E125="","",Variants!$E125&amp;", Armenian, handmade, enamel, "&amp;Variants!$D125)</f>
        <v>Alphabet, Armenian, handmade, enamel, Bracelet</v>
      </c>
      <c r="G124" s="21" t="str">
        <f aca="false">IFERROR(VLOOKUP(Variants!$B125,Designs!$A$3:$AP$165,12,FALSE())&amp;", enamel","")</f>
        <v>925 Silver Gold-Plated, enamel</v>
      </c>
      <c r="H124" s="21" t="str">
        <f aca="false">IF(Variants!$B125="","","I did")</f>
        <v>I did</v>
      </c>
      <c r="I124" s="21" t="str">
        <f aca="false">IF(Variants!$B125="","","Made to order")</f>
        <v>Made to order</v>
      </c>
      <c r="J124" s="21" t="str">
        <f aca="false">IF(Variants!$D125="","",Variants!$D125)</f>
        <v>Bracelet</v>
      </c>
      <c r="K124" s="21" t="str">
        <f aca="false">IF(Variants!$Y125="","",Variants!$Y125)</f>
        <v/>
      </c>
      <c r="L124" s="21" t="str">
        <f aca="false">IF(Variants!$H125="","",Variants!$H125)</f>
        <v>white</v>
      </c>
      <c r="M124" s="21" t="str">
        <f aca="false">IF(Variants!$G125="","",Variants!$G125)</f>
        <v/>
      </c>
    </row>
    <row r="125" customFormat="false" ht="15.75" hidden="false" customHeight="true" outlineLevel="0" collapsed="false">
      <c r="A125" s="21" t="str">
        <f aca="false">IF(Variants!$B126="","",Variants!$C126&amp;" — "&amp;Variants!$E126&amp;IF(Variants!$F126=""," "," "&amp;Variants!$F126)&amp;" — "&amp;Variants!$H126)</f>
        <v>Bird Letter Bracelet — Alphabet Դ — red</v>
      </c>
      <c r="B125" s="21" t="str">
        <f aca="false">IFERROR(IF(Variants!$B126="","",VLOOKUP(Variants!$B126,Designs!$A$3:$AP$165,9,FALSE())&amp;" Handmade in Armenia."),"")</f>
        <v>Bird letters are an ornamental medieval Armenian script where each letter is formed from stylised birds, used in illuminated manuscripts. Handmade in Armenia.</v>
      </c>
      <c r="C125" s="18" t="n">
        <f aca="false">IF(Variants!$J126="","",Variants!$J126)</f>
        <v>49.4</v>
      </c>
      <c r="D125" s="21" t="n">
        <f aca="false">IF(Variants!$O126="","",Variants!$O126)</f>
        <v>0</v>
      </c>
      <c r="E125" s="21" t="str">
        <f aca="false">Variants!$A126</f>
        <v>KARNI-BRAC-ALPHA-DA-RED</v>
      </c>
      <c r="F125" s="21" t="str">
        <f aca="false">IF(Variants!$E126="","",Variants!$E126&amp;", Armenian, handmade, enamel, "&amp;Variants!$D126)</f>
        <v>Alphabet, Armenian, handmade, enamel, Bracelet</v>
      </c>
      <c r="G125" s="21" t="str">
        <f aca="false">IFERROR(VLOOKUP(Variants!$B126,Designs!$A$3:$AP$165,12,FALSE())&amp;", enamel","")</f>
        <v>925 Silver Gold-Plated, enamel</v>
      </c>
      <c r="H125" s="21" t="str">
        <f aca="false">IF(Variants!$B126="","","I did")</f>
        <v>I did</v>
      </c>
      <c r="I125" s="21" t="str">
        <f aca="false">IF(Variants!$B126="","","Made to order")</f>
        <v>Made to order</v>
      </c>
      <c r="J125" s="21" t="str">
        <f aca="false">IF(Variants!$D126="","",Variants!$D126)</f>
        <v>Bracelet</v>
      </c>
      <c r="K125" s="21" t="str">
        <f aca="false">IF(Variants!$Y126="","",Variants!$Y126)</f>
        <v/>
      </c>
      <c r="L125" s="21" t="str">
        <f aca="false">IF(Variants!$H126="","",Variants!$H126)</f>
        <v>red</v>
      </c>
      <c r="M125" s="21" t="str">
        <f aca="false">IF(Variants!$G126="","",Variants!$G126)</f>
        <v/>
      </c>
    </row>
    <row r="126" customFormat="false" ht="15.75" hidden="false" customHeight="true" outlineLevel="0" collapsed="false">
      <c r="A126" s="21" t="str">
        <f aca="false">IF(Variants!$B127="","",Variants!$C127&amp;" — "&amp;Variants!$E127&amp;IF(Variants!$F127=""," "," "&amp;Variants!$F127)&amp;" — "&amp;Variants!$H127)</f>
        <v>Bird Letter Bracelet — Alphabet Դ — turquoise</v>
      </c>
      <c r="B126" s="21" t="str">
        <f aca="false">IFERROR(IF(Variants!$B127="","",VLOOKUP(Variants!$B127,Designs!$A$3:$AP$165,9,FALSE())&amp;" Handmade in Armenia."),"")</f>
        <v>Bird letters are an ornamental medieval Armenian script where each letter is formed from stylised birds, used in illuminated manuscripts. Handmade in Armenia.</v>
      </c>
      <c r="C126" s="18" t="n">
        <f aca="false">IF(Variants!$J127="","",Variants!$J127)</f>
        <v>49.4</v>
      </c>
      <c r="D126" s="21" t="n">
        <f aca="false">IF(Variants!$O127="","",Variants!$O127)</f>
        <v>0</v>
      </c>
      <c r="E126" s="21" t="str">
        <f aca="false">Variants!$A127</f>
        <v>KARNI-BRAC-ALPHA-DA-TURQUOISE</v>
      </c>
      <c r="F126" s="21" t="str">
        <f aca="false">IF(Variants!$E127="","",Variants!$E127&amp;", Armenian, handmade, enamel, "&amp;Variants!$D127)</f>
        <v>Alphabet, Armenian, handmade, enamel, Bracelet</v>
      </c>
      <c r="G126" s="21" t="str">
        <f aca="false">IFERROR(VLOOKUP(Variants!$B127,Designs!$A$3:$AP$165,12,FALSE())&amp;", enamel","")</f>
        <v>925 Silver Gold-Plated, enamel</v>
      </c>
      <c r="H126" s="21" t="str">
        <f aca="false">IF(Variants!$B127="","","I did")</f>
        <v>I did</v>
      </c>
      <c r="I126" s="21" t="str">
        <f aca="false">IF(Variants!$B127="","","Made to order")</f>
        <v>Made to order</v>
      </c>
      <c r="J126" s="21" t="str">
        <f aca="false">IF(Variants!$D127="","",Variants!$D127)</f>
        <v>Bracelet</v>
      </c>
      <c r="K126" s="21" t="str">
        <f aca="false">IF(Variants!$Y127="","",Variants!$Y127)</f>
        <v/>
      </c>
      <c r="L126" s="21" t="str">
        <f aca="false">IF(Variants!$H127="","",Variants!$H127)</f>
        <v>turquoise</v>
      </c>
      <c r="M126" s="21" t="str">
        <f aca="false">IF(Variants!$G127="","",Variants!$G127)</f>
        <v/>
      </c>
    </row>
    <row r="127" customFormat="false" ht="15.75" hidden="false" customHeight="true" outlineLevel="0" collapsed="false">
      <c r="A127" s="21" t="str">
        <f aca="false">IF(Variants!$B128="","",Variants!$C128&amp;" — "&amp;Variants!$E128&amp;IF(Variants!$F128=""," "," "&amp;Variants!$F128)&amp;" — "&amp;Variants!$H128)</f>
        <v>Bird Letter Bracelet — Alphabet Դ — white</v>
      </c>
      <c r="B127" s="21" t="str">
        <f aca="false">IFERROR(IF(Variants!$B128="","",VLOOKUP(Variants!$B128,Designs!$A$3:$AP$165,9,FALSE())&amp;" Handmade in Armenia."),"")</f>
        <v>Bird letters are an ornamental medieval Armenian script where each letter is formed from stylised birds, used in illuminated manuscripts. Handmade in Armenia.</v>
      </c>
      <c r="C127" s="18" t="n">
        <f aca="false">IF(Variants!$J128="","",Variants!$J128)</f>
        <v>49.4</v>
      </c>
      <c r="D127" s="21" t="n">
        <f aca="false">IF(Variants!$O128="","",Variants!$O128)</f>
        <v>0</v>
      </c>
      <c r="E127" s="21" t="str">
        <f aca="false">Variants!$A128</f>
        <v>KARNI-BRAC-ALPHA-DA-WHITE</v>
      </c>
      <c r="F127" s="21" t="str">
        <f aca="false">IF(Variants!$E128="","",Variants!$E128&amp;", Armenian, handmade, enamel, "&amp;Variants!$D128)</f>
        <v>Alphabet, Armenian, handmade, enamel, Bracelet</v>
      </c>
      <c r="G127" s="21" t="str">
        <f aca="false">IFERROR(VLOOKUP(Variants!$B128,Designs!$A$3:$AP$165,12,FALSE())&amp;", enamel","")</f>
        <v>925 Silver Gold-Plated, enamel</v>
      </c>
      <c r="H127" s="21" t="str">
        <f aca="false">IF(Variants!$B128="","","I did")</f>
        <v>I did</v>
      </c>
      <c r="I127" s="21" t="str">
        <f aca="false">IF(Variants!$B128="","","Made to order")</f>
        <v>Made to order</v>
      </c>
      <c r="J127" s="21" t="str">
        <f aca="false">IF(Variants!$D128="","",Variants!$D128)</f>
        <v>Bracelet</v>
      </c>
      <c r="K127" s="21" t="str">
        <f aca="false">IF(Variants!$Y128="","",Variants!$Y128)</f>
        <v/>
      </c>
      <c r="L127" s="21" t="str">
        <f aca="false">IF(Variants!$H128="","",Variants!$H128)</f>
        <v>white</v>
      </c>
      <c r="M127" s="21" t="str">
        <f aca="false">IF(Variants!$G128="","",Variants!$G128)</f>
        <v/>
      </c>
    </row>
    <row r="128" customFormat="false" ht="15.75" hidden="false" customHeight="true" outlineLevel="0" collapsed="false">
      <c r="A128" s="21" t="str">
        <f aca="false">IF(Variants!$B129="","",Variants!$C129&amp;" — "&amp;Variants!$E129&amp;IF(Variants!$F129=""," "," "&amp;Variants!$F129)&amp;" — "&amp;Variants!$H129)</f>
        <v>Bird Letter Bracelet — Alphabet Ե — red</v>
      </c>
      <c r="B128" s="21" t="str">
        <f aca="false">IFERROR(IF(Variants!$B129="","",VLOOKUP(Variants!$B129,Designs!$A$3:$AP$165,9,FALSE())&amp;" Handmade in Armenia."),"")</f>
        <v>Bird letters are an ornamental medieval Armenian script where each letter is formed from stylised birds, used in illuminated manuscripts. Handmade in Armenia.</v>
      </c>
      <c r="C128" s="18" t="n">
        <f aca="false">IF(Variants!$J129="","",Variants!$J129)</f>
        <v>49.4</v>
      </c>
      <c r="D128" s="21" t="n">
        <f aca="false">IF(Variants!$O129="","",Variants!$O129)</f>
        <v>0</v>
      </c>
      <c r="E128" s="21" t="str">
        <f aca="false">Variants!$A129</f>
        <v>KARNI-BRAC-ALPHA-YECH-RED</v>
      </c>
      <c r="F128" s="21" t="str">
        <f aca="false">IF(Variants!$E129="","",Variants!$E129&amp;", Armenian, handmade, enamel, "&amp;Variants!$D129)</f>
        <v>Alphabet, Armenian, handmade, enamel, Bracelet</v>
      </c>
      <c r="G128" s="21" t="str">
        <f aca="false">IFERROR(VLOOKUP(Variants!$B129,Designs!$A$3:$AP$165,12,FALSE())&amp;", enamel","")</f>
        <v>925 Silver Gold-Plated, enamel</v>
      </c>
      <c r="H128" s="21" t="str">
        <f aca="false">IF(Variants!$B129="","","I did")</f>
        <v>I did</v>
      </c>
      <c r="I128" s="21" t="str">
        <f aca="false">IF(Variants!$B129="","","Made to order")</f>
        <v>Made to order</v>
      </c>
      <c r="J128" s="21" t="str">
        <f aca="false">IF(Variants!$D129="","",Variants!$D129)</f>
        <v>Bracelet</v>
      </c>
      <c r="K128" s="21" t="str">
        <f aca="false">IF(Variants!$Y129="","",Variants!$Y129)</f>
        <v/>
      </c>
      <c r="L128" s="21" t="str">
        <f aca="false">IF(Variants!$H129="","",Variants!$H129)</f>
        <v>red</v>
      </c>
      <c r="M128" s="21" t="str">
        <f aca="false">IF(Variants!$G129="","",Variants!$G129)</f>
        <v/>
      </c>
    </row>
    <row r="129" customFormat="false" ht="15.75" hidden="false" customHeight="true" outlineLevel="0" collapsed="false">
      <c r="A129" s="21" t="str">
        <f aca="false">IF(Variants!$B130="","",Variants!$C130&amp;" — "&amp;Variants!$E130&amp;IF(Variants!$F130=""," "," "&amp;Variants!$F130)&amp;" — "&amp;Variants!$H130)</f>
        <v>Bird Letter Bracelet — Alphabet Ե — turquoise</v>
      </c>
      <c r="B129" s="21" t="str">
        <f aca="false">IFERROR(IF(Variants!$B130="","",VLOOKUP(Variants!$B130,Designs!$A$3:$AP$165,9,FALSE())&amp;" Handmade in Armenia."),"")</f>
        <v>Bird letters are an ornamental medieval Armenian script where each letter is formed from stylised birds, used in illuminated manuscripts. Handmade in Armenia.</v>
      </c>
      <c r="C129" s="18" t="n">
        <f aca="false">IF(Variants!$J130="","",Variants!$J130)</f>
        <v>49.4</v>
      </c>
      <c r="D129" s="21" t="n">
        <f aca="false">IF(Variants!$O130="","",Variants!$O130)</f>
        <v>0</v>
      </c>
      <c r="E129" s="21" t="str">
        <f aca="false">Variants!$A130</f>
        <v>KARNI-BRAC-ALPHA-YECH-TURQUOISE</v>
      </c>
      <c r="F129" s="21" t="str">
        <f aca="false">IF(Variants!$E130="","",Variants!$E130&amp;", Armenian, handmade, enamel, "&amp;Variants!$D130)</f>
        <v>Alphabet, Armenian, handmade, enamel, Bracelet</v>
      </c>
      <c r="G129" s="21" t="str">
        <f aca="false">IFERROR(VLOOKUP(Variants!$B130,Designs!$A$3:$AP$165,12,FALSE())&amp;", enamel","")</f>
        <v>925 Silver Gold-Plated, enamel</v>
      </c>
      <c r="H129" s="21" t="str">
        <f aca="false">IF(Variants!$B130="","","I did")</f>
        <v>I did</v>
      </c>
      <c r="I129" s="21" t="str">
        <f aca="false">IF(Variants!$B130="","","Made to order")</f>
        <v>Made to order</v>
      </c>
      <c r="J129" s="21" t="str">
        <f aca="false">IF(Variants!$D130="","",Variants!$D130)</f>
        <v>Bracelet</v>
      </c>
      <c r="K129" s="21" t="str">
        <f aca="false">IF(Variants!$Y130="","",Variants!$Y130)</f>
        <v/>
      </c>
      <c r="L129" s="21" t="str">
        <f aca="false">IF(Variants!$H130="","",Variants!$H130)</f>
        <v>turquoise</v>
      </c>
      <c r="M129" s="21" t="str">
        <f aca="false">IF(Variants!$G130="","",Variants!$G130)</f>
        <v/>
      </c>
    </row>
    <row r="130" customFormat="false" ht="15.75" hidden="false" customHeight="true" outlineLevel="0" collapsed="false">
      <c r="A130" s="21" t="str">
        <f aca="false">IF(Variants!$B131="","",Variants!$C131&amp;" — "&amp;Variants!$E131&amp;IF(Variants!$F131=""," "," "&amp;Variants!$F131)&amp;" — "&amp;Variants!$H131)</f>
        <v>Bird Letter Bracelet — Alphabet Ե — white</v>
      </c>
      <c r="B130" s="21" t="str">
        <f aca="false">IFERROR(IF(Variants!$B131="","",VLOOKUP(Variants!$B131,Designs!$A$3:$AP$165,9,FALSE())&amp;" Handmade in Armenia."),"")</f>
        <v>Bird letters are an ornamental medieval Armenian script where each letter is formed from stylised birds, used in illuminated manuscripts. Handmade in Armenia.</v>
      </c>
      <c r="C130" s="18" t="n">
        <f aca="false">IF(Variants!$J131="","",Variants!$J131)</f>
        <v>49.4</v>
      </c>
      <c r="D130" s="21" t="n">
        <f aca="false">IF(Variants!$O131="","",Variants!$O131)</f>
        <v>0</v>
      </c>
      <c r="E130" s="21" t="str">
        <f aca="false">Variants!$A131</f>
        <v>KARNI-BRAC-ALPHA-YECH-WHITE</v>
      </c>
      <c r="F130" s="21" t="str">
        <f aca="false">IF(Variants!$E131="","",Variants!$E131&amp;", Armenian, handmade, enamel, "&amp;Variants!$D131)</f>
        <v>Alphabet, Armenian, handmade, enamel, Bracelet</v>
      </c>
      <c r="G130" s="21" t="str">
        <f aca="false">IFERROR(VLOOKUP(Variants!$B131,Designs!$A$3:$AP$165,12,FALSE())&amp;", enamel","")</f>
        <v>925 Silver Gold-Plated, enamel</v>
      </c>
      <c r="H130" s="21" t="str">
        <f aca="false">IF(Variants!$B131="","","I did")</f>
        <v>I did</v>
      </c>
      <c r="I130" s="21" t="str">
        <f aca="false">IF(Variants!$B131="","","Made to order")</f>
        <v>Made to order</v>
      </c>
      <c r="J130" s="21" t="str">
        <f aca="false">IF(Variants!$D131="","",Variants!$D131)</f>
        <v>Bracelet</v>
      </c>
      <c r="K130" s="21" t="str">
        <f aca="false">IF(Variants!$Y131="","",Variants!$Y131)</f>
        <v/>
      </c>
      <c r="L130" s="21" t="str">
        <f aca="false">IF(Variants!$H131="","",Variants!$H131)</f>
        <v>white</v>
      </c>
      <c r="M130" s="21" t="str">
        <f aca="false">IF(Variants!$G131="","",Variants!$G131)</f>
        <v/>
      </c>
    </row>
    <row r="131" customFormat="false" ht="15.75" hidden="false" customHeight="true" outlineLevel="0" collapsed="false">
      <c r="A131" s="21" t="str">
        <f aca="false">IF(Variants!$B132="","",Variants!$C132&amp;" — "&amp;Variants!$E132&amp;IF(Variants!$F132=""," "," "&amp;Variants!$F132)&amp;" — "&amp;Variants!$H132)</f>
        <v>Bird Letter Bracelet — Alphabet Զ — red</v>
      </c>
      <c r="B131" s="21" t="str">
        <f aca="false">IFERROR(IF(Variants!$B132="","",VLOOKUP(Variants!$B132,Designs!$A$3:$AP$165,9,FALSE())&amp;" Handmade in Armenia."),"")</f>
        <v>Bird letters are an ornamental medieval Armenian script where each letter is formed from stylised birds, used in illuminated manuscripts. Handmade in Armenia.</v>
      </c>
      <c r="C131" s="18" t="n">
        <f aca="false">IF(Variants!$J132="","",Variants!$J132)</f>
        <v>49.4</v>
      </c>
      <c r="D131" s="21" t="n">
        <f aca="false">IF(Variants!$O132="","",Variants!$O132)</f>
        <v>0</v>
      </c>
      <c r="E131" s="21" t="str">
        <f aca="false">Variants!$A132</f>
        <v>KARNI-BRAC-ALPHA-ZA-RED</v>
      </c>
      <c r="F131" s="21" t="str">
        <f aca="false">IF(Variants!$E132="","",Variants!$E132&amp;", Armenian, handmade, enamel, "&amp;Variants!$D132)</f>
        <v>Alphabet, Armenian, handmade, enamel, Bracelet</v>
      </c>
      <c r="G131" s="21" t="str">
        <f aca="false">IFERROR(VLOOKUP(Variants!$B132,Designs!$A$3:$AP$165,12,FALSE())&amp;", enamel","")</f>
        <v>925 Silver Gold-Plated, enamel</v>
      </c>
      <c r="H131" s="21" t="str">
        <f aca="false">IF(Variants!$B132="","","I did")</f>
        <v>I did</v>
      </c>
      <c r="I131" s="21" t="str">
        <f aca="false">IF(Variants!$B132="","","Made to order")</f>
        <v>Made to order</v>
      </c>
      <c r="J131" s="21" t="str">
        <f aca="false">IF(Variants!$D132="","",Variants!$D132)</f>
        <v>Bracelet</v>
      </c>
      <c r="K131" s="21" t="str">
        <f aca="false">IF(Variants!$Y132="","",Variants!$Y132)</f>
        <v/>
      </c>
      <c r="L131" s="21" t="str">
        <f aca="false">IF(Variants!$H132="","",Variants!$H132)</f>
        <v>red</v>
      </c>
      <c r="M131" s="21" t="str">
        <f aca="false">IF(Variants!$G132="","",Variants!$G132)</f>
        <v/>
      </c>
    </row>
    <row r="132" customFormat="false" ht="15.75" hidden="false" customHeight="true" outlineLevel="0" collapsed="false">
      <c r="A132" s="21" t="str">
        <f aca="false">IF(Variants!$B133="","",Variants!$C133&amp;" — "&amp;Variants!$E133&amp;IF(Variants!$F133=""," "," "&amp;Variants!$F133)&amp;" — "&amp;Variants!$H133)</f>
        <v>Bird Letter Bracelet — Alphabet Զ — turquoise</v>
      </c>
      <c r="B132" s="21" t="str">
        <f aca="false">IFERROR(IF(Variants!$B133="","",VLOOKUP(Variants!$B133,Designs!$A$3:$AP$165,9,FALSE())&amp;" Handmade in Armenia."),"")</f>
        <v>Bird letters are an ornamental medieval Armenian script where each letter is formed from stylised birds, used in illuminated manuscripts. Handmade in Armenia.</v>
      </c>
      <c r="C132" s="18" t="n">
        <f aca="false">IF(Variants!$J133="","",Variants!$J133)</f>
        <v>49.4</v>
      </c>
      <c r="D132" s="21" t="n">
        <f aca="false">IF(Variants!$O133="","",Variants!$O133)</f>
        <v>0</v>
      </c>
      <c r="E132" s="21" t="str">
        <f aca="false">Variants!$A133</f>
        <v>KARNI-BRAC-ALPHA-ZA-TURQUOISE</v>
      </c>
      <c r="F132" s="21" t="str">
        <f aca="false">IF(Variants!$E133="","",Variants!$E133&amp;", Armenian, handmade, enamel, "&amp;Variants!$D133)</f>
        <v>Alphabet, Armenian, handmade, enamel, Bracelet</v>
      </c>
      <c r="G132" s="21" t="str">
        <f aca="false">IFERROR(VLOOKUP(Variants!$B133,Designs!$A$3:$AP$165,12,FALSE())&amp;", enamel","")</f>
        <v>925 Silver Gold-Plated, enamel</v>
      </c>
      <c r="H132" s="21" t="str">
        <f aca="false">IF(Variants!$B133="","","I did")</f>
        <v>I did</v>
      </c>
      <c r="I132" s="21" t="str">
        <f aca="false">IF(Variants!$B133="","","Made to order")</f>
        <v>Made to order</v>
      </c>
      <c r="J132" s="21" t="str">
        <f aca="false">IF(Variants!$D133="","",Variants!$D133)</f>
        <v>Bracelet</v>
      </c>
      <c r="K132" s="21" t="str">
        <f aca="false">IF(Variants!$Y133="","",Variants!$Y133)</f>
        <v/>
      </c>
      <c r="L132" s="21" t="str">
        <f aca="false">IF(Variants!$H133="","",Variants!$H133)</f>
        <v>turquoise</v>
      </c>
      <c r="M132" s="21" t="str">
        <f aca="false">IF(Variants!$G133="","",Variants!$G133)</f>
        <v/>
      </c>
    </row>
    <row r="133" customFormat="false" ht="15.75" hidden="false" customHeight="true" outlineLevel="0" collapsed="false">
      <c r="A133" s="21" t="str">
        <f aca="false">IF(Variants!$B134="","",Variants!$C134&amp;" — "&amp;Variants!$E134&amp;IF(Variants!$F134=""," "," "&amp;Variants!$F134)&amp;" — "&amp;Variants!$H134)</f>
        <v>Bird Letter Bracelet — Alphabet Զ — white</v>
      </c>
      <c r="B133" s="21" t="str">
        <f aca="false">IFERROR(IF(Variants!$B134="","",VLOOKUP(Variants!$B134,Designs!$A$3:$AP$165,9,FALSE())&amp;" Handmade in Armenia."),"")</f>
        <v>Bird letters are an ornamental medieval Armenian script where each letter is formed from stylised birds, used in illuminated manuscripts. Handmade in Armenia.</v>
      </c>
      <c r="C133" s="18" t="n">
        <f aca="false">IF(Variants!$J134="","",Variants!$J134)</f>
        <v>49.4</v>
      </c>
      <c r="D133" s="21" t="n">
        <f aca="false">IF(Variants!$O134="","",Variants!$O134)</f>
        <v>0</v>
      </c>
      <c r="E133" s="21" t="str">
        <f aca="false">Variants!$A134</f>
        <v>KARNI-BRAC-ALPHA-ZA-WHITE</v>
      </c>
      <c r="F133" s="21" t="str">
        <f aca="false">IF(Variants!$E134="","",Variants!$E134&amp;", Armenian, handmade, enamel, "&amp;Variants!$D134)</f>
        <v>Alphabet, Armenian, handmade, enamel, Bracelet</v>
      </c>
      <c r="G133" s="21" t="str">
        <f aca="false">IFERROR(VLOOKUP(Variants!$B134,Designs!$A$3:$AP$165,12,FALSE())&amp;", enamel","")</f>
        <v>925 Silver Gold-Plated, enamel</v>
      </c>
      <c r="H133" s="21" t="str">
        <f aca="false">IF(Variants!$B134="","","I did")</f>
        <v>I did</v>
      </c>
      <c r="I133" s="21" t="str">
        <f aca="false">IF(Variants!$B134="","","Made to order")</f>
        <v>Made to order</v>
      </c>
      <c r="J133" s="21" t="str">
        <f aca="false">IF(Variants!$D134="","",Variants!$D134)</f>
        <v>Bracelet</v>
      </c>
      <c r="K133" s="21" t="str">
        <f aca="false">IF(Variants!$Y134="","",Variants!$Y134)</f>
        <v/>
      </c>
      <c r="L133" s="21" t="str">
        <f aca="false">IF(Variants!$H134="","",Variants!$H134)</f>
        <v>white</v>
      </c>
      <c r="M133" s="21" t="str">
        <f aca="false">IF(Variants!$G134="","",Variants!$G134)</f>
        <v/>
      </c>
    </row>
    <row r="134" customFormat="false" ht="15.75" hidden="false" customHeight="true" outlineLevel="0" collapsed="false">
      <c r="A134" s="21" t="str">
        <f aca="false">IF(Variants!$B135="","",Variants!$C135&amp;" — "&amp;Variants!$E135&amp;IF(Variants!$F135=""," "," "&amp;Variants!$F135)&amp;" — "&amp;Variants!$H135)</f>
        <v>Bird Letter Bracelet — Alphabet Է — red</v>
      </c>
      <c r="B134" s="21" t="str">
        <f aca="false">IFERROR(IF(Variants!$B135="","",VLOOKUP(Variants!$B135,Designs!$A$3:$AP$165,9,FALSE())&amp;" Handmade in Armenia."),"")</f>
        <v>Bird letters are an ornamental medieval Armenian script where each letter is formed from stylised birds, used in illuminated manuscripts. Handmade in Armenia.</v>
      </c>
      <c r="C134" s="18" t="n">
        <f aca="false">IF(Variants!$J135="","",Variants!$J135)</f>
        <v>49.4</v>
      </c>
      <c r="D134" s="21" t="n">
        <f aca="false">IF(Variants!$O135="","",Variants!$O135)</f>
        <v>0</v>
      </c>
      <c r="E134" s="21" t="str">
        <f aca="false">Variants!$A135</f>
        <v>KARNI-BRAC-ALPHA-E-RED</v>
      </c>
      <c r="F134" s="21" t="str">
        <f aca="false">IF(Variants!$E135="","",Variants!$E135&amp;", Armenian, handmade, enamel, "&amp;Variants!$D135)</f>
        <v>Alphabet, Armenian, handmade, enamel, Bracelet</v>
      </c>
      <c r="G134" s="21" t="str">
        <f aca="false">IFERROR(VLOOKUP(Variants!$B135,Designs!$A$3:$AP$165,12,FALSE())&amp;", enamel","")</f>
        <v>925 Silver Gold-Plated, enamel</v>
      </c>
      <c r="H134" s="21" t="str">
        <f aca="false">IF(Variants!$B135="","","I did")</f>
        <v>I did</v>
      </c>
      <c r="I134" s="21" t="str">
        <f aca="false">IF(Variants!$B135="","","Made to order")</f>
        <v>Made to order</v>
      </c>
      <c r="J134" s="21" t="str">
        <f aca="false">IF(Variants!$D135="","",Variants!$D135)</f>
        <v>Bracelet</v>
      </c>
      <c r="K134" s="21" t="str">
        <f aca="false">IF(Variants!$Y135="","",Variants!$Y135)</f>
        <v/>
      </c>
      <c r="L134" s="21" t="str">
        <f aca="false">IF(Variants!$H135="","",Variants!$H135)</f>
        <v>red</v>
      </c>
      <c r="M134" s="21" t="str">
        <f aca="false">IF(Variants!$G135="","",Variants!$G135)</f>
        <v/>
      </c>
    </row>
    <row r="135" customFormat="false" ht="15.75" hidden="false" customHeight="true" outlineLevel="0" collapsed="false">
      <c r="A135" s="21" t="str">
        <f aca="false">IF(Variants!$B136="","",Variants!$C136&amp;" — "&amp;Variants!$E136&amp;IF(Variants!$F136=""," "," "&amp;Variants!$F136)&amp;" — "&amp;Variants!$H136)</f>
        <v>Bird Letter Bracelet — Alphabet Է — turquoise</v>
      </c>
      <c r="B135" s="21" t="str">
        <f aca="false">IFERROR(IF(Variants!$B136="","",VLOOKUP(Variants!$B136,Designs!$A$3:$AP$165,9,FALSE())&amp;" Handmade in Armenia."),"")</f>
        <v>Bird letters are an ornamental medieval Armenian script where each letter is formed from stylised birds, used in illuminated manuscripts. Handmade in Armenia.</v>
      </c>
      <c r="C135" s="18" t="n">
        <f aca="false">IF(Variants!$J136="","",Variants!$J136)</f>
        <v>49.4</v>
      </c>
      <c r="D135" s="21" t="n">
        <f aca="false">IF(Variants!$O136="","",Variants!$O136)</f>
        <v>0</v>
      </c>
      <c r="E135" s="21" t="str">
        <f aca="false">Variants!$A136</f>
        <v>KARNI-BRAC-ALPHA-E-TURQUOISE</v>
      </c>
      <c r="F135" s="21" t="str">
        <f aca="false">IF(Variants!$E136="","",Variants!$E136&amp;", Armenian, handmade, enamel, "&amp;Variants!$D136)</f>
        <v>Alphabet, Armenian, handmade, enamel, Bracelet</v>
      </c>
      <c r="G135" s="21" t="str">
        <f aca="false">IFERROR(VLOOKUP(Variants!$B136,Designs!$A$3:$AP$165,12,FALSE())&amp;", enamel","")</f>
        <v>925 Silver Gold-Plated, enamel</v>
      </c>
      <c r="H135" s="21" t="str">
        <f aca="false">IF(Variants!$B136="","","I did")</f>
        <v>I did</v>
      </c>
      <c r="I135" s="21" t="str">
        <f aca="false">IF(Variants!$B136="","","Made to order")</f>
        <v>Made to order</v>
      </c>
      <c r="J135" s="21" t="str">
        <f aca="false">IF(Variants!$D136="","",Variants!$D136)</f>
        <v>Bracelet</v>
      </c>
      <c r="K135" s="21" t="str">
        <f aca="false">IF(Variants!$Y136="","",Variants!$Y136)</f>
        <v/>
      </c>
      <c r="L135" s="21" t="str">
        <f aca="false">IF(Variants!$H136="","",Variants!$H136)</f>
        <v>turquoise</v>
      </c>
      <c r="M135" s="21" t="str">
        <f aca="false">IF(Variants!$G136="","",Variants!$G136)</f>
        <v/>
      </c>
    </row>
    <row r="136" customFormat="false" ht="15.75" hidden="false" customHeight="true" outlineLevel="0" collapsed="false">
      <c r="A136" s="21" t="str">
        <f aca="false">IF(Variants!$B137="","",Variants!$C137&amp;" — "&amp;Variants!$E137&amp;IF(Variants!$F137=""," "," "&amp;Variants!$F137)&amp;" — "&amp;Variants!$H137)</f>
        <v>Bird Letter Bracelet — Alphabet Է — white</v>
      </c>
      <c r="B136" s="21" t="str">
        <f aca="false">IFERROR(IF(Variants!$B137="","",VLOOKUP(Variants!$B137,Designs!$A$3:$AP$165,9,FALSE())&amp;" Handmade in Armenia."),"")</f>
        <v>Bird letters are an ornamental medieval Armenian script where each letter is formed from stylised birds, used in illuminated manuscripts. Handmade in Armenia.</v>
      </c>
      <c r="C136" s="18" t="n">
        <f aca="false">IF(Variants!$J137="","",Variants!$J137)</f>
        <v>49.4</v>
      </c>
      <c r="D136" s="21" t="n">
        <f aca="false">IF(Variants!$O137="","",Variants!$O137)</f>
        <v>0</v>
      </c>
      <c r="E136" s="21" t="str">
        <f aca="false">Variants!$A137</f>
        <v>KARNI-BRAC-ALPHA-E-WHITE</v>
      </c>
      <c r="F136" s="21" t="str">
        <f aca="false">IF(Variants!$E137="","",Variants!$E137&amp;", Armenian, handmade, enamel, "&amp;Variants!$D137)</f>
        <v>Alphabet, Armenian, handmade, enamel, Bracelet</v>
      </c>
      <c r="G136" s="21" t="str">
        <f aca="false">IFERROR(VLOOKUP(Variants!$B137,Designs!$A$3:$AP$165,12,FALSE())&amp;", enamel","")</f>
        <v>925 Silver Gold-Plated, enamel</v>
      </c>
      <c r="H136" s="21" t="str">
        <f aca="false">IF(Variants!$B137="","","I did")</f>
        <v>I did</v>
      </c>
      <c r="I136" s="21" t="str">
        <f aca="false">IF(Variants!$B137="","","Made to order")</f>
        <v>Made to order</v>
      </c>
      <c r="J136" s="21" t="str">
        <f aca="false">IF(Variants!$D137="","",Variants!$D137)</f>
        <v>Bracelet</v>
      </c>
      <c r="K136" s="21" t="str">
        <f aca="false">IF(Variants!$Y137="","",Variants!$Y137)</f>
        <v/>
      </c>
      <c r="L136" s="21" t="str">
        <f aca="false">IF(Variants!$H137="","",Variants!$H137)</f>
        <v>white</v>
      </c>
      <c r="M136" s="21" t="str">
        <f aca="false">IF(Variants!$G137="","",Variants!$G137)</f>
        <v/>
      </c>
    </row>
    <row r="137" customFormat="false" ht="15.75" hidden="false" customHeight="true" outlineLevel="0" collapsed="false">
      <c r="A137" s="21" t="str">
        <f aca="false">IF(Variants!$B138="","",Variants!$C138&amp;" — "&amp;Variants!$E138&amp;IF(Variants!$F138=""," "," "&amp;Variants!$F138)&amp;" — "&amp;Variants!$H138)</f>
        <v>Bird Letter Bracelet — Alphabet Ը — red</v>
      </c>
      <c r="B137" s="21" t="str">
        <f aca="false">IFERROR(IF(Variants!$B138="","",VLOOKUP(Variants!$B138,Designs!$A$3:$AP$165,9,FALSE())&amp;" Handmade in Armenia."),"")</f>
        <v>Bird letters are an ornamental medieval Armenian script where each letter is formed from stylised birds, used in illuminated manuscripts. Handmade in Armenia.</v>
      </c>
      <c r="C137" s="18" t="n">
        <f aca="false">IF(Variants!$J138="","",Variants!$J138)</f>
        <v>49.4</v>
      </c>
      <c r="D137" s="21" t="n">
        <f aca="false">IF(Variants!$O138="","",Variants!$O138)</f>
        <v>0</v>
      </c>
      <c r="E137" s="21" t="str">
        <f aca="false">Variants!$A138</f>
        <v>KARNI-BRAC-ALPHA-YT-RED</v>
      </c>
      <c r="F137" s="21" t="str">
        <f aca="false">IF(Variants!$E138="","",Variants!$E138&amp;", Armenian, handmade, enamel, "&amp;Variants!$D138)</f>
        <v>Alphabet, Armenian, handmade, enamel, Bracelet</v>
      </c>
      <c r="G137" s="21" t="str">
        <f aca="false">IFERROR(VLOOKUP(Variants!$B138,Designs!$A$3:$AP$165,12,FALSE())&amp;", enamel","")</f>
        <v>925 Silver Gold-Plated, enamel</v>
      </c>
      <c r="H137" s="21" t="str">
        <f aca="false">IF(Variants!$B138="","","I did")</f>
        <v>I did</v>
      </c>
      <c r="I137" s="21" t="str">
        <f aca="false">IF(Variants!$B138="","","Made to order")</f>
        <v>Made to order</v>
      </c>
      <c r="J137" s="21" t="str">
        <f aca="false">IF(Variants!$D138="","",Variants!$D138)</f>
        <v>Bracelet</v>
      </c>
      <c r="K137" s="21" t="str">
        <f aca="false">IF(Variants!$Y138="","",Variants!$Y138)</f>
        <v/>
      </c>
      <c r="L137" s="21" t="str">
        <f aca="false">IF(Variants!$H138="","",Variants!$H138)</f>
        <v>red</v>
      </c>
      <c r="M137" s="21" t="str">
        <f aca="false">IF(Variants!$G138="","",Variants!$G138)</f>
        <v/>
      </c>
    </row>
    <row r="138" customFormat="false" ht="15.75" hidden="false" customHeight="true" outlineLevel="0" collapsed="false">
      <c r="A138" s="21" t="str">
        <f aca="false">IF(Variants!$B139="","",Variants!$C139&amp;" — "&amp;Variants!$E139&amp;IF(Variants!$F139=""," "," "&amp;Variants!$F139)&amp;" — "&amp;Variants!$H139)</f>
        <v>Bird Letter Bracelet — Alphabet Ը — turquoise</v>
      </c>
      <c r="B138" s="21" t="str">
        <f aca="false">IFERROR(IF(Variants!$B139="","",VLOOKUP(Variants!$B139,Designs!$A$3:$AP$165,9,FALSE())&amp;" Handmade in Armenia."),"")</f>
        <v>Bird letters are an ornamental medieval Armenian script where each letter is formed from stylised birds, used in illuminated manuscripts. Handmade in Armenia.</v>
      </c>
      <c r="C138" s="18" t="n">
        <f aca="false">IF(Variants!$J139="","",Variants!$J139)</f>
        <v>49.4</v>
      </c>
      <c r="D138" s="21" t="n">
        <f aca="false">IF(Variants!$O139="","",Variants!$O139)</f>
        <v>0</v>
      </c>
      <c r="E138" s="21" t="str">
        <f aca="false">Variants!$A139</f>
        <v>KARNI-BRAC-ALPHA-YT-TURQUOISE</v>
      </c>
      <c r="F138" s="21" t="str">
        <f aca="false">IF(Variants!$E139="","",Variants!$E139&amp;", Armenian, handmade, enamel, "&amp;Variants!$D139)</f>
        <v>Alphabet, Armenian, handmade, enamel, Bracelet</v>
      </c>
      <c r="G138" s="21" t="str">
        <f aca="false">IFERROR(VLOOKUP(Variants!$B139,Designs!$A$3:$AP$165,12,FALSE())&amp;", enamel","")</f>
        <v>925 Silver Gold-Plated, enamel</v>
      </c>
      <c r="H138" s="21" t="str">
        <f aca="false">IF(Variants!$B139="","","I did")</f>
        <v>I did</v>
      </c>
      <c r="I138" s="21" t="str">
        <f aca="false">IF(Variants!$B139="","","Made to order")</f>
        <v>Made to order</v>
      </c>
      <c r="J138" s="21" t="str">
        <f aca="false">IF(Variants!$D139="","",Variants!$D139)</f>
        <v>Bracelet</v>
      </c>
      <c r="K138" s="21" t="str">
        <f aca="false">IF(Variants!$Y139="","",Variants!$Y139)</f>
        <v/>
      </c>
      <c r="L138" s="21" t="str">
        <f aca="false">IF(Variants!$H139="","",Variants!$H139)</f>
        <v>turquoise</v>
      </c>
      <c r="M138" s="21" t="str">
        <f aca="false">IF(Variants!$G139="","",Variants!$G139)</f>
        <v/>
      </c>
    </row>
    <row r="139" customFormat="false" ht="15.75" hidden="false" customHeight="true" outlineLevel="0" collapsed="false">
      <c r="A139" s="21" t="str">
        <f aca="false">IF(Variants!$B140="","",Variants!$C140&amp;" — "&amp;Variants!$E140&amp;IF(Variants!$F140=""," "," "&amp;Variants!$F140)&amp;" — "&amp;Variants!$H140)</f>
        <v>Bird Letter Bracelet — Alphabet Ը — white</v>
      </c>
      <c r="B139" s="21" t="str">
        <f aca="false">IFERROR(IF(Variants!$B140="","",VLOOKUP(Variants!$B140,Designs!$A$3:$AP$165,9,FALSE())&amp;" Handmade in Armenia."),"")</f>
        <v>Bird letters are an ornamental medieval Armenian script where each letter is formed from stylised birds, used in illuminated manuscripts. Handmade in Armenia.</v>
      </c>
      <c r="C139" s="18" t="n">
        <f aca="false">IF(Variants!$J140="","",Variants!$J140)</f>
        <v>49.4</v>
      </c>
      <c r="D139" s="21" t="n">
        <f aca="false">IF(Variants!$O140="","",Variants!$O140)</f>
        <v>0</v>
      </c>
      <c r="E139" s="21" t="str">
        <f aca="false">Variants!$A140</f>
        <v>KARNI-BRAC-ALPHA-YT-WHITE</v>
      </c>
      <c r="F139" s="21" t="str">
        <f aca="false">IF(Variants!$E140="","",Variants!$E140&amp;", Armenian, handmade, enamel, "&amp;Variants!$D140)</f>
        <v>Alphabet, Armenian, handmade, enamel, Bracelet</v>
      </c>
      <c r="G139" s="21" t="str">
        <f aca="false">IFERROR(VLOOKUP(Variants!$B140,Designs!$A$3:$AP$165,12,FALSE())&amp;", enamel","")</f>
        <v>925 Silver Gold-Plated, enamel</v>
      </c>
      <c r="H139" s="21" t="str">
        <f aca="false">IF(Variants!$B140="","","I did")</f>
        <v>I did</v>
      </c>
      <c r="I139" s="21" t="str">
        <f aca="false">IF(Variants!$B140="","","Made to order")</f>
        <v>Made to order</v>
      </c>
      <c r="J139" s="21" t="str">
        <f aca="false">IF(Variants!$D140="","",Variants!$D140)</f>
        <v>Bracelet</v>
      </c>
      <c r="K139" s="21" t="str">
        <f aca="false">IF(Variants!$Y140="","",Variants!$Y140)</f>
        <v/>
      </c>
      <c r="L139" s="21" t="str">
        <f aca="false">IF(Variants!$H140="","",Variants!$H140)</f>
        <v>white</v>
      </c>
      <c r="M139" s="21" t="str">
        <f aca="false">IF(Variants!$G140="","",Variants!$G140)</f>
        <v/>
      </c>
    </row>
    <row r="140" customFormat="false" ht="15.75" hidden="false" customHeight="true" outlineLevel="0" collapsed="false">
      <c r="A140" s="21" t="str">
        <f aca="false">IF(Variants!$B141="","",Variants!$C141&amp;" — "&amp;Variants!$E141&amp;IF(Variants!$F141=""," "," "&amp;Variants!$F141)&amp;" — "&amp;Variants!$H141)</f>
        <v>Bird Letter Bracelet — Alphabet Թ — red</v>
      </c>
      <c r="B140" s="21" t="str">
        <f aca="false">IFERROR(IF(Variants!$B141="","",VLOOKUP(Variants!$B141,Designs!$A$3:$AP$165,9,FALSE())&amp;" Handmade in Armenia."),"")</f>
        <v>Bird letters are an ornamental medieval Armenian script where each letter is formed from stylised birds, used in illuminated manuscripts. Handmade in Armenia.</v>
      </c>
      <c r="C140" s="18" t="n">
        <f aca="false">IF(Variants!$J141="","",Variants!$J141)</f>
        <v>49.4</v>
      </c>
      <c r="D140" s="21" t="n">
        <f aca="false">IF(Variants!$O141="","",Variants!$O141)</f>
        <v>0</v>
      </c>
      <c r="E140" s="21" t="str">
        <f aca="false">Variants!$A141</f>
        <v>KARNI-BRAC-ALPHA-TO-RED</v>
      </c>
      <c r="F140" s="21" t="str">
        <f aca="false">IF(Variants!$E141="","",Variants!$E141&amp;", Armenian, handmade, enamel, "&amp;Variants!$D141)</f>
        <v>Alphabet, Armenian, handmade, enamel, Bracelet</v>
      </c>
      <c r="G140" s="21" t="str">
        <f aca="false">IFERROR(VLOOKUP(Variants!$B141,Designs!$A$3:$AP$165,12,FALSE())&amp;", enamel","")</f>
        <v>925 Silver Gold-Plated, enamel</v>
      </c>
      <c r="H140" s="21" t="str">
        <f aca="false">IF(Variants!$B141="","","I did")</f>
        <v>I did</v>
      </c>
      <c r="I140" s="21" t="str">
        <f aca="false">IF(Variants!$B141="","","Made to order")</f>
        <v>Made to order</v>
      </c>
      <c r="J140" s="21" t="str">
        <f aca="false">IF(Variants!$D141="","",Variants!$D141)</f>
        <v>Bracelet</v>
      </c>
      <c r="K140" s="21" t="str">
        <f aca="false">IF(Variants!$Y141="","",Variants!$Y141)</f>
        <v/>
      </c>
      <c r="L140" s="21" t="str">
        <f aca="false">IF(Variants!$H141="","",Variants!$H141)</f>
        <v>red</v>
      </c>
      <c r="M140" s="21" t="str">
        <f aca="false">IF(Variants!$G141="","",Variants!$G141)</f>
        <v/>
      </c>
    </row>
    <row r="141" customFormat="false" ht="15.75" hidden="false" customHeight="true" outlineLevel="0" collapsed="false">
      <c r="A141" s="21" t="str">
        <f aca="false">IF(Variants!$B142="","",Variants!$C142&amp;" — "&amp;Variants!$E142&amp;IF(Variants!$F142=""," "," "&amp;Variants!$F142)&amp;" — "&amp;Variants!$H142)</f>
        <v>Bird Letter Bracelet — Alphabet Թ — turquoise</v>
      </c>
      <c r="B141" s="21" t="str">
        <f aca="false">IFERROR(IF(Variants!$B142="","",VLOOKUP(Variants!$B142,Designs!$A$3:$AP$165,9,FALSE())&amp;" Handmade in Armenia."),"")</f>
        <v>Bird letters are an ornamental medieval Armenian script where each letter is formed from stylised birds, used in illuminated manuscripts. Handmade in Armenia.</v>
      </c>
      <c r="C141" s="18" t="n">
        <f aca="false">IF(Variants!$J142="","",Variants!$J142)</f>
        <v>49.4</v>
      </c>
      <c r="D141" s="21" t="n">
        <f aca="false">IF(Variants!$O142="","",Variants!$O142)</f>
        <v>0</v>
      </c>
      <c r="E141" s="21" t="str">
        <f aca="false">Variants!$A142</f>
        <v>KARNI-BRAC-ALPHA-TO-TURQUOISE</v>
      </c>
      <c r="F141" s="21" t="str">
        <f aca="false">IF(Variants!$E142="","",Variants!$E142&amp;", Armenian, handmade, enamel, "&amp;Variants!$D142)</f>
        <v>Alphabet, Armenian, handmade, enamel, Bracelet</v>
      </c>
      <c r="G141" s="21" t="str">
        <f aca="false">IFERROR(VLOOKUP(Variants!$B142,Designs!$A$3:$AP$165,12,FALSE())&amp;", enamel","")</f>
        <v>925 Silver Gold-Plated, enamel</v>
      </c>
      <c r="H141" s="21" t="str">
        <f aca="false">IF(Variants!$B142="","","I did")</f>
        <v>I did</v>
      </c>
      <c r="I141" s="21" t="str">
        <f aca="false">IF(Variants!$B142="","","Made to order")</f>
        <v>Made to order</v>
      </c>
      <c r="J141" s="21" t="str">
        <f aca="false">IF(Variants!$D142="","",Variants!$D142)</f>
        <v>Bracelet</v>
      </c>
      <c r="K141" s="21" t="str">
        <f aca="false">IF(Variants!$Y142="","",Variants!$Y142)</f>
        <v/>
      </c>
      <c r="L141" s="21" t="str">
        <f aca="false">IF(Variants!$H142="","",Variants!$H142)</f>
        <v>turquoise</v>
      </c>
      <c r="M141" s="21" t="str">
        <f aca="false">IF(Variants!$G142="","",Variants!$G142)</f>
        <v/>
      </c>
    </row>
    <row r="142" customFormat="false" ht="15.75" hidden="false" customHeight="true" outlineLevel="0" collapsed="false">
      <c r="A142" s="21" t="str">
        <f aca="false">IF(Variants!$B143="","",Variants!$C143&amp;" — "&amp;Variants!$E143&amp;IF(Variants!$F143=""," "," "&amp;Variants!$F143)&amp;" — "&amp;Variants!$H143)</f>
        <v>Bird Letter Bracelet — Alphabet Թ — white</v>
      </c>
      <c r="B142" s="21" t="str">
        <f aca="false">IFERROR(IF(Variants!$B143="","",VLOOKUP(Variants!$B143,Designs!$A$3:$AP$165,9,FALSE())&amp;" Handmade in Armenia."),"")</f>
        <v>Bird letters are an ornamental medieval Armenian script where each letter is formed from stylised birds, used in illuminated manuscripts. Handmade in Armenia.</v>
      </c>
      <c r="C142" s="18" t="n">
        <f aca="false">IF(Variants!$J143="","",Variants!$J143)</f>
        <v>49.4</v>
      </c>
      <c r="D142" s="21" t="n">
        <f aca="false">IF(Variants!$O143="","",Variants!$O143)</f>
        <v>0</v>
      </c>
      <c r="E142" s="21" t="str">
        <f aca="false">Variants!$A143</f>
        <v>KARNI-BRAC-ALPHA-TO-WHITE</v>
      </c>
      <c r="F142" s="21" t="str">
        <f aca="false">IF(Variants!$E143="","",Variants!$E143&amp;", Armenian, handmade, enamel, "&amp;Variants!$D143)</f>
        <v>Alphabet, Armenian, handmade, enamel, Bracelet</v>
      </c>
      <c r="G142" s="21" t="str">
        <f aca="false">IFERROR(VLOOKUP(Variants!$B143,Designs!$A$3:$AP$165,12,FALSE())&amp;", enamel","")</f>
        <v>925 Silver Gold-Plated, enamel</v>
      </c>
      <c r="H142" s="21" t="str">
        <f aca="false">IF(Variants!$B143="","","I did")</f>
        <v>I did</v>
      </c>
      <c r="I142" s="21" t="str">
        <f aca="false">IF(Variants!$B143="","","Made to order")</f>
        <v>Made to order</v>
      </c>
      <c r="J142" s="21" t="str">
        <f aca="false">IF(Variants!$D143="","",Variants!$D143)</f>
        <v>Bracelet</v>
      </c>
      <c r="K142" s="21" t="str">
        <f aca="false">IF(Variants!$Y143="","",Variants!$Y143)</f>
        <v/>
      </c>
      <c r="L142" s="21" t="str">
        <f aca="false">IF(Variants!$H143="","",Variants!$H143)</f>
        <v>white</v>
      </c>
      <c r="M142" s="21" t="str">
        <f aca="false">IF(Variants!$G143="","",Variants!$G143)</f>
        <v/>
      </c>
    </row>
    <row r="143" customFormat="false" ht="15.75" hidden="false" customHeight="true" outlineLevel="0" collapsed="false">
      <c r="A143" s="21" t="str">
        <f aca="false">IF(Variants!$B144="","",Variants!$C144&amp;" — "&amp;Variants!$E144&amp;IF(Variants!$F144=""," "," "&amp;Variants!$F144)&amp;" — "&amp;Variants!$H144)</f>
        <v>Bird Letter Bracelet — Alphabet Ժ — red</v>
      </c>
      <c r="B143" s="21" t="str">
        <f aca="false">IFERROR(IF(Variants!$B144="","",VLOOKUP(Variants!$B144,Designs!$A$3:$AP$165,9,FALSE())&amp;" Handmade in Armenia."),"")</f>
        <v>Bird letters are an ornamental medieval Armenian script where each letter is formed from stylised birds, used in illuminated manuscripts. Handmade in Armenia.</v>
      </c>
      <c r="C143" s="18" t="n">
        <f aca="false">IF(Variants!$J144="","",Variants!$J144)</f>
        <v>49.4</v>
      </c>
      <c r="D143" s="21" t="n">
        <f aca="false">IF(Variants!$O144="","",Variants!$O144)</f>
        <v>0</v>
      </c>
      <c r="E143" s="21" t="str">
        <f aca="false">Variants!$A144</f>
        <v>KARNI-BRAC-ALPHA-ZHE-RED</v>
      </c>
      <c r="F143" s="21" t="str">
        <f aca="false">IF(Variants!$E144="","",Variants!$E144&amp;", Armenian, handmade, enamel, "&amp;Variants!$D144)</f>
        <v>Alphabet, Armenian, handmade, enamel, Bracelet</v>
      </c>
      <c r="G143" s="21" t="str">
        <f aca="false">IFERROR(VLOOKUP(Variants!$B144,Designs!$A$3:$AP$165,12,FALSE())&amp;", enamel","")</f>
        <v>925 Silver Gold-Plated, enamel</v>
      </c>
      <c r="H143" s="21" t="str">
        <f aca="false">IF(Variants!$B144="","","I did")</f>
        <v>I did</v>
      </c>
      <c r="I143" s="21" t="str">
        <f aca="false">IF(Variants!$B144="","","Made to order")</f>
        <v>Made to order</v>
      </c>
      <c r="J143" s="21" t="str">
        <f aca="false">IF(Variants!$D144="","",Variants!$D144)</f>
        <v>Bracelet</v>
      </c>
      <c r="K143" s="21" t="str">
        <f aca="false">IF(Variants!$Y144="","",Variants!$Y144)</f>
        <v/>
      </c>
      <c r="L143" s="21" t="str">
        <f aca="false">IF(Variants!$H144="","",Variants!$H144)</f>
        <v>red</v>
      </c>
      <c r="M143" s="21" t="str">
        <f aca="false">IF(Variants!$G144="","",Variants!$G144)</f>
        <v/>
      </c>
    </row>
    <row r="144" customFormat="false" ht="15.75" hidden="false" customHeight="true" outlineLevel="0" collapsed="false">
      <c r="A144" s="21" t="str">
        <f aca="false">IF(Variants!$B145="","",Variants!$C145&amp;" — "&amp;Variants!$E145&amp;IF(Variants!$F145=""," "," "&amp;Variants!$F145)&amp;" — "&amp;Variants!$H145)</f>
        <v>Bird Letter Bracelet — Alphabet Ժ — turquoise</v>
      </c>
      <c r="B144" s="21" t="str">
        <f aca="false">IFERROR(IF(Variants!$B145="","",VLOOKUP(Variants!$B145,Designs!$A$3:$AP$165,9,FALSE())&amp;" Handmade in Armenia."),"")</f>
        <v>Bird letters are an ornamental medieval Armenian script where each letter is formed from stylised birds, used in illuminated manuscripts. Handmade in Armenia.</v>
      </c>
      <c r="C144" s="18" t="n">
        <f aca="false">IF(Variants!$J145="","",Variants!$J145)</f>
        <v>49.4</v>
      </c>
      <c r="D144" s="21" t="n">
        <f aca="false">IF(Variants!$O145="","",Variants!$O145)</f>
        <v>0</v>
      </c>
      <c r="E144" s="21" t="str">
        <f aca="false">Variants!$A145</f>
        <v>KARNI-BRAC-ALPHA-ZHE-TURQUOISE</v>
      </c>
      <c r="F144" s="21" t="str">
        <f aca="false">IF(Variants!$E145="","",Variants!$E145&amp;", Armenian, handmade, enamel, "&amp;Variants!$D145)</f>
        <v>Alphabet, Armenian, handmade, enamel, Bracelet</v>
      </c>
      <c r="G144" s="21" t="str">
        <f aca="false">IFERROR(VLOOKUP(Variants!$B145,Designs!$A$3:$AP$165,12,FALSE())&amp;", enamel","")</f>
        <v>925 Silver Gold-Plated, enamel</v>
      </c>
      <c r="H144" s="21" t="str">
        <f aca="false">IF(Variants!$B145="","","I did")</f>
        <v>I did</v>
      </c>
      <c r="I144" s="21" t="str">
        <f aca="false">IF(Variants!$B145="","","Made to order")</f>
        <v>Made to order</v>
      </c>
      <c r="J144" s="21" t="str">
        <f aca="false">IF(Variants!$D145="","",Variants!$D145)</f>
        <v>Bracelet</v>
      </c>
      <c r="K144" s="21" t="str">
        <f aca="false">IF(Variants!$Y145="","",Variants!$Y145)</f>
        <v/>
      </c>
      <c r="L144" s="21" t="str">
        <f aca="false">IF(Variants!$H145="","",Variants!$H145)</f>
        <v>turquoise</v>
      </c>
      <c r="M144" s="21" t="str">
        <f aca="false">IF(Variants!$G145="","",Variants!$G145)</f>
        <v/>
      </c>
    </row>
    <row r="145" customFormat="false" ht="15.75" hidden="false" customHeight="true" outlineLevel="0" collapsed="false">
      <c r="A145" s="21" t="str">
        <f aca="false">IF(Variants!$B146="","",Variants!$C146&amp;" — "&amp;Variants!$E146&amp;IF(Variants!$F146=""," "," "&amp;Variants!$F146)&amp;" — "&amp;Variants!$H146)</f>
        <v>Bird Letter Bracelet — Alphabet Ժ — white</v>
      </c>
      <c r="B145" s="21" t="str">
        <f aca="false">IFERROR(IF(Variants!$B146="","",VLOOKUP(Variants!$B146,Designs!$A$3:$AP$165,9,FALSE())&amp;" Handmade in Armenia."),"")</f>
        <v>Bird letters are an ornamental medieval Armenian script where each letter is formed from stylised birds, used in illuminated manuscripts. Handmade in Armenia.</v>
      </c>
      <c r="C145" s="18" t="n">
        <f aca="false">IF(Variants!$J146="","",Variants!$J146)</f>
        <v>49.4</v>
      </c>
      <c r="D145" s="21" t="n">
        <f aca="false">IF(Variants!$O146="","",Variants!$O146)</f>
        <v>0</v>
      </c>
      <c r="E145" s="21" t="str">
        <f aca="false">Variants!$A146</f>
        <v>KARNI-BRAC-ALPHA-ZHE-WHITE</v>
      </c>
      <c r="F145" s="21" t="str">
        <f aca="false">IF(Variants!$E146="","",Variants!$E146&amp;", Armenian, handmade, enamel, "&amp;Variants!$D146)</f>
        <v>Alphabet, Armenian, handmade, enamel, Bracelet</v>
      </c>
      <c r="G145" s="21" t="str">
        <f aca="false">IFERROR(VLOOKUP(Variants!$B146,Designs!$A$3:$AP$165,12,FALSE())&amp;", enamel","")</f>
        <v>925 Silver Gold-Plated, enamel</v>
      </c>
      <c r="H145" s="21" t="str">
        <f aca="false">IF(Variants!$B146="","","I did")</f>
        <v>I did</v>
      </c>
      <c r="I145" s="21" t="str">
        <f aca="false">IF(Variants!$B146="","","Made to order")</f>
        <v>Made to order</v>
      </c>
      <c r="J145" s="21" t="str">
        <f aca="false">IF(Variants!$D146="","",Variants!$D146)</f>
        <v>Bracelet</v>
      </c>
      <c r="K145" s="21" t="str">
        <f aca="false">IF(Variants!$Y146="","",Variants!$Y146)</f>
        <v/>
      </c>
      <c r="L145" s="21" t="str">
        <f aca="false">IF(Variants!$H146="","",Variants!$H146)</f>
        <v>white</v>
      </c>
      <c r="M145" s="21" t="str">
        <f aca="false">IF(Variants!$G146="","",Variants!$G146)</f>
        <v/>
      </c>
    </row>
    <row r="146" customFormat="false" ht="15.75" hidden="false" customHeight="true" outlineLevel="0" collapsed="false">
      <c r="A146" s="21" t="str">
        <f aca="false">IF(Variants!$B147="","",Variants!$C147&amp;" — "&amp;Variants!$E147&amp;IF(Variants!$F147=""," "," "&amp;Variants!$F147)&amp;" — "&amp;Variants!$H147)</f>
        <v>Bird Letter Bracelet — Alphabet Ի — red</v>
      </c>
      <c r="B146" s="21" t="str">
        <f aca="false">IFERROR(IF(Variants!$B147="","",VLOOKUP(Variants!$B147,Designs!$A$3:$AP$165,9,FALSE())&amp;" Handmade in Armenia."),"")</f>
        <v>Bird letters are an ornamental medieval Armenian script where each letter is formed from stylised birds, used in illuminated manuscripts. Handmade in Armenia.</v>
      </c>
      <c r="C146" s="18" t="n">
        <f aca="false">IF(Variants!$J147="","",Variants!$J147)</f>
        <v>49.4</v>
      </c>
      <c r="D146" s="21" t="n">
        <f aca="false">IF(Variants!$O147="","",Variants!$O147)</f>
        <v>0</v>
      </c>
      <c r="E146" s="21" t="str">
        <f aca="false">Variants!$A147</f>
        <v>KARNI-BRAC-ALPHA-INI-RED</v>
      </c>
      <c r="F146" s="21" t="str">
        <f aca="false">IF(Variants!$E147="","",Variants!$E147&amp;", Armenian, handmade, enamel, "&amp;Variants!$D147)</f>
        <v>Alphabet, Armenian, handmade, enamel, Bracelet</v>
      </c>
      <c r="G146" s="21" t="str">
        <f aca="false">IFERROR(VLOOKUP(Variants!$B147,Designs!$A$3:$AP$165,12,FALSE())&amp;", enamel","")</f>
        <v>925 Silver Gold-Plated, enamel</v>
      </c>
      <c r="H146" s="21" t="str">
        <f aca="false">IF(Variants!$B147="","","I did")</f>
        <v>I did</v>
      </c>
      <c r="I146" s="21" t="str">
        <f aca="false">IF(Variants!$B147="","","Made to order")</f>
        <v>Made to order</v>
      </c>
      <c r="J146" s="21" t="str">
        <f aca="false">IF(Variants!$D147="","",Variants!$D147)</f>
        <v>Bracelet</v>
      </c>
      <c r="K146" s="21" t="str">
        <f aca="false">IF(Variants!$Y147="","",Variants!$Y147)</f>
        <v/>
      </c>
      <c r="L146" s="21" t="str">
        <f aca="false">IF(Variants!$H147="","",Variants!$H147)</f>
        <v>red</v>
      </c>
      <c r="M146" s="21" t="str">
        <f aca="false">IF(Variants!$G147="","",Variants!$G147)</f>
        <v/>
      </c>
    </row>
    <row r="147" customFormat="false" ht="15.75" hidden="false" customHeight="true" outlineLevel="0" collapsed="false">
      <c r="A147" s="21" t="str">
        <f aca="false">IF(Variants!$B148="","",Variants!$C148&amp;" — "&amp;Variants!$E148&amp;IF(Variants!$F148=""," "," "&amp;Variants!$F148)&amp;" — "&amp;Variants!$H148)</f>
        <v>Bird Letter Bracelet — Alphabet Ի — turquoise</v>
      </c>
      <c r="B147" s="21" t="str">
        <f aca="false">IFERROR(IF(Variants!$B148="","",VLOOKUP(Variants!$B148,Designs!$A$3:$AP$165,9,FALSE())&amp;" Handmade in Armenia."),"")</f>
        <v>Bird letters are an ornamental medieval Armenian script where each letter is formed from stylised birds, used in illuminated manuscripts. Handmade in Armenia.</v>
      </c>
      <c r="C147" s="18" t="n">
        <f aca="false">IF(Variants!$J148="","",Variants!$J148)</f>
        <v>49.4</v>
      </c>
      <c r="D147" s="21" t="n">
        <f aca="false">IF(Variants!$O148="","",Variants!$O148)</f>
        <v>0</v>
      </c>
      <c r="E147" s="21" t="str">
        <f aca="false">Variants!$A148</f>
        <v>KARNI-BRAC-ALPHA-INI-TURQUOISE</v>
      </c>
      <c r="F147" s="21" t="str">
        <f aca="false">IF(Variants!$E148="","",Variants!$E148&amp;", Armenian, handmade, enamel, "&amp;Variants!$D148)</f>
        <v>Alphabet, Armenian, handmade, enamel, Bracelet</v>
      </c>
      <c r="G147" s="21" t="str">
        <f aca="false">IFERROR(VLOOKUP(Variants!$B148,Designs!$A$3:$AP$165,12,FALSE())&amp;", enamel","")</f>
        <v>925 Silver Gold-Plated, enamel</v>
      </c>
      <c r="H147" s="21" t="str">
        <f aca="false">IF(Variants!$B148="","","I did")</f>
        <v>I did</v>
      </c>
      <c r="I147" s="21" t="str">
        <f aca="false">IF(Variants!$B148="","","Made to order")</f>
        <v>Made to order</v>
      </c>
      <c r="J147" s="21" t="str">
        <f aca="false">IF(Variants!$D148="","",Variants!$D148)</f>
        <v>Bracelet</v>
      </c>
      <c r="K147" s="21" t="str">
        <f aca="false">IF(Variants!$Y148="","",Variants!$Y148)</f>
        <v/>
      </c>
      <c r="L147" s="21" t="str">
        <f aca="false">IF(Variants!$H148="","",Variants!$H148)</f>
        <v>turquoise</v>
      </c>
      <c r="M147" s="21" t="str">
        <f aca="false">IF(Variants!$G148="","",Variants!$G148)</f>
        <v/>
      </c>
    </row>
    <row r="148" customFormat="false" ht="15.75" hidden="false" customHeight="true" outlineLevel="0" collapsed="false">
      <c r="A148" s="21" t="str">
        <f aca="false">IF(Variants!$B149="","",Variants!$C149&amp;" — "&amp;Variants!$E149&amp;IF(Variants!$F149=""," "," "&amp;Variants!$F149)&amp;" — "&amp;Variants!$H149)</f>
        <v>Bird Letter Bracelet — Alphabet Ի — white</v>
      </c>
      <c r="B148" s="21" t="str">
        <f aca="false">IFERROR(IF(Variants!$B149="","",VLOOKUP(Variants!$B149,Designs!$A$3:$AP$165,9,FALSE())&amp;" Handmade in Armenia."),"")</f>
        <v>Bird letters are an ornamental medieval Armenian script where each letter is formed from stylised birds, used in illuminated manuscripts. Handmade in Armenia.</v>
      </c>
      <c r="C148" s="18" t="n">
        <f aca="false">IF(Variants!$J149="","",Variants!$J149)</f>
        <v>49.4</v>
      </c>
      <c r="D148" s="21" t="n">
        <f aca="false">IF(Variants!$O149="","",Variants!$O149)</f>
        <v>0</v>
      </c>
      <c r="E148" s="21" t="str">
        <f aca="false">Variants!$A149</f>
        <v>KARNI-BRAC-ALPHA-INI-WHITE</v>
      </c>
      <c r="F148" s="21" t="str">
        <f aca="false">IF(Variants!$E149="","",Variants!$E149&amp;", Armenian, handmade, enamel, "&amp;Variants!$D149)</f>
        <v>Alphabet, Armenian, handmade, enamel, Bracelet</v>
      </c>
      <c r="G148" s="21" t="str">
        <f aca="false">IFERROR(VLOOKUP(Variants!$B149,Designs!$A$3:$AP$165,12,FALSE())&amp;", enamel","")</f>
        <v>925 Silver Gold-Plated, enamel</v>
      </c>
      <c r="H148" s="21" t="str">
        <f aca="false">IF(Variants!$B149="","","I did")</f>
        <v>I did</v>
      </c>
      <c r="I148" s="21" t="str">
        <f aca="false">IF(Variants!$B149="","","Made to order")</f>
        <v>Made to order</v>
      </c>
      <c r="J148" s="21" t="str">
        <f aca="false">IF(Variants!$D149="","",Variants!$D149)</f>
        <v>Bracelet</v>
      </c>
      <c r="K148" s="21" t="str">
        <f aca="false">IF(Variants!$Y149="","",Variants!$Y149)</f>
        <v/>
      </c>
      <c r="L148" s="21" t="str">
        <f aca="false">IF(Variants!$H149="","",Variants!$H149)</f>
        <v>white</v>
      </c>
      <c r="M148" s="21" t="str">
        <f aca="false">IF(Variants!$G149="","",Variants!$G149)</f>
        <v/>
      </c>
    </row>
    <row r="149" customFormat="false" ht="15.75" hidden="false" customHeight="true" outlineLevel="0" collapsed="false">
      <c r="A149" s="21" t="str">
        <f aca="false">IF(Variants!$B150="","",Variants!$C150&amp;" — "&amp;Variants!$E150&amp;IF(Variants!$F150=""," "," "&amp;Variants!$F150)&amp;" — "&amp;Variants!$H150)</f>
        <v>Bird Letter Bracelet — Alphabet Լ — red</v>
      </c>
      <c r="B149" s="21" t="str">
        <f aca="false">IFERROR(IF(Variants!$B150="","",VLOOKUP(Variants!$B150,Designs!$A$3:$AP$165,9,FALSE())&amp;" Handmade in Armenia."),"")</f>
        <v>Bird letters are an ornamental medieval Armenian script where each letter is formed from stylised birds, used in illuminated manuscripts. Handmade in Armenia.</v>
      </c>
      <c r="C149" s="18" t="n">
        <f aca="false">IF(Variants!$J150="","",Variants!$J150)</f>
        <v>49.4</v>
      </c>
      <c r="D149" s="21" t="n">
        <f aca="false">IF(Variants!$O150="","",Variants!$O150)</f>
        <v>0</v>
      </c>
      <c r="E149" s="21" t="str">
        <f aca="false">Variants!$A150</f>
        <v>KARNI-BRAC-ALPHA-LYUN-RED</v>
      </c>
      <c r="F149" s="21" t="str">
        <f aca="false">IF(Variants!$E150="","",Variants!$E150&amp;", Armenian, handmade, enamel, "&amp;Variants!$D150)</f>
        <v>Alphabet, Armenian, handmade, enamel, Bracelet</v>
      </c>
      <c r="G149" s="21" t="str">
        <f aca="false">IFERROR(VLOOKUP(Variants!$B150,Designs!$A$3:$AP$165,12,FALSE())&amp;", enamel","")</f>
        <v>925 Silver Gold-Plated, enamel</v>
      </c>
      <c r="H149" s="21" t="str">
        <f aca="false">IF(Variants!$B150="","","I did")</f>
        <v>I did</v>
      </c>
      <c r="I149" s="21" t="str">
        <f aca="false">IF(Variants!$B150="","","Made to order")</f>
        <v>Made to order</v>
      </c>
      <c r="J149" s="21" t="str">
        <f aca="false">IF(Variants!$D150="","",Variants!$D150)</f>
        <v>Bracelet</v>
      </c>
      <c r="K149" s="21" t="str">
        <f aca="false">IF(Variants!$Y150="","",Variants!$Y150)</f>
        <v/>
      </c>
      <c r="L149" s="21" t="str">
        <f aca="false">IF(Variants!$H150="","",Variants!$H150)</f>
        <v>red</v>
      </c>
      <c r="M149" s="21" t="str">
        <f aca="false">IF(Variants!$G150="","",Variants!$G150)</f>
        <v/>
      </c>
    </row>
    <row r="150" customFormat="false" ht="15.75" hidden="false" customHeight="true" outlineLevel="0" collapsed="false">
      <c r="A150" s="21" t="str">
        <f aca="false">IF(Variants!$B151="","",Variants!$C151&amp;" — "&amp;Variants!$E151&amp;IF(Variants!$F151=""," "," "&amp;Variants!$F151)&amp;" — "&amp;Variants!$H151)</f>
        <v>Bird Letter Bracelet — Alphabet Լ — turquoise</v>
      </c>
      <c r="B150" s="21" t="str">
        <f aca="false">IFERROR(IF(Variants!$B151="","",VLOOKUP(Variants!$B151,Designs!$A$3:$AP$165,9,FALSE())&amp;" Handmade in Armenia."),"")</f>
        <v>Bird letters are an ornamental medieval Armenian script where each letter is formed from stylised birds, used in illuminated manuscripts. Handmade in Armenia.</v>
      </c>
      <c r="C150" s="18" t="n">
        <f aca="false">IF(Variants!$J151="","",Variants!$J151)</f>
        <v>49.4</v>
      </c>
      <c r="D150" s="21" t="n">
        <f aca="false">IF(Variants!$O151="","",Variants!$O151)</f>
        <v>0</v>
      </c>
      <c r="E150" s="21" t="str">
        <f aca="false">Variants!$A151</f>
        <v>KARNI-BRAC-ALPHA-LYUN-TURQUOISE</v>
      </c>
      <c r="F150" s="21" t="str">
        <f aca="false">IF(Variants!$E151="","",Variants!$E151&amp;", Armenian, handmade, enamel, "&amp;Variants!$D151)</f>
        <v>Alphabet, Armenian, handmade, enamel, Bracelet</v>
      </c>
      <c r="G150" s="21" t="str">
        <f aca="false">IFERROR(VLOOKUP(Variants!$B151,Designs!$A$3:$AP$165,12,FALSE())&amp;", enamel","")</f>
        <v>925 Silver Gold-Plated, enamel</v>
      </c>
      <c r="H150" s="21" t="str">
        <f aca="false">IF(Variants!$B151="","","I did")</f>
        <v>I did</v>
      </c>
      <c r="I150" s="21" t="str">
        <f aca="false">IF(Variants!$B151="","","Made to order")</f>
        <v>Made to order</v>
      </c>
      <c r="J150" s="21" t="str">
        <f aca="false">IF(Variants!$D151="","",Variants!$D151)</f>
        <v>Bracelet</v>
      </c>
      <c r="K150" s="21" t="str">
        <f aca="false">IF(Variants!$Y151="","",Variants!$Y151)</f>
        <v/>
      </c>
      <c r="L150" s="21" t="str">
        <f aca="false">IF(Variants!$H151="","",Variants!$H151)</f>
        <v>turquoise</v>
      </c>
      <c r="M150" s="21" t="str">
        <f aca="false">IF(Variants!$G151="","",Variants!$G151)</f>
        <v/>
      </c>
    </row>
    <row r="151" customFormat="false" ht="15.75" hidden="false" customHeight="true" outlineLevel="0" collapsed="false">
      <c r="A151" s="21" t="str">
        <f aca="false">IF(Variants!$B152="","",Variants!$C152&amp;" — "&amp;Variants!$E152&amp;IF(Variants!$F152=""," "," "&amp;Variants!$F152)&amp;" — "&amp;Variants!$H152)</f>
        <v>Bird Letter Bracelet — Alphabet Լ — white</v>
      </c>
      <c r="B151" s="21" t="str">
        <f aca="false">IFERROR(IF(Variants!$B152="","",VLOOKUP(Variants!$B152,Designs!$A$3:$AP$165,9,FALSE())&amp;" Handmade in Armenia."),"")</f>
        <v>Bird letters are an ornamental medieval Armenian script where each letter is formed from stylised birds, used in illuminated manuscripts. Handmade in Armenia.</v>
      </c>
      <c r="C151" s="18" t="n">
        <f aca="false">IF(Variants!$J152="","",Variants!$J152)</f>
        <v>49.4</v>
      </c>
      <c r="D151" s="21" t="n">
        <f aca="false">IF(Variants!$O152="","",Variants!$O152)</f>
        <v>0</v>
      </c>
      <c r="E151" s="21" t="str">
        <f aca="false">Variants!$A152</f>
        <v>KARNI-BRAC-ALPHA-LYUN-WHITE</v>
      </c>
      <c r="F151" s="21" t="str">
        <f aca="false">IF(Variants!$E152="","",Variants!$E152&amp;", Armenian, handmade, enamel, "&amp;Variants!$D152)</f>
        <v>Alphabet, Armenian, handmade, enamel, Bracelet</v>
      </c>
      <c r="G151" s="21" t="str">
        <f aca="false">IFERROR(VLOOKUP(Variants!$B152,Designs!$A$3:$AP$165,12,FALSE())&amp;", enamel","")</f>
        <v>925 Silver Gold-Plated, enamel</v>
      </c>
      <c r="H151" s="21" t="str">
        <f aca="false">IF(Variants!$B152="","","I did")</f>
        <v>I did</v>
      </c>
      <c r="I151" s="21" t="str">
        <f aca="false">IF(Variants!$B152="","","Made to order")</f>
        <v>Made to order</v>
      </c>
      <c r="J151" s="21" t="str">
        <f aca="false">IF(Variants!$D152="","",Variants!$D152)</f>
        <v>Bracelet</v>
      </c>
      <c r="K151" s="21" t="str">
        <f aca="false">IF(Variants!$Y152="","",Variants!$Y152)</f>
        <v/>
      </c>
      <c r="L151" s="21" t="str">
        <f aca="false">IF(Variants!$H152="","",Variants!$H152)</f>
        <v>white</v>
      </c>
      <c r="M151" s="21" t="str">
        <f aca="false">IF(Variants!$G152="","",Variants!$G152)</f>
        <v/>
      </c>
    </row>
    <row r="152" customFormat="false" ht="15.75" hidden="false" customHeight="true" outlineLevel="0" collapsed="false">
      <c r="A152" s="21" t="str">
        <f aca="false">IF(Variants!$B153="","",Variants!$C153&amp;" — "&amp;Variants!$E153&amp;IF(Variants!$F153=""," "," "&amp;Variants!$F153)&amp;" — "&amp;Variants!$H153)</f>
        <v>Bird Letter Bracelet — Alphabet Խ — red</v>
      </c>
      <c r="B152" s="21" t="str">
        <f aca="false">IFERROR(IF(Variants!$B153="","",VLOOKUP(Variants!$B153,Designs!$A$3:$AP$165,9,FALSE())&amp;" Handmade in Armenia."),"")</f>
        <v>Bird letters are an ornamental medieval Armenian script where each letter is formed from stylised birds, used in illuminated manuscripts. Handmade in Armenia.</v>
      </c>
      <c r="C152" s="18" t="n">
        <f aca="false">IF(Variants!$J153="","",Variants!$J153)</f>
        <v>49.4</v>
      </c>
      <c r="D152" s="21" t="n">
        <f aca="false">IF(Variants!$O153="","",Variants!$O153)</f>
        <v>0</v>
      </c>
      <c r="E152" s="21" t="str">
        <f aca="false">Variants!$A153</f>
        <v>KARNI-BRAC-ALPHA-KHE-RED</v>
      </c>
      <c r="F152" s="21" t="str">
        <f aca="false">IF(Variants!$E153="","",Variants!$E153&amp;", Armenian, handmade, enamel, "&amp;Variants!$D153)</f>
        <v>Alphabet, Armenian, handmade, enamel, Bracelet</v>
      </c>
      <c r="G152" s="21" t="str">
        <f aca="false">IFERROR(VLOOKUP(Variants!$B153,Designs!$A$3:$AP$165,12,FALSE())&amp;", enamel","")</f>
        <v>925 Silver Gold-Plated, enamel</v>
      </c>
      <c r="H152" s="21" t="str">
        <f aca="false">IF(Variants!$B153="","","I did")</f>
        <v>I did</v>
      </c>
      <c r="I152" s="21" t="str">
        <f aca="false">IF(Variants!$B153="","","Made to order")</f>
        <v>Made to order</v>
      </c>
      <c r="J152" s="21" t="str">
        <f aca="false">IF(Variants!$D153="","",Variants!$D153)</f>
        <v>Bracelet</v>
      </c>
      <c r="K152" s="21" t="str">
        <f aca="false">IF(Variants!$Y153="","",Variants!$Y153)</f>
        <v/>
      </c>
      <c r="L152" s="21" t="str">
        <f aca="false">IF(Variants!$H153="","",Variants!$H153)</f>
        <v>red</v>
      </c>
      <c r="M152" s="21" t="str">
        <f aca="false">IF(Variants!$G153="","",Variants!$G153)</f>
        <v/>
      </c>
    </row>
    <row r="153" customFormat="false" ht="15.75" hidden="false" customHeight="true" outlineLevel="0" collapsed="false">
      <c r="A153" s="21" t="str">
        <f aca="false">IF(Variants!$B154="","",Variants!$C154&amp;" — "&amp;Variants!$E154&amp;IF(Variants!$F154=""," "," "&amp;Variants!$F154)&amp;" — "&amp;Variants!$H154)</f>
        <v>Bird Letter Bracelet — Alphabet Խ — turquoise</v>
      </c>
      <c r="B153" s="21" t="str">
        <f aca="false">IFERROR(IF(Variants!$B154="","",VLOOKUP(Variants!$B154,Designs!$A$3:$AP$165,9,FALSE())&amp;" Handmade in Armenia."),"")</f>
        <v>Bird letters are an ornamental medieval Armenian script where each letter is formed from stylised birds, used in illuminated manuscripts. Handmade in Armenia.</v>
      </c>
      <c r="C153" s="18" t="n">
        <f aca="false">IF(Variants!$J154="","",Variants!$J154)</f>
        <v>49.4</v>
      </c>
      <c r="D153" s="21" t="n">
        <f aca="false">IF(Variants!$O154="","",Variants!$O154)</f>
        <v>0</v>
      </c>
      <c r="E153" s="21" t="str">
        <f aca="false">Variants!$A154</f>
        <v>KARNI-BRAC-ALPHA-KHE-TURQUOISE</v>
      </c>
      <c r="F153" s="21" t="str">
        <f aca="false">IF(Variants!$E154="","",Variants!$E154&amp;", Armenian, handmade, enamel, "&amp;Variants!$D154)</f>
        <v>Alphabet, Armenian, handmade, enamel, Bracelet</v>
      </c>
      <c r="G153" s="21" t="str">
        <f aca="false">IFERROR(VLOOKUP(Variants!$B154,Designs!$A$3:$AP$165,12,FALSE())&amp;", enamel","")</f>
        <v>925 Silver Gold-Plated, enamel</v>
      </c>
      <c r="H153" s="21" t="str">
        <f aca="false">IF(Variants!$B154="","","I did")</f>
        <v>I did</v>
      </c>
      <c r="I153" s="21" t="str">
        <f aca="false">IF(Variants!$B154="","","Made to order")</f>
        <v>Made to order</v>
      </c>
      <c r="J153" s="21" t="str">
        <f aca="false">IF(Variants!$D154="","",Variants!$D154)</f>
        <v>Bracelet</v>
      </c>
      <c r="K153" s="21" t="str">
        <f aca="false">IF(Variants!$Y154="","",Variants!$Y154)</f>
        <v/>
      </c>
      <c r="L153" s="21" t="str">
        <f aca="false">IF(Variants!$H154="","",Variants!$H154)</f>
        <v>turquoise</v>
      </c>
      <c r="M153" s="21" t="str">
        <f aca="false">IF(Variants!$G154="","",Variants!$G154)</f>
        <v/>
      </c>
    </row>
    <row r="154" customFormat="false" ht="15.75" hidden="false" customHeight="true" outlineLevel="0" collapsed="false">
      <c r="A154" s="21" t="str">
        <f aca="false">IF(Variants!$B155="","",Variants!$C155&amp;" — "&amp;Variants!$E155&amp;IF(Variants!$F155=""," "," "&amp;Variants!$F155)&amp;" — "&amp;Variants!$H155)</f>
        <v>Bird Letter Bracelet — Alphabet Խ — white</v>
      </c>
      <c r="B154" s="21" t="str">
        <f aca="false">IFERROR(IF(Variants!$B155="","",VLOOKUP(Variants!$B155,Designs!$A$3:$AP$165,9,FALSE())&amp;" Handmade in Armenia."),"")</f>
        <v>Bird letters are an ornamental medieval Armenian script where each letter is formed from stylised birds, used in illuminated manuscripts. Handmade in Armenia.</v>
      </c>
      <c r="C154" s="18" t="n">
        <f aca="false">IF(Variants!$J155="","",Variants!$J155)</f>
        <v>49.4</v>
      </c>
      <c r="D154" s="21" t="n">
        <f aca="false">IF(Variants!$O155="","",Variants!$O155)</f>
        <v>0</v>
      </c>
      <c r="E154" s="21" t="str">
        <f aca="false">Variants!$A155</f>
        <v>KARNI-BRAC-ALPHA-KHE-WHITE</v>
      </c>
      <c r="F154" s="21" t="str">
        <f aca="false">IF(Variants!$E155="","",Variants!$E155&amp;", Armenian, handmade, enamel, "&amp;Variants!$D155)</f>
        <v>Alphabet, Armenian, handmade, enamel, Bracelet</v>
      </c>
      <c r="G154" s="21" t="str">
        <f aca="false">IFERROR(VLOOKUP(Variants!$B155,Designs!$A$3:$AP$165,12,FALSE())&amp;", enamel","")</f>
        <v>925 Silver Gold-Plated, enamel</v>
      </c>
      <c r="H154" s="21" t="str">
        <f aca="false">IF(Variants!$B155="","","I did")</f>
        <v>I did</v>
      </c>
      <c r="I154" s="21" t="str">
        <f aca="false">IF(Variants!$B155="","","Made to order")</f>
        <v>Made to order</v>
      </c>
      <c r="J154" s="21" t="str">
        <f aca="false">IF(Variants!$D155="","",Variants!$D155)</f>
        <v>Bracelet</v>
      </c>
      <c r="K154" s="21" t="str">
        <f aca="false">IF(Variants!$Y155="","",Variants!$Y155)</f>
        <v/>
      </c>
      <c r="L154" s="21" t="str">
        <f aca="false">IF(Variants!$H155="","",Variants!$H155)</f>
        <v>white</v>
      </c>
      <c r="M154" s="21" t="str">
        <f aca="false">IF(Variants!$G155="","",Variants!$G155)</f>
        <v/>
      </c>
    </row>
    <row r="155" customFormat="false" ht="15.75" hidden="false" customHeight="true" outlineLevel="0" collapsed="false">
      <c r="A155" s="21" t="str">
        <f aca="false">IF(Variants!$B156="","",Variants!$C156&amp;" — "&amp;Variants!$E156&amp;IF(Variants!$F156=""," "," "&amp;Variants!$F156)&amp;" — "&amp;Variants!$H156)</f>
        <v>Bird Letter Bracelet — Alphabet Ծ — red</v>
      </c>
      <c r="B155" s="21" t="str">
        <f aca="false">IFERROR(IF(Variants!$B156="","",VLOOKUP(Variants!$B156,Designs!$A$3:$AP$165,9,FALSE())&amp;" Handmade in Armenia."),"")</f>
        <v>Bird letters are an ornamental medieval Armenian script where each letter is formed from stylised birds, used in illuminated manuscripts. Handmade in Armenia.</v>
      </c>
      <c r="C155" s="18" t="n">
        <f aca="false">IF(Variants!$J156="","",Variants!$J156)</f>
        <v>49.4</v>
      </c>
      <c r="D155" s="21" t="n">
        <f aca="false">IF(Variants!$O156="","",Variants!$O156)</f>
        <v>0</v>
      </c>
      <c r="E155" s="21" t="str">
        <f aca="false">Variants!$A156</f>
        <v>KARNI-BRAC-ALPHA-TSA-RED</v>
      </c>
      <c r="F155" s="21" t="str">
        <f aca="false">IF(Variants!$E156="","",Variants!$E156&amp;", Armenian, handmade, enamel, "&amp;Variants!$D156)</f>
        <v>Alphabet, Armenian, handmade, enamel, Bracelet</v>
      </c>
      <c r="G155" s="21" t="str">
        <f aca="false">IFERROR(VLOOKUP(Variants!$B156,Designs!$A$3:$AP$165,12,FALSE())&amp;", enamel","")</f>
        <v>925 Silver Gold-Plated, enamel</v>
      </c>
      <c r="H155" s="21" t="str">
        <f aca="false">IF(Variants!$B156="","","I did")</f>
        <v>I did</v>
      </c>
      <c r="I155" s="21" t="str">
        <f aca="false">IF(Variants!$B156="","","Made to order")</f>
        <v>Made to order</v>
      </c>
      <c r="J155" s="21" t="str">
        <f aca="false">IF(Variants!$D156="","",Variants!$D156)</f>
        <v>Bracelet</v>
      </c>
      <c r="K155" s="21" t="str">
        <f aca="false">IF(Variants!$Y156="","",Variants!$Y156)</f>
        <v/>
      </c>
      <c r="L155" s="21" t="str">
        <f aca="false">IF(Variants!$H156="","",Variants!$H156)</f>
        <v>red</v>
      </c>
      <c r="M155" s="21" t="str">
        <f aca="false">IF(Variants!$G156="","",Variants!$G156)</f>
        <v/>
      </c>
    </row>
    <row r="156" customFormat="false" ht="15.75" hidden="false" customHeight="true" outlineLevel="0" collapsed="false">
      <c r="A156" s="21" t="str">
        <f aca="false">IF(Variants!$B157="","",Variants!$C157&amp;" — "&amp;Variants!$E157&amp;IF(Variants!$F157=""," "," "&amp;Variants!$F157)&amp;" — "&amp;Variants!$H157)</f>
        <v>Bird Letter Bracelet — Alphabet Ծ — turquoise</v>
      </c>
      <c r="B156" s="21" t="str">
        <f aca="false">IFERROR(IF(Variants!$B157="","",VLOOKUP(Variants!$B157,Designs!$A$3:$AP$165,9,FALSE())&amp;" Handmade in Armenia."),"")</f>
        <v>Bird letters are an ornamental medieval Armenian script where each letter is formed from stylised birds, used in illuminated manuscripts. Handmade in Armenia.</v>
      </c>
      <c r="C156" s="18" t="n">
        <f aca="false">IF(Variants!$J157="","",Variants!$J157)</f>
        <v>49.4</v>
      </c>
      <c r="D156" s="21" t="n">
        <f aca="false">IF(Variants!$O157="","",Variants!$O157)</f>
        <v>0</v>
      </c>
      <c r="E156" s="21" t="str">
        <f aca="false">Variants!$A157</f>
        <v>KARNI-BRAC-ALPHA-TSA-TURQUOISE</v>
      </c>
      <c r="F156" s="21" t="str">
        <f aca="false">IF(Variants!$E157="","",Variants!$E157&amp;", Armenian, handmade, enamel, "&amp;Variants!$D157)</f>
        <v>Alphabet, Armenian, handmade, enamel, Bracelet</v>
      </c>
      <c r="G156" s="21" t="str">
        <f aca="false">IFERROR(VLOOKUP(Variants!$B157,Designs!$A$3:$AP$165,12,FALSE())&amp;", enamel","")</f>
        <v>925 Silver Gold-Plated, enamel</v>
      </c>
      <c r="H156" s="21" t="str">
        <f aca="false">IF(Variants!$B157="","","I did")</f>
        <v>I did</v>
      </c>
      <c r="I156" s="21" t="str">
        <f aca="false">IF(Variants!$B157="","","Made to order")</f>
        <v>Made to order</v>
      </c>
      <c r="J156" s="21" t="str">
        <f aca="false">IF(Variants!$D157="","",Variants!$D157)</f>
        <v>Bracelet</v>
      </c>
      <c r="K156" s="21" t="str">
        <f aca="false">IF(Variants!$Y157="","",Variants!$Y157)</f>
        <v/>
      </c>
      <c r="L156" s="21" t="str">
        <f aca="false">IF(Variants!$H157="","",Variants!$H157)</f>
        <v>turquoise</v>
      </c>
      <c r="M156" s="21" t="str">
        <f aca="false">IF(Variants!$G157="","",Variants!$G157)</f>
        <v/>
      </c>
    </row>
    <row r="157" customFormat="false" ht="15.75" hidden="false" customHeight="true" outlineLevel="0" collapsed="false">
      <c r="A157" s="21" t="str">
        <f aca="false">IF(Variants!$B158="","",Variants!$C158&amp;" — "&amp;Variants!$E158&amp;IF(Variants!$F158=""," "," "&amp;Variants!$F158)&amp;" — "&amp;Variants!$H158)</f>
        <v>Bird Letter Bracelet — Alphabet Ծ — white</v>
      </c>
      <c r="B157" s="21" t="str">
        <f aca="false">IFERROR(IF(Variants!$B158="","",VLOOKUP(Variants!$B158,Designs!$A$3:$AP$165,9,FALSE())&amp;" Handmade in Armenia."),"")</f>
        <v>Bird letters are an ornamental medieval Armenian script where each letter is formed from stylised birds, used in illuminated manuscripts. Handmade in Armenia.</v>
      </c>
      <c r="C157" s="18" t="n">
        <f aca="false">IF(Variants!$J158="","",Variants!$J158)</f>
        <v>49.4</v>
      </c>
      <c r="D157" s="21" t="n">
        <f aca="false">IF(Variants!$O158="","",Variants!$O158)</f>
        <v>0</v>
      </c>
      <c r="E157" s="21" t="str">
        <f aca="false">Variants!$A158</f>
        <v>KARNI-BRAC-ALPHA-TSA-WHITE</v>
      </c>
      <c r="F157" s="21" t="str">
        <f aca="false">IF(Variants!$E158="","",Variants!$E158&amp;", Armenian, handmade, enamel, "&amp;Variants!$D158)</f>
        <v>Alphabet, Armenian, handmade, enamel, Bracelet</v>
      </c>
      <c r="G157" s="21" t="str">
        <f aca="false">IFERROR(VLOOKUP(Variants!$B158,Designs!$A$3:$AP$165,12,FALSE())&amp;", enamel","")</f>
        <v>925 Silver Gold-Plated, enamel</v>
      </c>
      <c r="H157" s="21" t="str">
        <f aca="false">IF(Variants!$B158="","","I did")</f>
        <v>I did</v>
      </c>
      <c r="I157" s="21" t="str">
        <f aca="false">IF(Variants!$B158="","","Made to order")</f>
        <v>Made to order</v>
      </c>
      <c r="J157" s="21" t="str">
        <f aca="false">IF(Variants!$D158="","",Variants!$D158)</f>
        <v>Bracelet</v>
      </c>
      <c r="K157" s="21" t="str">
        <f aca="false">IF(Variants!$Y158="","",Variants!$Y158)</f>
        <v/>
      </c>
      <c r="L157" s="21" t="str">
        <f aca="false">IF(Variants!$H158="","",Variants!$H158)</f>
        <v>white</v>
      </c>
      <c r="M157" s="21" t="str">
        <f aca="false">IF(Variants!$G158="","",Variants!$G158)</f>
        <v/>
      </c>
    </row>
    <row r="158" customFormat="false" ht="15.75" hidden="false" customHeight="true" outlineLevel="0" collapsed="false">
      <c r="A158" s="21" t="str">
        <f aca="false">IF(Variants!$B159="","",Variants!$C159&amp;" — "&amp;Variants!$E159&amp;IF(Variants!$F159=""," "," "&amp;Variants!$F159)&amp;" — "&amp;Variants!$H159)</f>
        <v>Bird Letter Bracelet — Alphabet Կ — red</v>
      </c>
      <c r="B158" s="21" t="str">
        <f aca="false">IFERROR(IF(Variants!$B159="","",VLOOKUP(Variants!$B159,Designs!$A$3:$AP$165,9,FALSE())&amp;" Handmade in Armenia."),"")</f>
        <v>Bird letters are an ornamental medieval Armenian script where each letter is formed from stylised birds, used in illuminated manuscripts. Handmade in Armenia.</v>
      </c>
      <c r="C158" s="18" t="n">
        <f aca="false">IF(Variants!$J159="","",Variants!$J159)</f>
        <v>49.4</v>
      </c>
      <c r="D158" s="21" t="n">
        <f aca="false">IF(Variants!$O159="","",Variants!$O159)</f>
        <v>0</v>
      </c>
      <c r="E158" s="21" t="str">
        <f aca="false">Variants!$A159</f>
        <v>KARNI-BRAC-ALPHA-KEN-RED</v>
      </c>
      <c r="F158" s="21" t="str">
        <f aca="false">IF(Variants!$E159="","",Variants!$E159&amp;", Armenian, handmade, enamel, "&amp;Variants!$D159)</f>
        <v>Alphabet, Armenian, handmade, enamel, Bracelet</v>
      </c>
      <c r="G158" s="21" t="str">
        <f aca="false">IFERROR(VLOOKUP(Variants!$B159,Designs!$A$3:$AP$165,12,FALSE())&amp;", enamel","")</f>
        <v>925 Silver Gold-Plated, enamel</v>
      </c>
      <c r="H158" s="21" t="str">
        <f aca="false">IF(Variants!$B159="","","I did")</f>
        <v>I did</v>
      </c>
      <c r="I158" s="21" t="str">
        <f aca="false">IF(Variants!$B159="","","Made to order")</f>
        <v>Made to order</v>
      </c>
      <c r="J158" s="21" t="str">
        <f aca="false">IF(Variants!$D159="","",Variants!$D159)</f>
        <v>Bracelet</v>
      </c>
      <c r="K158" s="21" t="str">
        <f aca="false">IF(Variants!$Y159="","",Variants!$Y159)</f>
        <v/>
      </c>
      <c r="L158" s="21" t="str">
        <f aca="false">IF(Variants!$H159="","",Variants!$H159)</f>
        <v>red</v>
      </c>
      <c r="M158" s="21" t="str">
        <f aca="false">IF(Variants!$G159="","",Variants!$G159)</f>
        <v/>
      </c>
    </row>
    <row r="159" customFormat="false" ht="15.75" hidden="false" customHeight="true" outlineLevel="0" collapsed="false">
      <c r="A159" s="21" t="str">
        <f aca="false">IF(Variants!$B160="","",Variants!$C160&amp;" — "&amp;Variants!$E160&amp;IF(Variants!$F160=""," "," "&amp;Variants!$F160)&amp;" — "&amp;Variants!$H160)</f>
        <v>Bird Letter Bracelet — Alphabet Կ — turquoise</v>
      </c>
      <c r="B159" s="21" t="str">
        <f aca="false">IFERROR(IF(Variants!$B160="","",VLOOKUP(Variants!$B160,Designs!$A$3:$AP$165,9,FALSE())&amp;" Handmade in Armenia."),"")</f>
        <v>Bird letters are an ornamental medieval Armenian script where each letter is formed from stylised birds, used in illuminated manuscripts. Handmade in Armenia.</v>
      </c>
      <c r="C159" s="18" t="n">
        <f aca="false">IF(Variants!$J160="","",Variants!$J160)</f>
        <v>49.4</v>
      </c>
      <c r="D159" s="21" t="n">
        <f aca="false">IF(Variants!$O160="","",Variants!$O160)</f>
        <v>0</v>
      </c>
      <c r="E159" s="21" t="str">
        <f aca="false">Variants!$A160</f>
        <v>KARNI-BRAC-ALPHA-KEN-TURQUOISE</v>
      </c>
      <c r="F159" s="21" t="str">
        <f aca="false">IF(Variants!$E160="","",Variants!$E160&amp;", Armenian, handmade, enamel, "&amp;Variants!$D160)</f>
        <v>Alphabet, Armenian, handmade, enamel, Bracelet</v>
      </c>
      <c r="G159" s="21" t="str">
        <f aca="false">IFERROR(VLOOKUP(Variants!$B160,Designs!$A$3:$AP$165,12,FALSE())&amp;", enamel","")</f>
        <v>925 Silver Gold-Plated, enamel</v>
      </c>
      <c r="H159" s="21" t="str">
        <f aca="false">IF(Variants!$B160="","","I did")</f>
        <v>I did</v>
      </c>
      <c r="I159" s="21" t="str">
        <f aca="false">IF(Variants!$B160="","","Made to order")</f>
        <v>Made to order</v>
      </c>
      <c r="J159" s="21" t="str">
        <f aca="false">IF(Variants!$D160="","",Variants!$D160)</f>
        <v>Bracelet</v>
      </c>
      <c r="K159" s="21" t="str">
        <f aca="false">IF(Variants!$Y160="","",Variants!$Y160)</f>
        <v/>
      </c>
      <c r="L159" s="21" t="str">
        <f aca="false">IF(Variants!$H160="","",Variants!$H160)</f>
        <v>turquoise</v>
      </c>
      <c r="M159" s="21" t="str">
        <f aca="false">IF(Variants!$G160="","",Variants!$G160)</f>
        <v/>
      </c>
    </row>
    <row r="160" customFormat="false" ht="15.75" hidden="false" customHeight="true" outlineLevel="0" collapsed="false">
      <c r="A160" s="21" t="str">
        <f aca="false">IF(Variants!$B161="","",Variants!$C161&amp;" — "&amp;Variants!$E161&amp;IF(Variants!$F161=""," "," "&amp;Variants!$F161)&amp;" — "&amp;Variants!$H161)</f>
        <v>Bird Letter Bracelet — Alphabet Կ — white</v>
      </c>
      <c r="B160" s="21" t="str">
        <f aca="false">IFERROR(IF(Variants!$B161="","",VLOOKUP(Variants!$B161,Designs!$A$3:$AP$165,9,FALSE())&amp;" Handmade in Armenia."),"")</f>
        <v>Bird letters are an ornamental medieval Armenian script where each letter is formed from stylised birds, used in illuminated manuscripts. Handmade in Armenia.</v>
      </c>
      <c r="C160" s="18" t="n">
        <f aca="false">IF(Variants!$J161="","",Variants!$J161)</f>
        <v>49.4</v>
      </c>
      <c r="D160" s="21" t="n">
        <f aca="false">IF(Variants!$O161="","",Variants!$O161)</f>
        <v>0</v>
      </c>
      <c r="E160" s="21" t="str">
        <f aca="false">Variants!$A161</f>
        <v>KARNI-BRAC-ALPHA-KEN-WHITE</v>
      </c>
      <c r="F160" s="21" t="str">
        <f aca="false">IF(Variants!$E161="","",Variants!$E161&amp;", Armenian, handmade, enamel, "&amp;Variants!$D161)</f>
        <v>Alphabet, Armenian, handmade, enamel, Bracelet</v>
      </c>
      <c r="G160" s="21" t="str">
        <f aca="false">IFERROR(VLOOKUP(Variants!$B161,Designs!$A$3:$AP$165,12,FALSE())&amp;", enamel","")</f>
        <v>925 Silver Gold-Plated, enamel</v>
      </c>
      <c r="H160" s="21" t="str">
        <f aca="false">IF(Variants!$B161="","","I did")</f>
        <v>I did</v>
      </c>
      <c r="I160" s="21" t="str">
        <f aca="false">IF(Variants!$B161="","","Made to order")</f>
        <v>Made to order</v>
      </c>
      <c r="J160" s="21" t="str">
        <f aca="false">IF(Variants!$D161="","",Variants!$D161)</f>
        <v>Bracelet</v>
      </c>
      <c r="K160" s="21" t="str">
        <f aca="false">IF(Variants!$Y161="","",Variants!$Y161)</f>
        <v/>
      </c>
      <c r="L160" s="21" t="str">
        <f aca="false">IF(Variants!$H161="","",Variants!$H161)</f>
        <v>white</v>
      </c>
      <c r="M160" s="21" t="str">
        <f aca="false">IF(Variants!$G161="","",Variants!$G161)</f>
        <v/>
      </c>
    </row>
    <row r="161" customFormat="false" ht="15.75" hidden="false" customHeight="true" outlineLevel="0" collapsed="false">
      <c r="A161" s="21" t="str">
        <f aca="false">IF(Variants!$B162="","",Variants!$C162&amp;" — "&amp;Variants!$E162&amp;IF(Variants!$F162=""," "," "&amp;Variants!$F162)&amp;" — "&amp;Variants!$H162)</f>
        <v>Bird Letter Bracelet — Alphabet Հ — red</v>
      </c>
      <c r="B161" s="21" t="str">
        <f aca="false">IFERROR(IF(Variants!$B162="","",VLOOKUP(Variants!$B162,Designs!$A$3:$AP$165,9,FALSE())&amp;" Handmade in Armenia."),"")</f>
        <v>Bird letters are an ornamental medieval Armenian script where each letter is formed from stylised birds, used in illuminated manuscripts. Handmade in Armenia.</v>
      </c>
      <c r="C161" s="18" t="n">
        <f aca="false">IF(Variants!$J162="","",Variants!$J162)</f>
        <v>49.4</v>
      </c>
      <c r="D161" s="21" t="n">
        <f aca="false">IF(Variants!$O162="","",Variants!$O162)</f>
        <v>0</v>
      </c>
      <c r="E161" s="21" t="str">
        <f aca="false">Variants!$A162</f>
        <v>KARNI-BRAC-ALPHA-HO-RED</v>
      </c>
      <c r="F161" s="21" t="str">
        <f aca="false">IF(Variants!$E162="","",Variants!$E162&amp;", Armenian, handmade, enamel, "&amp;Variants!$D162)</f>
        <v>Alphabet, Armenian, handmade, enamel, Bracelet</v>
      </c>
      <c r="G161" s="21" t="str">
        <f aca="false">IFERROR(VLOOKUP(Variants!$B162,Designs!$A$3:$AP$165,12,FALSE())&amp;", enamel","")</f>
        <v>925 Silver Gold-Plated, enamel</v>
      </c>
      <c r="H161" s="21" t="str">
        <f aca="false">IF(Variants!$B162="","","I did")</f>
        <v>I did</v>
      </c>
      <c r="I161" s="21" t="str">
        <f aca="false">IF(Variants!$B162="","","Made to order")</f>
        <v>Made to order</v>
      </c>
      <c r="J161" s="21" t="str">
        <f aca="false">IF(Variants!$D162="","",Variants!$D162)</f>
        <v>Bracelet</v>
      </c>
      <c r="K161" s="21" t="str">
        <f aca="false">IF(Variants!$Y162="","",Variants!$Y162)</f>
        <v/>
      </c>
      <c r="L161" s="21" t="str">
        <f aca="false">IF(Variants!$H162="","",Variants!$H162)</f>
        <v>red</v>
      </c>
      <c r="M161" s="21" t="str">
        <f aca="false">IF(Variants!$G162="","",Variants!$G162)</f>
        <v/>
      </c>
    </row>
    <row r="162" customFormat="false" ht="15.75" hidden="false" customHeight="true" outlineLevel="0" collapsed="false">
      <c r="A162" s="21" t="str">
        <f aca="false">IF(Variants!$B163="","",Variants!$C163&amp;" — "&amp;Variants!$E163&amp;IF(Variants!$F163=""," "," "&amp;Variants!$F163)&amp;" — "&amp;Variants!$H163)</f>
        <v>Bird Letter Bracelet — Alphabet Հ — turquoise</v>
      </c>
      <c r="B162" s="21" t="str">
        <f aca="false">IFERROR(IF(Variants!$B163="","",VLOOKUP(Variants!$B163,Designs!$A$3:$AP$165,9,FALSE())&amp;" Handmade in Armenia."),"")</f>
        <v>Bird letters are an ornamental medieval Armenian script where each letter is formed from stylised birds, used in illuminated manuscripts. Handmade in Armenia.</v>
      </c>
      <c r="C162" s="18" t="n">
        <f aca="false">IF(Variants!$J163="","",Variants!$J163)</f>
        <v>49.4</v>
      </c>
      <c r="D162" s="21" t="n">
        <f aca="false">IF(Variants!$O163="","",Variants!$O163)</f>
        <v>0</v>
      </c>
      <c r="E162" s="21" t="str">
        <f aca="false">Variants!$A163</f>
        <v>KARNI-BRAC-ALPHA-HO-TURQUOISE</v>
      </c>
      <c r="F162" s="21" t="str">
        <f aca="false">IF(Variants!$E163="","",Variants!$E163&amp;", Armenian, handmade, enamel, "&amp;Variants!$D163)</f>
        <v>Alphabet, Armenian, handmade, enamel, Bracelet</v>
      </c>
      <c r="G162" s="21" t="str">
        <f aca="false">IFERROR(VLOOKUP(Variants!$B163,Designs!$A$3:$AP$165,12,FALSE())&amp;", enamel","")</f>
        <v>925 Silver Gold-Plated, enamel</v>
      </c>
      <c r="H162" s="21" t="str">
        <f aca="false">IF(Variants!$B163="","","I did")</f>
        <v>I did</v>
      </c>
      <c r="I162" s="21" t="str">
        <f aca="false">IF(Variants!$B163="","","Made to order")</f>
        <v>Made to order</v>
      </c>
      <c r="J162" s="21" t="str">
        <f aca="false">IF(Variants!$D163="","",Variants!$D163)</f>
        <v>Bracelet</v>
      </c>
      <c r="K162" s="21" t="str">
        <f aca="false">IF(Variants!$Y163="","",Variants!$Y163)</f>
        <v/>
      </c>
      <c r="L162" s="21" t="str">
        <f aca="false">IF(Variants!$H163="","",Variants!$H163)</f>
        <v>turquoise</v>
      </c>
      <c r="M162" s="21" t="str">
        <f aca="false">IF(Variants!$G163="","",Variants!$G163)</f>
        <v/>
      </c>
    </row>
    <row r="163" customFormat="false" ht="15.75" hidden="false" customHeight="true" outlineLevel="0" collapsed="false">
      <c r="A163" s="21" t="str">
        <f aca="false">IF(Variants!$B164="","",Variants!$C164&amp;" — "&amp;Variants!$E164&amp;IF(Variants!$F164=""," "," "&amp;Variants!$F164)&amp;" — "&amp;Variants!$H164)</f>
        <v>Bird Letter Bracelet — Alphabet Հ — white</v>
      </c>
      <c r="B163" s="21" t="str">
        <f aca="false">IFERROR(IF(Variants!$B164="","",VLOOKUP(Variants!$B164,Designs!$A$3:$AP$165,9,FALSE())&amp;" Handmade in Armenia."),"")</f>
        <v>Bird letters are an ornamental medieval Armenian script where each letter is formed from stylised birds, used in illuminated manuscripts. Handmade in Armenia.</v>
      </c>
      <c r="C163" s="18" t="n">
        <f aca="false">IF(Variants!$J164="","",Variants!$J164)</f>
        <v>49.4</v>
      </c>
      <c r="D163" s="21" t="n">
        <f aca="false">IF(Variants!$O164="","",Variants!$O164)</f>
        <v>0</v>
      </c>
      <c r="E163" s="21" t="str">
        <f aca="false">Variants!$A164</f>
        <v>KARNI-BRAC-ALPHA-HO-WHITE</v>
      </c>
      <c r="F163" s="21" t="str">
        <f aca="false">IF(Variants!$E164="","",Variants!$E164&amp;", Armenian, handmade, enamel, "&amp;Variants!$D164)</f>
        <v>Alphabet, Armenian, handmade, enamel, Bracelet</v>
      </c>
      <c r="G163" s="21" t="str">
        <f aca="false">IFERROR(VLOOKUP(Variants!$B164,Designs!$A$3:$AP$165,12,FALSE())&amp;", enamel","")</f>
        <v>925 Silver Gold-Plated, enamel</v>
      </c>
      <c r="H163" s="21" t="str">
        <f aca="false">IF(Variants!$B164="","","I did")</f>
        <v>I did</v>
      </c>
      <c r="I163" s="21" t="str">
        <f aca="false">IF(Variants!$B164="","","Made to order")</f>
        <v>Made to order</v>
      </c>
      <c r="J163" s="21" t="str">
        <f aca="false">IF(Variants!$D164="","",Variants!$D164)</f>
        <v>Bracelet</v>
      </c>
      <c r="K163" s="21" t="str">
        <f aca="false">IF(Variants!$Y164="","",Variants!$Y164)</f>
        <v/>
      </c>
      <c r="L163" s="21" t="str">
        <f aca="false">IF(Variants!$H164="","",Variants!$H164)</f>
        <v>white</v>
      </c>
      <c r="M163" s="21" t="str">
        <f aca="false">IF(Variants!$G164="","",Variants!$G164)</f>
        <v/>
      </c>
    </row>
    <row r="164" customFormat="false" ht="15.75" hidden="false" customHeight="true" outlineLevel="0" collapsed="false">
      <c r="A164" s="21" t="str">
        <f aca="false">IF(Variants!$B165="","",Variants!$C165&amp;" — "&amp;Variants!$E165&amp;IF(Variants!$F165=""," "," "&amp;Variants!$F165)&amp;" — "&amp;Variants!$H165)</f>
        <v>Bird Letter Bracelet — Alphabet Ձ — red</v>
      </c>
      <c r="B164" s="21" t="str">
        <f aca="false">IFERROR(IF(Variants!$B165="","",VLOOKUP(Variants!$B165,Designs!$A$3:$AP$165,9,FALSE())&amp;" Handmade in Armenia."),"")</f>
        <v>Bird letters are an ornamental medieval Armenian script where each letter is formed from stylised birds, used in illuminated manuscripts. Handmade in Armenia.</v>
      </c>
      <c r="C164" s="18" t="n">
        <f aca="false">IF(Variants!$J165="","",Variants!$J165)</f>
        <v>49.4</v>
      </c>
      <c r="D164" s="21" t="n">
        <f aca="false">IF(Variants!$O165="","",Variants!$O165)</f>
        <v>0</v>
      </c>
      <c r="E164" s="21" t="str">
        <f aca="false">Variants!$A165</f>
        <v>KARNI-BRAC-ALPHA-DZA-RED</v>
      </c>
      <c r="F164" s="21" t="str">
        <f aca="false">IF(Variants!$E165="","",Variants!$E165&amp;", Armenian, handmade, enamel, "&amp;Variants!$D165)</f>
        <v>Alphabet, Armenian, handmade, enamel, Bracelet</v>
      </c>
      <c r="G164" s="21" t="str">
        <f aca="false">IFERROR(VLOOKUP(Variants!$B165,Designs!$A$3:$AP$165,12,FALSE())&amp;", enamel","")</f>
        <v>925 Silver Gold-Plated, enamel</v>
      </c>
      <c r="H164" s="21" t="str">
        <f aca="false">IF(Variants!$B165="","","I did")</f>
        <v>I did</v>
      </c>
      <c r="I164" s="21" t="str">
        <f aca="false">IF(Variants!$B165="","","Made to order")</f>
        <v>Made to order</v>
      </c>
      <c r="J164" s="21" t="str">
        <f aca="false">IF(Variants!$D165="","",Variants!$D165)</f>
        <v>Bracelet</v>
      </c>
      <c r="K164" s="21" t="str">
        <f aca="false">IF(Variants!$Y165="","",Variants!$Y165)</f>
        <v/>
      </c>
      <c r="L164" s="21" t="str">
        <f aca="false">IF(Variants!$H165="","",Variants!$H165)</f>
        <v>red</v>
      </c>
      <c r="M164" s="21" t="str">
        <f aca="false">IF(Variants!$G165="","",Variants!$G165)</f>
        <v/>
      </c>
    </row>
    <row r="165" customFormat="false" ht="15.75" hidden="false" customHeight="true" outlineLevel="0" collapsed="false">
      <c r="A165" s="21" t="str">
        <f aca="false">IF(Variants!$B166="","",Variants!$C166&amp;" — "&amp;Variants!$E166&amp;IF(Variants!$F166=""," "," "&amp;Variants!$F166)&amp;" — "&amp;Variants!$H166)</f>
        <v>Bird Letter Bracelet — Alphabet Ձ — turquoise</v>
      </c>
      <c r="B165" s="21" t="str">
        <f aca="false">IFERROR(IF(Variants!$B166="","",VLOOKUP(Variants!$B166,Designs!$A$3:$AP$165,9,FALSE())&amp;" Handmade in Armenia."),"")</f>
        <v>Bird letters are an ornamental medieval Armenian script where each letter is formed from stylised birds, used in illuminated manuscripts. Handmade in Armenia.</v>
      </c>
      <c r="C165" s="18" t="n">
        <f aca="false">IF(Variants!$J166="","",Variants!$J166)</f>
        <v>49.4</v>
      </c>
      <c r="D165" s="21" t="n">
        <f aca="false">IF(Variants!$O166="","",Variants!$O166)</f>
        <v>0</v>
      </c>
      <c r="E165" s="21" t="str">
        <f aca="false">Variants!$A166</f>
        <v>KARNI-BRAC-ALPHA-DZA-TURQUOISE</v>
      </c>
      <c r="F165" s="21" t="str">
        <f aca="false">IF(Variants!$E166="","",Variants!$E166&amp;", Armenian, handmade, enamel, "&amp;Variants!$D166)</f>
        <v>Alphabet, Armenian, handmade, enamel, Bracelet</v>
      </c>
      <c r="G165" s="21" t="str">
        <f aca="false">IFERROR(VLOOKUP(Variants!$B166,Designs!$A$3:$AP$165,12,FALSE())&amp;", enamel","")</f>
        <v>925 Silver Gold-Plated, enamel</v>
      </c>
      <c r="H165" s="21" t="str">
        <f aca="false">IF(Variants!$B166="","","I did")</f>
        <v>I did</v>
      </c>
      <c r="I165" s="21" t="str">
        <f aca="false">IF(Variants!$B166="","","Made to order")</f>
        <v>Made to order</v>
      </c>
      <c r="J165" s="21" t="str">
        <f aca="false">IF(Variants!$D166="","",Variants!$D166)</f>
        <v>Bracelet</v>
      </c>
      <c r="K165" s="21" t="str">
        <f aca="false">IF(Variants!$Y166="","",Variants!$Y166)</f>
        <v/>
      </c>
      <c r="L165" s="21" t="str">
        <f aca="false">IF(Variants!$H166="","",Variants!$H166)</f>
        <v>turquoise</v>
      </c>
      <c r="M165" s="21" t="str">
        <f aca="false">IF(Variants!$G166="","",Variants!$G166)</f>
        <v/>
      </c>
    </row>
    <row r="166" customFormat="false" ht="15.75" hidden="false" customHeight="true" outlineLevel="0" collapsed="false">
      <c r="A166" s="21" t="str">
        <f aca="false">IF(Variants!$B167="","",Variants!$C167&amp;" — "&amp;Variants!$E167&amp;IF(Variants!$F167=""," "," "&amp;Variants!$F167)&amp;" — "&amp;Variants!$H167)</f>
        <v>Bird Letter Bracelet — Alphabet Ձ — white</v>
      </c>
      <c r="B166" s="21" t="str">
        <f aca="false">IFERROR(IF(Variants!$B167="","",VLOOKUP(Variants!$B167,Designs!$A$3:$AP$165,9,FALSE())&amp;" Handmade in Armenia."),"")</f>
        <v>Bird letters are an ornamental medieval Armenian script where each letter is formed from stylised birds, used in illuminated manuscripts. Handmade in Armenia.</v>
      </c>
      <c r="C166" s="18" t="n">
        <f aca="false">IF(Variants!$J167="","",Variants!$J167)</f>
        <v>49.4</v>
      </c>
      <c r="D166" s="21" t="n">
        <f aca="false">IF(Variants!$O167="","",Variants!$O167)</f>
        <v>0</v>
      </c>
      <c r="E166" s="21" t="str">
        <f aca="false">Variants!$A167</f>
        <v>KARNI-BRAC-ALPHA-DZA-WHITE</v>
      </c>
      <c r="F166" s="21" t="str">
        <f aca="false">IF(Variants!$E167="","",Variants!$E167&amp;", Armenian, handmade, enamel, "&amp;Variants!$D167)</f>
        <v>Alphabet, Armenian, handmade, enamel, Bracelet</v>
      </c>
      <c r="G166" s="21" t="str">
        <f aca="false">IFERROR(VLOOKUP(Variants!$B167,Designs!$A$3:$AP$165,12,FALSE())&amp;", enamel","")</f>
        <v>925 Silver Gold-Plated, enamel</v>
      </c>
      <c r="H166" s="21" t="str">
        <f aca="false">IF(Variants!$B167="","","I did")</f>
        <v>I did</v>
      </c>
      <c r="I166" s="21" t="str">
        <f aca="false">IF(Variants!$B167="","","Made to order")</f>
        <v>Made to order</v>
      </c>
      <c r="J166" s="21" t="str">
        <f aca="false">IF(Variants!$D167="","",Variants!$D167)</f>
        <v>Bracelet</v>
      </c>
      <c r="K166" s="21" t="str">
        <f aca="false">IF(Variants!$Y167="","",Variants!$Y167)</f>
        <v/>
      </c>
      <c r="L166" s="21" t="str">
        <f aca="false">IF(Variants!$H167="","",Variants!$H167)</f>
        <v>white</v>
      </c>
      <c r="M166" s="21" t="str">
        <f aca="false">IF(Variants!$G167="","",Variants!$G167)</f>
        <v/>
      </c>
    </row>
    <row r="167" customFormat="false" ht="15.75" hidden="false" customHeight="true" outlineLevel="0" collapsed="false">
      <c r="A167" s="21" t="str">
        <f aca="false">IF(Variants!$B168="","",Variants!$C168&amp;" — "&amp;Variants!$E168&amp;IF(Variants!$F168=""," "," "&amp;Variants!$F168)&amp;" — "&amp;Variants!$H168)</f>
        <v>Bird Letter Bracelet — Alphabet Ղ — red</v>
      </c>
      <c r="B167" s="21" t="str">
        <f aca="false">IFERROR(IF(Variants!$B168="","",VLOOKUP(Variants!$B168,Designs!$A$3:$AP$165,9,FALSE())&amp;" Handmade in Armenia."),"")</f>
        <v>Bird letters are an ornamental medieval Armenian script where each letter is formed from stylised birds, used in illuminated manuscripts. Handmade in Armenia.</v>
      </c>
      <c r="C167" s="18" t="n">
        <f aca="false">IF(Variants!$J168="","",Variants!$J168)</f>
        <v>49.4</v>
      </c>
      <c r="D167" s="21" t="n">
        <f aca="false">IF(Variants!$O168="","",Variants!$O168)</f>
        <v>0</v>
      </c>
      <c r="E167" s="21" t="str">
        <f aca="false">Variants!$A168</f>
        <v>KARNI-BRAC-ALPHA-GHAT-RED</v>
      </c>
      <c r="F167" s="21" t="str">
        <f aca="false">IF(Variants!$E168="","",Variants!$E168&amp;", Armenian, handmade, enamel, "&amp;Variants!$D168)</f>
        <v>Alphabet, Armenian, handmade, enamel, Bracelet</v>
      </c>
      <c r="G167" s="21" t="str">
        <f aca="false">IFERROR(VLOOKUP(Variants!$B168,Designs!$A$3:$AP$165,12,FALSE())&amp;", enamel","")</f>
        <v>925 Silver Gold-Plated, enamel</v>
      </c>
      <c r="H167" s="21" t="str">
        <f aca="false">IF(Variants!$B168="","","I did")</f>
        <v>I did</v>
      </c>
      <c r="I167" s="21" t="str">
        <f aca="false">IF(Variants!$B168="","","Made to order")</f>
        <v>Made to order</v>
      </c>
      <c r="J167" s="21" t="str">
        <f aca="false">IF(Variants!$D168="","",Variants!$D168)</f>
        <v>Bracelet</v>
      </c>
      <c r="K167" s="21" t="str">
        <f aca="false">IF(Variants!$Y168="","",Variants!$Y168)</f>
        <v/>
      </c>
      <c r="L167" s="21" t="str">
        <f aca="false">IF(Variants!$H168="","",Variants!$H168)</f>
        <v>red</v>
      </c>
      <c r="M167" s="21" t="str">
        <f aca="false">IF(Variants!$G168="","",Variants!$G168)</f>
        <v/>
      </c>
    </row>
    <row r="168" customFormat="false" ht="15.75" hidden="false" customHeight="true" outlineLevel="0" collapsed="false">
      <c r="A168" s="21" t="str">
        <f aca="false">IF(Variants!$B169="","",Variants!$C169&amp;" — "&amp;Variants!$E169&amp;IF(Variants!$F169=""," "," "&amp;Variants!$F169)&amp;" — "&amp;Variants!$H169)</f>
        <v>Bird Letter Bracelet — Alphabet Ղ — turquoise</v>
      </c>
      <c r="B168" s="21" t="str">
        <f aca="false">IFERROR(IF(Variants!$B169="","",VLOOKUP(Variants!$B169,Designs!$A$3:$AP$165,9,FALSE())&amp;" Handmade in Armenia."),"")</f>
        <v>Bird letters are an ornamental medieval Armenian script where each letter is formed from stylised birds, used in illuminated manuscripts. Handmade in Armenia.</v>
      </c>
      <c r="C168" s="18" t="n">
        <f aca="false">IF(Variants!$J169="","",Variants!$J169)</f>
        <v>49.4</v>
      </c>
      <c r="D168" s="21" t="n">
        <f aca="false">IF(Variants!$O169="","",Variants!$O169)</f>
        <v>0</v>
      </c>
      <c r="E168" s="21" t="str">
        <f aca="false">Variants!$A169</f>
        <v>KARNI-BRAC-ALPHA-GHAT-TURQUOISE</v>
      </c>
      <c r="F168" s="21" t="str">
        <f aca="false">IF(Variants!$E169="","",Variants!$E169&amp;", Armenian, handmade, enamel, "&amp;Variants!$D169)</f>
        <v>Alphabet, Armenian, handmade, enamel, Bracelet</v>
      </c>
      <c r="G168" s="21" t="str">
        <f aca="false">IFERROR(VLOOKUP(Variants!$B169,Designs!$A$3:$AP$165,12,FALSE())&amp;", enamel","")</f>
        <v>925 Silver Gold-Plated, enamel</v>
      </c>
      <c r="H168" s="21" t="str">
        <f aca="false">IF(Variants!$B169="","","I did")</f>
        <v>I did</v>
      </c>
      <c r="I168" s="21" t="str">
        <f aca="false">IF(Variants!$B169="","","Made to order")</f>
        <v>Made to order</v>
      </c>
      <c r="J168" s="21" t="str">
        <f aca="false">IF(Variants!$D169="","",Variants!$D169)</f>
        <v>Bracelet</v>
      </c>
      <c r="K168" s="21" t="str">
        <f aca="false">IF(Variants!$Y169="","",Variants!$Y169)</f>
        <v/>
      </c>
      <c r="L168" s="21" t="str">
        <f aca="false">IF(Variants!$H169="","",Variants!$H169)</f>
        <v>turquoise</v>
      </c>
      <c r="M168" s="21" t="str">
        <f aca="false">IF(Variants!$G169="","",Variants!$G169)</f>
        <v/>
      </c>
    </row>
    <row r="169" customFormat="false" ht="15.75" hidden="false" customHeight="true" outlineLevel="0" collapsed="false">
      <c r="A169" s="21" t="str">
        <f aca="false">IF(Variants!$B170="","",Variants!$C170&amp;" — "&amp;Variants!$E170&amp;IF(Variants!$F170=""," "," "&amp;Variants!$F170)&amp;" — "&amp;Variants!$H170)</f>
        <v>Bird Letter Bracelet — Alphabet Ղ — white</v>
      </c>
      <c r="B169" s="21" t="str">
        <f aca="false">IFERROR(IF(Variants!$B170="","",VLOOKUP(Variants!$B170,Designs!$A$3:$AP$165,9,FALSE())&amp;" Handmade in Armenia."),"")</f>
        <v>Bird letters are an ornamental medieval Armenian script where each letter is formed from stylised birds, used in illuminated manuscripts. Handmade in Armenia.</v>
      </c>
      <c r="C169" s="18" t="n">
        <f aca="false">IF(Variants!$J170="","",Variants!$J170)</f>
        <v>49.4</v>
      </c>
      <c r="D169" s="21" t="n">
        <f aca="false">IF(Variants!$O170="","",Variants!$O170)</f>
        <v>0</v>
      </c>
      <c r="E169" s="21" t="str">
        <f aca="false">Variants!$A170</f>
        <v>KARNI-BRAC-ALPHA-GHAT-WHITE</v>
      </c>
      <c r="F169" s="21" t="str">
        <f aca="false">IF(Variants!$E170="","",Variants!$E170&amp;", Armenian, handmade, enamel, "&amp;Variants!$D170)</f>
        <v>Alphabet, Armenian, handmade, enamel, Bracelet</v>
      </c>
      <c r="G169" s="21" t="str">
        <f aca="false">IFERROR(VLOOKUP(Variants!$B170,Designs!$A$3:$AP$165,12,FALSE())&amp;", enamel","")</f>
        <v>925 Silver Gold-Plated, enamel</v>
      </c>
      <c r="H169" s="21" t="str">
        <f aca="false">IF(Variants!$B170="","","I did")</f>
        <v>I did</v>
      </c>
      <c r="I169" s="21" t="str">
        <f aca="false">IF(Variants!$B170="","","Made to order")</f>
        <v>Made to order</v>
      </c>
      <c r="J169" s="21" t="str">
        <f aca="false">IF(Variants!$D170="","",Variants!$D170)</f>
        <v>Bracelet</v>
      </c>
      <c r="K169" s="21" t="str">
        <f aca="false">IF(Variants!$Y170="","",Variants!$Y170)</f>
        <v/>
      </c>
      <c r="L169" s="21" t="str">
        <f aca="false">IF(Variants!$H170="","",Variants!$H170)</f>
        <v>white</v>
      </c>
      <c r="M169" s="21" t="str">
        <f aca="false">IF(Variants!$G170="","",Variants!$G170)</f>
        <v/>
      </c>
    </row>
    <row r="170" customFormat="false" ht="15.75" hidden="false" customHeight="true" outlineLevel="0" collapsed="false">
      <c r="A170" s="21" t="str">
        <f aca="false">IF(Variants!$B171="","",Variants!$C171&amp;" — "&amp;Variants!$E171&amp;IF(Variants!$F171=""," "," "&amp;Variants!$F171)&amp;" — "&amp;Variants!$H171)</f>
        <v>Bird Letter Bracelet — Alphabet Ճ — red</v>
      </c>
      <c r="B170" s="21" t="str">
        <f aca="false">IFERROR(IF(Variants!$B171="","",VLOOKUP(Variants!$B171,Designs!$A$3:$AP$165,9,FALSE())&amp;" Handmade in Armenia."),"")</f>
        <v>Bird letters are an ornamental medieval Armenian script where each letter is formed from stylised birds, used in illuminated manuscripts. Handmade in Armenia.</v>
      </c>
      <c r="C170" s="18" t="n">
        <f aca="false">IF(Variants!$J171="","",Variants!$J171)</f>
        <v>49.4</v>
      </c>
      <c r="D170" s="21" t="n">
        <f aca="false">IF(Variants!$O171="","",Variants!$O171)</f>
        <v>0</v>
      </c>
      <c r="E170" s="21" t="str">
        <f aca="false">Variants!$A171</f>
        <v>KARNI-BRAC-ALPHA-CHEH-RED</v>
      </c>
      <c r="F170" s="21" t="str">
        <f aca="false">IF(Variants!$E171="","",Variants!$E171&amp;", Armenian, handmade, enamel, "&amp;Variants!$D171)</f>
        <v>Alphabet, Armenian, handmade, enamel, Bracelet</v>
      </c>
      <c r="G170" s="21" t="str">
        <f aca="false">IFERROR(VLOOKUP(Variants!$B171,Designs!$A$3:$AP$165,12,FALSE())&amp;", enamel","")</f>
        <v>925 Silver Gold-Plated, enamel</v>
      </c>
      <c r="H170" s="21" t="str">
        <f aca="false">IF(Variants!$B171="","","I did")</f>
        <v>I did</v>
      </c>
      <c r="I170" s="21" t="str">
        <f aca="false">IF(Variants!$B171="","","Made to order")</f>
        <v>Made to order</v>
      </c>
      <c r="J170" s="21" t="str">
        <f aca="false">IF(Variants!$D171="","",Variants!$D171)</f>
        <v>Bracelet</v>
      </c>
      <c r="K170" s="21" t="str">
        <f aca="false">IF(Variants!$Y171="","",Variants!$Y171)</f>
        <v/>
      </c>
      <c r="L170" s="21" t="str">
        <f aca="false">IF(Variants!$H171="","",Variants!$H171)</f>
        <v>red</v>
      </c>
      <c r="M170" s="21" t="str">
        <f aca="false">IF(Variants!$G171="","",Variants!$G171)</f>
        <v/>
      </c>
    </row>
    <row r="171" customFormat="false" ht="15.75" hidden="false" customHeight="true" outlineLevel="0" collapsed="false">
      <c r="A171" s="21" t="str">
        <f aca="false">IF(Variants!$B172="","",Variants!$C172&amp;" — "&amp;Variants!$E172&amp;IF(Variants!$F172=""," "," "&amp;Variants!$F172)&amp;" — "&amp;Variants!$H172)</f>
        <v>Bird Letter Bracelet — Alphabet Ճ — turquoise</v>
      </c>
      <c r="B171" s="21" t="str">
        <f aca="false">IFERROR(IF(Variants!$B172="","",VLOOKUP(Variants!$B172,Designs!$A$3:$AP$165,9,FALSE())&amp;" Handmade in Armenia."),"")</f>
        <v>Bird letters are an ornamental medieval Armenian script where each letter is formed from stylised birds, used in illuminated manuscripts. Handmade in Armenia.</v>
      </c>
      <c r="C171" s="18" t="n">
        <f aca="false">IF(Variants!$J172="","",Variants!$J172)</f>
        <v>49.4</v>
      </c>
      <c r="D171" s="21" t="n">
        <f aca="false">IF(Variants!$O172="","",Variants!$O172)</f>
        <v>0</v>
      </c>
      <c r="E171" s="21" t="str">
        <f aca="false">Variants!$A172</f>
        <v>KARNI-BRAC-ALPHA-CHEH-TURQUOISE</v>
      </c>
      <c r="F171" s="21" t="str">
        <f aca="false">IF(Variants!$E172="","",Variants!$E172&amp;", Armenian, handmade, enamel, "&amp;Variants!$D172)</f>
        <v>Alphabet, Armenian, handmade, enamel, Bracelet</v>
      </c>
      <c r="G171" s="21" t="str">
        <f aca="false">IFERROR(VLOOKUP(Variants!$B172,Designs!$A$3:$AP$165,12,FALSE())&amp;", enamel","")</f>
        <v>925 Silver Gold-Plated, enamel</v>
      </c>
      <c r="H171" s="21" t="str">
        <f aca="false">IF(Variants!$B172="","","I did")</f>
        <v>I did</v>
      </c>
      <c r="I171" s="21" t="str">
        <f aca="false">IF(Variants!$B172="","","Made to order")</f>
        <v>Made to order</v>
      </c>
      <c r="J171" s="21" t="str">
        <f aca="false">IF(Variants!$D172="","",Variants!$D172)</f>
        <v>Bracelet</v>
      </c>
      <c r="K171" s="21" t="str">
        <f aca="false">IF(Variants!$Y172="","",Variants!$Y172)</f>
        <v/>
      </c>
      <c r="L171" s="21" t="str">
        <f aca="false">IF(Variants!$H172="","",Variants!$H172)</f>
        <v>turquoise</v>
      </c>
      <c r="M171" s="21" t="str">
        <f aca="false">IF(Variants!$G172="","",Variants!$G172)</f>
        <v/>
      </c>
    </row>
    <row r="172" customFormat="false" ht="15.75" hidden="false" customHeight="true" outlineLevel="0" collapsed="false">
      <c r="A172" s="21" t="str">
        <f aca="false">IF(Variants!$B173="","",Variants!$C173&amp;" — "&amp;Variants!$E173&amp;IF(Variants!$F173=""," "," "&amp;Variants!$F173)&amp;" — "&amp;Variants!$H173)</f>
        <v>Bird Letter Bracelet — Alphabet Ճ — white</v>
      </c>
      <c r="B172" s="21" t="str">
        <f aca="false">IFERROR(IF(Variants!$B173="","",VLOOKUP(Variants!$B173,Designs!$A$3:$AP$165,9,FALSE())&amp;" Handmade in Armenia."),"")</f>
        <v>Bird letters are an ornamental medieval Armenian script where each letter is formed from stylised birds, used in illuminated manuscripts. Handmade in Armenia.</v>
      </c>
      <c r="C172" s="18" t="n">
        <f aca="false">IF(Variants!$J173="","",Variants!$J173)</f>
        <v>49.4</v>
      </c>
      <c r="D172" s="21" t="n">
        <f aca="false">IF(Variants!$O173="","",Variants!$O173)</f>
        <v>0</v>
      </c>
      <c r="E172" s="21" t="str">
        <f aca="false">Variants!$A173</f>
        <v>KARNI-BRAC-ALPHA-CHEH-WHITE</v>
      </c>
      <c r="F172" s="21" t="str">
        <f aca="false">IF(Variants!$E173="","",Variants!$E173&amp;", Armenian, handmade, enamel, "&amp;Variants!$D173)</f>
        <v>Alphabet, Armenian, handmade, enamel, Bracelet</v>
      </c>
      <c r="G172" s="21" t="str">
        <f aca="false">IFERROR(VLOOKUP(Variants!$B173,Designs!$A$3:$AP$165,12,FALSE())&amp;", enamel","")</f>
        <v>925 Silver Gold-Plated, enamel</v>
      </c>
      <c r="H172" s="21" t="str">
        <f aca="false">IF(Variants!$B173="","","I did")</f>
        <v>I did</v>
      </c>
      <c r="I172" s="21" t="str">
        <f aca="false">IF(Variants!$B173="","","Made to order")</f>
        <v>Made to order</v>
      </c>
      <c r="J172" s="21" t="str">
        <f aca="false">IF(Variants!$D173="","",Variants!$D173)</f>
        <v>Bracelet</v>
      </c>
      <c r="K172" s="21" t="str">
        <f aca="false">IF(Variants!$Y173="","",Variants!$Y173)</f>
        <v/>
      </c>
      <c r="L172" s="21" t="str">
        <f aca="false">IF(Variants!$H173="","",Variants!$H173)</f>
        <v>white</v>
      </c>
      <c r="M172" s="21" t="str">
        <f aca="false">IF(Variants!$G173="","",Variants!$G173)</f>
        <v/>
      </c>
    </row>
    <row r="173" customFormat="false" ht="15.75" hidden="false" customHeight="true" outlineLevel="0" collapsed="false">
      <c r="A173" s="21" t="str">
        <f aca="false">IF(Variants!$B174="","",Variants!$C174&amp;" — "&amp;Variants!$E174&amp;IF(Variants!$F174=""," "," "&amp;Variants!$F174)&amp;" — "&amp;Variants!$H174)</f>
        <v>Bird Letter Bracelet — Alphabet Մ — red</v>
      </c>
      <c r="B173" s="21" t="str">
        <f aca="false">IFERROR(IF(Variants!$B174="","",VLOOKUP(Variants!$B174,Designs!$A$3:$AP$165,9,FALSE())&amp;" Handmade in Armenia."),"")</f>
        <v>Bird letters are an ornamental medieval Armenian script where each letter is formed from stylised birds, used in illuminated manuscripts. Handmade in Armenia.</v>
      </c>
      <c r="C173" s="18" t="n">
        <f aca="false">IF(Variants!$J174="","",Variants!$J174)</f>
        <v>49.4</v>
      </c>
      <c r="D173" s="21" t="n">
        <f aca="false">IF(Variants!$O174="","",Variants!$O174)</f>
        <v>0</v>
      </c>
      <c r="E173" s="21" t="str">
        <f aca="false">Variants!$A174</f>
        <v>KARNI-BRAC-ALPHA-MEN-RED</v>
      </c>
      <c r="F173" s="21" t="str">
        <f aca="false">IF(Variants!$E174="","",Variants!$E174&amp;", Armenian, handmade, enamel, "&amp;Variants!$D174)</f>
        <v>Alphabet, Armenian, handmade, enamel, Bracelet</v>
      </c>
      <c r="G173" s="21" t="str">
        <f aca="false">IFERROR(VLOOKUP(Variants!$B174,Designs!$A$3:$AP$165,12,FALSE())&amp;", enamel","")</f>
        <v>925 Silver Gold-Plated, enamel</v>
      </c>
      <c r="H173" s="21" t="str">
        <f aca="false">IF(Variants!$B174="","","I did")</f>
        <v>I did</v>
      </c>
      <c r="I173" s="21" t="str">
        <f aca="false">IF(Variants!$B174="","","Made to order")</f>
        <v>Made to order</v>
      </c>
      <c r="J173" s="21" t="str">
        <f aca="false">IF(Variants!$D174="","",Variants!$D174)</f>
        <v>Bracelet</v>
      </c>
      <c r="K173" s="21" t="str">
        <f aca="false">IF(Variants!$Y174="","",Variants!$Y174)</f>
        <v/>
      </c>
      <c r="L173" s="21" t="str">
        <f aca="false">IF(Variants!$H174="","",Variants!$H174)</f>
        <v>red</v>
      </c>
      <c r="M173" s="21" t="str">
        <f aca="false">IF(Variants!$G174="","",Variants!$G174)</f>
        <v/>
      </c>
    </row>
    <row r="174" customFormat="false" ht="15.75" hidden="false" customHeight="true" outlineLevel="0" collapsed="false">
      <c r="A174" s="21" t="str">
        <f aca="false">IF(Variants!$B175="","",Variants!$C175&amp;" — "&amp;Variants!$E175&amp;IF(Variants!$F175=""," "," "&amp;Variants!$F175)&amp;" — "&amp;Variants!$H175)</f>
        <v>Bird Letter Bracelet — Alphabet Մ — turquoise</v>
      </c>
      <c r="B174" s="21" t="str">
        <f aca="false">IFERROR(IF(Variants!$B175="","",VLOOKUP(Variants!$B175,Designs!$A$3:$AP$165,9,FALSE())&amp;" Handmade in Armenia."),"")</f>
        <v>Bird letters are an ornamental medieval Armenian script where each letter is formed from stylised birds, used in illuminated manuscripts. Handmade in Armenia.</v>
      </c>
      <c r="C174" s="18" t="n">
        <f aca="false">IF(Variants!$J175="","",Variants!$J175)</f>
        <v>49.4</v>
      </c>
      <c r="D174" s="21" t="n">
        <f aca="false">IF(Variants!$O175="","",Variants!$O175)</f>
        <v>0</v>
      </c>
      <c r="E174" s="21" t="str">
        <f aca="false">Variants!$A175</f>
        <v>KARNI-BRAC-ALPHA-MEN-TURQUOISE</v>
      </c>
      <c r="F174" s="21" t="str">
        <f aca="false">IF(Variants!$E175="","",Variants!$E175&amp;", Armenian, handmade, enamel, "&amp;Variants!$D175)</f>
        <v>Alphabet, Armenian, handmade, enamel, Bracelet</v>
      </c>
      <c r="G174" s="21" t="str">
        <f aca="false">IFERROR(VLOOKUP(Variants!$B175,Designs!$A$3:$AP$165,12,FALSE())&amp;", enamel","")</f>
        <v>925 Silver Gold-Plated, enamel</v>
      </c>
      <c r="H174" s="21" t="str">
        <f aca="false">IF(Variants!$B175="","","I did")</f>
        <v>I did</v>
      </c>
      <c r="I174" s="21" t="str">
        <f aca="false">IF(Variants!$B175="","","Made to order")</f>
        <v>Made to order</v>
      </c>
      <c r="J174" s="21" t="str">
        <f aca="false">IF(Variants!$D175="","",Variants!$D175)</f>
        <v>Bracelet</v>
      </c>
      <c r="K174" s="21" t="str">
        <f aca="false">IF(Variants!$Y175="","",Variants!$Y175)</f>
        <v/>
      </c>
      <c r="L174" s="21" t="str">
        <f aca="false">IF(Variants!$H175="","",Variants!$H175)</f>
        <v>turquoise</v>
      </c>
      <c r="M174" s="21" t="str">
        <f aca="false">IF(Variants!$G175="","",Variants!$G175)</f>
        <v/>
      </c>
    </row>
    <row r="175" customFormat="false" ht="15.75" hidden="false" customHeight="true" outlineLevel="0" collapsed="false">
      <c r="A175" s="21" t="str">
        <f aca="false">IF(Variants!$B176="","",Variants!$C176&amp;" — "&amp;Variants!$E176&amp;IF(Variants!$F176=""," "," "&amp;Variants!$F176)&amp;" — "&amp;Variants!$H176)</f>
        <v>Bird Letter Bracelet — Alphabet Մ — white</v>
      </c>
      <c r="B175" s="21" t="str">
        <f aca="false">IFERROR(IF(Variants!$B176="","",VLOOKUP(Variants!$B176,Designs!$A$3:$AP$165,9,FALSE())&amp;" Handmade in Armenia."),"")</f>
        <v>Bird letters are an ornamental medieval Armenian script where each letter is formed from stylised birds, used in illuminated manuscripts. Handmade in Armenia.</v>
      </c>
      <c r="C175" s="18" t="n">
        <f aca="false">IF(Variants!$J176="","",Variants!$J176)</f>
        <v>49.4</v>
      </c>
      <c r="D175" s="21" t="n">
        <f aca="false">IF(Variants!$O176="","",Variants!$O176)</f>
        <v>0</v>
      </c>
      <c r="E175" s="21" t="str">
        <f aca="false">Variants!$A176</f>
        <v>KARNI-BRAC-ALPHA-MEN-WHITE</v>
      </c>
      <c r="F175" s="21" t="str">
        <f aca="false">IF(Variants!$E176="","",Variants!$E176&amp;", Armenian, handmade, enamel, "&amp;Variants!$D176)</f>
        <v>Alphabet, Armenian, handmade, enamel, Bracelet</v>
      </c>
      <c r="G175" s="21" t="str">
        <f aca="false">IFERROR(VLOOKUP(Variants!$B176,Designs!$A$3:$AP$165,12,FALSE())&amp;", enamel","")</f>
        <v>925 Silver Gold-Plated, enamel</v>
      </c>
      <c r="H175" s="21" t="str">
        <f aca="false">IF(Variants!$B176="","","I did")</f>
        <v>I did</v>
      </c>
      <c r="I175" s="21" t="str">
        <f aca="false">IF(Variants!$B176="","","Made to order")</f>
        <v>Made to order</v>
      </c>
      <c r="J175" s="21" t="str">
        <f aca="false">IF(Variants!$D176="","",Variants!$D176)</f>
        <v>Bracelet</v>
      </c>
      <c r="K175" s="21" t="str">
        <f aca="false">IF(Variants!$Y176="","",Variants!$Y176)</f>
        <v/>
      </c>
      <c r="L175" s="21" t="str">
        <f aca="false">IF(Variants!$H176="","",Variants!$H176)</f>
        <v>white</v>
      </c>
      <c r="M175" s="21" t="str">
        <f aca="false">IF(Variants!$G176="","",Variants!$G176)</f>
        <v/>
      </c>
    </row>
    <row r="176" customFormat="false" ht="15.75" hidden="false" customHeight="true" outlineLevel="0" collapsed="false">
      <c r="A176" s="21" t="str">
        <f aca="false">IF(Variants!$B177="","",Variants!$C177&amp;" — "&amp;Variants!$E177&amp;IF(Variants!$F177=""," "," "&amp;Variants!$F177)&amp;" — "&amp;Variants!$H177)</f>
        <v>Bird Letter Bracelet — Alphabet Յ — red</v>
      </c>
      <c r="B176" s="21" t="str">
        <f aca="false">IFERROR(IF(Variants!$B177="","",VLOOKUP(Variants!$B177,Designs!$A$3:$AP$165,9,FALSE())&amp;" Handmade in Armenia."),"")</f>
        <v>Bird letters are an ornamental medieval Armenian script where each letter is formed from stylised birds, used in illuminated manuscripts. Handmade in Armenia.</v>
      </c>
      <c r="C176" s="18" t="n">
        <f aca="false">IF(Variants!$J177="","",Variants!$J177)</f>
        <v>49.4</v>
      </c>
      <c r="D176" s="21" t="n">
        <f aca="false">IF(Variants!$O177="","",Variants!$O177)</f>
        <v>0</v>
      </c>
      <c r="E176" s="21" t="str">
        <f aca="false">Variants!$A177</f>
        <v>KARNI-BRAC-ALPHA-HI-RED</v>
      </c>
      <c r="F176" s="21" t="str">
        <f aca="false">IF(Variants!$E177="","",Variants!$E177&amp;", Armenian, handmade, enamel, "&amp;Variants!$D177)</f>
        <v>Alphabet, Armenian, handmade, enamel, Bracelet</v>
      </c>
      <c r="G176" s="21" t="str">
        <f aca="false">IFERROR(VLOOKUP(Variants!$B177,Designs!$A$3:$AP$165,12,FALSE())&amp;", enamel","")</f>
        <v>925 Silver Gold-Plated, enamel</v>
      </c>
      <c r="H176" s="21" t="str">
        <f aca="false">IF(Variants!$B177="","","I did")</f>
        <v>I did</v>
      </c>
      <c r="I176" s="21" t="str">
        <f aca="false">IF(Variants!$B177="","","Made to order")</f>
        <v>Made to order</v>
      </c>
      <c r="J176" s="21" t="str">
        <f aca="false">IF(Variants!$D177="","",Variants!$D177)</f>
        <v>Bracelet</v>
      </c>
      <c r="K176" s="21" t="str">
        <f aca="false">IF(Variants!$Y177="","",Variants!$Y177)</f>
        <v/>
      </c>
      <c r="L176" s="21" t="str">
        <f aca="false">IF(Variants!$H177="","",Variants!$H177)</f>
        <v>red</v>
      </c>
      <c r="M176" s="21" t="str">
        <f aca="false">IF(Variants!$G177="","",Variants!$G177)</f>
        <v/>
      </c>
    </row>
    <row r="177" customFormat="false" ht="15.75" hidden="false" customHeight="true" outlineLevel="0" collapsed="false">
      <c r="A177" s="21" t="str">
        <f aca="false">IF(Variants!$B178="","",Variants!$C178&amp;" — "&amp;Variants!$E178&amp;IF(Variants!$F178=""," "," "&amp;Variants!$F178)&amp;" — "&amp;Variants!$H178)</f>
        <v>Bird Letter Bracelet — Alphabet Յ — turquoise</v>
      </c>
      <c r="B177" s="21" t="str">
        <f aca="false">IFERROR(IF(Variants!$B178="","",VLOOKUP(Variants!$B178,Designs!$A$3:$AP$165,9,FALSE())&amp;" Handmade in Armenia."),"")</f>
        <v>Bird letters are an ornamental medieval Armenian script where each letter is formed from stylised birds, used in illuminated manuscripts. Handmade in Armenia.</v>
      </c>
      <c r="C177" s="18" t="n">
        <f aca="false">IF(Variants!$J178="","",Variants!$J178)</f>
        <v>49.4</v>
      </c>
      <c r="D177" s="21" t="n">
        <f aca="false">IF(Variants!$O178="","",Variants!$O178)</f>
        <v>0</v>
      </c>
      <c r="E177" s="21" t="str">
        <f aca="false">Variants!$A178</f>
        <v>KARNI-BRAC-ALPHA-HI-TURQUOISE</v>
      </c>
      <c r="F177" s="21" t="str">
        <f aca="false">IF(Variants!$E178="","",Variants!$E178&amp;", Armenian, handmade, enamel, "&amp;Variants!$D178)</f>
        <v>Alphabet, Armenian, handmade, enamel, Bracelet</v>
      </c>
      <c r="G177" s="21" t="str">
        <f aca="false">IFERROR(VLOOKUP(Variants!$B178,Designs!$A$3:$AP$165,12,FALSE())&amp;", enamel","")</f>
        <v>925 Silver Gold-Plated, enamel</v>
      </c>
      <c r="H177" s="21" t="str">
        <f aca="false">IF(Variants!$B178="","","I did")</f>
        <v>I did</v>
      </c>
      <c r="I177" s="21" t="str">
        <f aca="false">IF(Variants!$B178="","","Made to order")</f>
        <v>Made to order</v>
      </c>
      <c r="J177" s="21" t="str">
        <f aca="false">IF(Variants!$D178="","",Variants!$D178)</f>
        <v>Bracelet</v>
      </c>
      <c r="K177" s="21" t="str">
        <f aca="false">IF(Variants!$Y178="","",Variants!$Y178)</f>
        <v/>
      </c>
      <c r="L177" s="21" t="str">
        <f aca="false">IF(Variants!$H178="","",Variants!$H178)</f>
        <v>turquoise</v>
      </c>
      <c r="M177" s="21" t="str">
        <f aca="false">IF(Variants!$G178="","",Variants!$G178)</f>
        <v/>
      </c>
    </row>
    <row r="178" customFormat="false" ht="15.75" hidden="false" customHeight="true" outlineLevel="0" collapsed="false">
      <c r="A178" s="21" t="str">
        <f aca="false">IF(Variants!$B179="","",Variants!$C179&amp;" — "&amp;Variants!$E179&amp;IF(Variants!$F179=""," "," "&amp;Variants!$F179)&amp;" — "&amp;Variants!$H179)</f>
        <v>Bird Letter Bracelet — Alphabet Յ — white</v>
      </c>
      <c r="B178" s="21" t="str">
        <f aca="false">IFERROR(IF(Variants!$B179="","",VLOOKUP(Variants!$B179,Designs!$A$3:$AP$165,9,FALSE())&amp;" Handmade in Armenia."),"")</f>
        <v>Bird letters are an ornamental medieval Armenian script where each letter is formed from stylised birds, used in illuminated manuscripts. Handmade in Armenia.</v>
      </c>
      <c r="C178" s="18" t="n">
        <f aca="false">IF(Variants!$J179="","",Variants!$J179)</f>
        <v>49.4</v>
      </c>
      <c r="D178" s="21" t="n">
        <f aca="false">IF(Variants!$O179="","",Variants!$O179)</f>
        <v>0</v>
      </c>
      <c r="E178" s="21" t="str">
        <f aca="false">Variants!$A179</f>
        <v>KARNI-BRAC-ALPHA-HI-WHITE</v>
      </c>
      <c r="F178" s="21" t="str">
        <f aca="false">IF(Variants!$E179="","",Variants!$E179&amp;", Armenian, handmade, enamel, "&amp;Variants!$D179)</f>
        <v>Alphabet, Armenian, handmade, enamel, Bracelet</v>
      </c>
      <c r="G178" s="21" t="str">
        <f aca="false">IFERROR(VLOOKUP(Variants!$B179,Designs!$A$3:$AP$165,12,FALSE())&amp;", enamel","")</f>
        <v>925 Silver Gold-Plated, enamel</v>
      </c>
      <c r="H178" s="21" t="str">
        <f aca="false">IF(Variants!$B179="","","I did")</f>
        <v>I did</v>
      </c>
      <c r="I178" s="21" t="str">
        <f aca="false">IF(Variants!$B179="","","Made to order")</f>
        <v>Made to order</v>
      </c>
      <c r="J178" s="21" t="str">
        <f aca="false">IF(Variants!$D179="","",Variants!$D179)</f>
        <v>Bracelet</v>
      </c>
      <c r="K178" s="21" t="str">
        <f aca="false">IF(Variants!$Y179="","",Variants!$Y179)</f>
        <v/>
      </c>
      <c r="L178" s="21" t="str">
        <f aca="false">IF(Variants!$H179="","",Variants!$H179)</f>
        <v>white</v>
      </c>
      <c r="M178" s="21" t="str">
        <f aca="false">IF(Variants!$G179="","",Variants!$G179)</f>
        <v/>
      </c>
    </row>
    <row r="179" customFormat="false" ht="15.75" hidden="false" customHeight="true" outlineLevel="0" collapsed="false">
      <c r="A179" s="21" t="str">
        <f aca="false">IF(Variants!$B180="","",Variants!$C180&amp;" — "&amp;Variants!$E180&amp;IF(Variants!$F180=""," "," "&amp;Variants!$F180)&amp;" — "&amp;Variants!$H180)</f>
        <v>Bird Letter Bracelet — Alphabet Ն — red</v>
      </c>
      <c r="B179" s="21" t="str">
        <f aca="false">IFERROR(IF(Variants!$B180="","",VLOOKUP(Variants!$B180,Designs!$A$3:$AP$165,9,FALSE())&amp;" Handmade in Armenia."),"")</f>
        <v>Bird letters are an ornamental medieval Armenian script where each letter is formed from stylised birds, used in illuminated manuscripts. Handmade in Armenia.</v>
      </c>
      <c r="C179" s="18" t="n">
        <f aca="false">IF(Variants!$J180="","",Variants!$J180)</f>
        <v>49.4</v>
      </c>
      <c r="D179" s="21" t="n">
        <f aca="false">IF(Variants!$O180="","",Variants!$O180)</f>
        <v>0</v>
      </c>
      <c r="E179" s="21" t="str">
        <f aca="false">Variants!$A180</f>
        <v>KARNI-BRAC-ALPHA-NU-RED</v>
      </c>
      <c r="F179" s="21" t="str">
        <f aca="false">IF(Variants!$E180="","",Variants!$E180&amp;", Armenian, handmade, enamel, "&amp;Variants!$D180)</f>
        <v>Alphabet, Armenian, handmade, enamel, Bracelet</v>
      </c>
      <c r="G179" s="21" t="str">
        <f aca="false">IFERROR(VLOOKUP(Variants!$B180,Designs!$A$3:$AP$165,12,FALSE())&amp;", enamel","")</f>
        <v>925 Silver Gold-Plated, enamel</v>
      </c>
      <c r="H179" s="21" t="str">
        <f aca="false">IF(Variants!$B180="","","I did")</f>
        <v>I did</v>
      </c>
      <c r="I179" s="21" t="str">
        <f aca="false">IF(Variants!$B180="","","Made to order")</f>
        <v>Made to order</v>
      </c>
      <c r="J179" s="21" t="str">
        <f aca="false">IF(Variants!$D180="","",Variants!$D180)</f>
        <v>Bracelet</v>
      </c>
      <c r="K179" s="21" t="str">
        <f aca="false">IF(Variants!$Y180="","",Variants!$Y180)</f>
        <v/>
      </c>
      <c r="L179" s="21" t="str">
        <f aca="false">IF(Variants!$H180="","",Variants!$H180)</f>
        <v>red</v>
      </c>
      <c r="M179" s="21" t="str">
        <f aca="false">IF(Variants!$G180="","",Variants!$G180)</f>
        <v/>
      </c>
    </row>
    <row r="180" customFormat="false" ht="15.75" hidden="false" customHeight="true" outlineLevel="0" collapsed="false">
      <c r="A180" s="21" t="str">
        <f aca="false">IF(Variants!$B181="","",Variants!$C181&amp;" — "&amp;Variants!$E181&amp;IF(Variants!$F181=""," "," "&amp;Variants!$F181)&amp;" — "&amp;Variants!$H181)</f>
        <v>Bird Letter Bracelet — Alphabet Ն — turquoise</v>
      </c>
      <c r="B180" s="21" t="str">
        <f aca="false">IFERROR(IF(Variants!$B181="","",VLOOKUP(Variants!$B181,Designs!$A$3:$AP$165,9,FALSE())&amp;" Handmade in Armenia."),"")</f>
        <v>Bird letters are an ornamental medieval Armenian script where each letter is formed from stylised birds, used in illuminated manuscripts. Handmade in Armenia.</v>
      </c>
      <c r="C180" s="18" t="n">
        <f aca="false">IF(Variants!$J181="","",Variants!$J181)</f>
        <v>49.4</v>
      </c>
      <c r="D180" s="21" t="n">
        <f aca="false">IF(Variants!$O181="","",Variants!$O181)</f>
        <v>0</v>
      </c>
      <c r="E180" s="21" t="str">
        <f aca="false">Variants!$A181</f>
        <v>KARNI-BRAC-ALPHA-NU-TURQUOISE</v>
      </c>
      <c r="F180" s="21" t="str">
        <f aca="false">IF(Variants!$E181="","",Variants!$E181&amp;", Armenian, handmade, enamel, "&amp;Variants!$D181)</f>
        <v>Alphabet, Armenian, handmade, enamel, Bracelet</v>
      </c>
      <c r="G180" s="21" t="str">
        <f aca="false">IFERROR(VLOOKUP(Variants!$B181,Designs!$A$3:$AP$165,12,FALSE())&amp;", enamel","")</f>
        <v>925 Silver Gold-Plated, enamel</v>
      </c>
      <c r="H180" s="21" t="str">
        <f aca="false">IF(Variants!$B181="","","I did")</f>
        <v>I did</v>
      </c>
      <c r="I180" s="21" t="str">
        <f aca="false">IF(Variants!$B181="","","Made to order")</f>
        <v>Made to order</v>
      </c>
      <c r="J180" s="21" t="str">
        <f aca="false">IF(Variants!$D181="","",Variants!$D181)</f>
        <v>Bracelet</v>
      </c>
      <c r="K180" s="21" t="str">
        <f aca="false">IF(Variants!$Y181="","",Variants!$Y181)</f>
        <v/>
      </c>
      <c r="L180" s="21" t="str">
        <f aca="false">IF(Variants!$H181="","",Variants!$H181)</f>
        <v>turquoise</v>
      </c>
      <c r="M180" s="21" t="str">
        <f aca="false">IF(Variants!$G181="","",Variants!$G181)</f>
        <v/>
      </c>
    </row>
    <row r="181" customFormat="false" ht="15.75" hidden="false" customHeight="true" outlineLevel="0" collapsed="false">
      <c r="A181" s="21" t="str">
        <f aca="false">IF(Variants!$B182="","",Variants!$C182&amp;" — "&amp;Variants!$E182&amp;IF(Variants!$F182=""," "," "&amp;Variants!$F182)&amp;" — "&amp;Variants!$H182)</f>
        <v>Bird Letter Bracelet — Alphabet Ն — white</v>
      </c>
      <c r="B181" s="21" t="str">
        <f aca="false">IFERROR(IF(Variants!$B182="","",VLOOKUP(Variants!$B182,Designs!$A$3:$AP$165,9,FALSE())&amp;" Handmade in Armenia."),"")</f>
        <v>Bird letters are an ornamental medieval Armenian script where each letter is formed from stylised birds, used in illuminated manuscripts. Handmade in Armenia.</v>
      </c>
      <c r="C181" s="18" t="n">
        <f aca="false">IF(Variants!$J182="","",Variants!$J182)</f>
        <v>49.4</v>
      </c>
      <c r="D181" s="21" t="n">
        <f aca="false">IF(Variants!$O182="","",Variants!$O182)</f>
        <v>0</v>
      </c>
      <c r="E181" s="21" t="str">
        <f aca="false">Variants!$A182</f>
        <v>KARNI-BRAC-ALPHA-NU-WHITE</v>
      </c>
      <c r="F181" s="21" t="str">
        <f aca="false">IF(Variants!$E182="","",Variants!$E182&amp;", Armenian, handmade, enamel, "&amp;Variants!$D182)</f>
        <v>Alphabet, Armenian, handmade, enamel, Bracelet</v>
      </c>
      <c r="G181" s="21" t="str">
        <f aca="false">IFERROR(VLOOKUP(Variants!$B182,Designs!$A$3:$AP$165,12,FALSE())&amp;", enamel","")</f>
        <v>925 Silver Gold-Plated, enamel</v>
      </c>
      <c r="H181" s="21" t="str">
        <f aca="false">IF(Variants!$B182="","","I did")</f>
        <v>I did</v>
      </c>
      <c r="I181" s="21" t="str">
        <f aca="false">IF(Variants!$B182="","","Made to order")</f>
        <v>Made to order</v>
      </c>
      <c r="J181" s="21" t="str">
        <f aca="false">IF(Variants!$D182="","",Variants!$D182)</f>
        <v>Bracelet</v>
      </c>
      <c r="K181" s="21" t="str">
        <f aca="false">IF(Variants!$Y182="","",Variants!$Y182)</f>
        <v/>
      </c>
      <c r="L181" s="21" t="str">
        <f aca="false">IF(Variants!$H182="","",Variants!$H182)</f>
        <v>white</v>
      </c>
      <c r="M181" s="21" t="str">
        <f aca="false">IF(Variants!$G182="","",Variants!$G182)</f>
        <v/>
      </c>
    </row>
    <row r="182" customFormat="false" ht="15.75" hidden="false" customHeight="true" outlineLevel="0" collapsed="false">
      <c r="A182" s="21" t="str">
        <f aca="false">IF(Variants!$B183="","",Variants!$C183&amp;" — "&amp;Variants!$E183&amp;IF(Variants!$F183=""," "," "&amp;Variants!$F183)&amp;" — "&amp;Variants!$H183)</f>
        <v>Bird Letter Bracelet — Alphabet Շ — red</v>
      </c>
      <c r="B182" s="21" t="str">
        <f aca="false">IFERROR(IF(Variants!$B183="","",VLOOKUP(Variants!$B183,Designs!$A$3:$AP$165,9,FALSE())&amp;" Handmade in Armenia."),"")</f>
        <v>Bird letters are an ornamental medieval Armenian script where each letter is formed from stylised birds, used in illuminated manuscripts. Handmade in Armenia.</v>
      </c>
      <c r="C182" s="18" t="n">
        <f aca="false">IF(Variants!$J183="","",Variants!$J183)</f>
        <v>49.4</v>
      </c>
      <c r="D182" s="21" t="n">
        <f aca="false">IF(Variants!$O183="","",Variants!$O183)</f>
        <v>0</v>
      </c>
      <c r="E182" s="21" t="str">
        <f aca="false">Variants!$A183</f>
        <v>KARNI-BRAC-ALPHA-SHA-RED</v>
      </c>
      <c r="F182" s="21" t="str">
        <f aca="false">IF(Variants!$E183="","",Variants!$E183&amp;", Armenian, handmade, enamel, "&amp;Variants!$D183)</f>
        <v>Alphabet, Armenian, handmade, enamel, Bracelet</v>
      </c>
      <c r="G182" s="21" t="str">
        <f aca="false">IFERROR(VLOOKUP(Variants!$B183,Designs!$A$3:$AP$165,12,FALSE())&amp;", enamel","")</f>
        <v>925 Silver Gold-Plated, enamel</v>
      </c>
      <c r="H182" s="21" t="str">
        <f aca="false">IF(Variants!$B183="","","I did")</f>
        <v>I did</v>
      </c>
      <c r="I182" s="21" t="str">
        <f aca="false">IF(Variants!$B183="","","Made to order")</f>
        <v>Made to order</v>
      </c>
      <c r="J182" s="21" t="str">
        <f aca="false">IF(Variants!$D183="","",Variants!$D183)</f>
        <v>Bracelet</v>
      </c>
      <c r="K182" s="21" t="str">
        <f aca="false">IF(Variants!$Y183="","",Variants!$Y183)</f>
        <v/>
      </c>
      <c r="L182" s="21" t="str">
        <f aca="false">IF(Variants!$H183="","",Variants!$H183)</f>
        <v>red</v>
      </c>
      <c r="M182" s="21" t="str">
        <f aca="false">IF(Variants!$G183="","",Variants!$G183)</f>
        <v/>
      </c>
    </row>
    <row r="183" customFormat="false" ht="15.75" hidden="false" customHeight="true" outlineLevel="0" collapsed="false">
      <c r="A183" s="21" t="str">
        <f aca="false">IF(Variants!$B184="","",Variants!$C184&amp;" — "&amp;Variants!$E184&amp;IF(Variants!$F184=""," "," "&amp;Variants!$F184)&amp;" — "&amp;Variants!$H184)</f>
        <v>Bird Letter Bracelet — Alphabet Շ — turquoise</v>
      </c>
      <c r="B183" s="21" t="str">
        <f aca="false">IFERROR(IF(Variants!$B184="","",VLOOKUP(Variants!$B184,Designs!$A$3:$AP$165,9,FALSE())&amp;" Handmade in Armenia."),"")</f>
        <v>Bird letters are an ornamental medieval Armenian script where each letter is formed from stylised birds, used in illuminated manuscripts. Handmade in Armenia.</v>
      </c>
      <c r="C183" s="18" t="n">
        <f aca="false">IF(Variants!$J184="","",Variants!$J184)</f>
        <v>49.4</v>
      </c>
      <c r="D183" s="21" t="n">
        <f aca="false">IF(Variants!$O184="","",Variants!$O184)</f>
        <v>0</v>
      </c>
      <c r="E183" s="21" t="str">
        <f aca="false">Variants!$A184</f>
        <v>KARNI-BRAC-ALPHA-SHA-TURQUOISE</v>
      </c>
      <c r="F183" s="21" t="str">
        <f aca="false">IF(Variants!$E184="","",Variants!$E184&amp;", Armenian, handmade, enamel, "&amp;Variants!$D184)</f>
        <v>Alphabet, Armenian, handmade, enamel, Bracelet</v>
      </c>
      <c r="G183" s="21" t="str">
        <f aca="false">IFERROR(VLOOKUP(Variants!$B184,Designs!$A$3:$AP$165,12,FALSE())&amp;", enamel","")</f>
        <v>925 Silver Gold-Plated, enamel</v>
      </c>
      <c r="H183" s="21" t="str">
        <f aca="false">IF(Variants!$B184="","","I did")</f>
        <v>I did</v>
      </c>
      <c r="I183" s="21" t="str">
        <f aca="false">IF(Variants!$B184="","","Made to order")</f>
        <v>Made to order</v>
      </c>
      <c r="J183" s="21" t="str">
        <f aca="false">IF(Variants!$D184="","",Variants!$D184)</f>
        <v>Bracelet</v>
      </c>
      <c r="K183" s="21" t="str">
        <f aca="false">IF(Variants!$Y184="","",Variants!$Y184)</f>
        <v/>
      </c>
      <c r="L183" s="21" t="str">
        <f aca="false">IF(Variants!$H184="","",Variants!$H184)</f>
        <v>turquoise</v>
      </c>
      <c r="M183" s="21" t="str">
        <f aca="false">IF(Variants!$G184="","",Variants!$G184)</f>
        <v/>
      </c>
    </row>
    <row r="184" customFormat="false" ht="15.75" hidden="false" customHeight="true" outlineLevel="0" collapsed="false">
      <c r="A184" s="21" t="str">
        <f aca="false">IF(Variants!$B185="","",Variants!$C185&amp;" — "&amp;Variants!$E185&amp;IF(Variants!$F185=""," "," "&amp;Variants!$F185)&amp;" — "&amp;Variants!$H185)</f>
        <v>Bird Letter Bracelet — Alphabet Շ — white</v>
      </c>
      <c r="B184" s="21" t="str">
        <f aca="false">IFERROR(IF(Variants!$B185="","",VLOOKUP(Variants!$B185,Designs!$A$3:$AP$165,9,FALSE())&amp;" Handmade in Armenia."),"")</f>
        <v>Bird letters are an ornamental medieval Armenian script where each letter is formed from stylised birds, used in illuminated manuscripts. Handmade in Armenia.</v>
      </c>
      <c r="C184" s="18" t="n">
        <f aca="false">IF(Variants!$J185="","",Variants!$J185)</f>
        <v>49.4</v>
      </c>
      <c r="D184" s="21" t="n">
        <f aca="false">IF(Variants!$O185="","",Variants!$O185)</f>
        <v>0</v>
      </c>
      <c r="E184" s="21" t="str">
        <f aca="false">Variants!$A185</f>
        <v>KARNI-BRAC-ALPHA-SHA-WHITE</v>
      </c>
      <c r="F184" s="21" t="str">
        <f aca="false">IF(Variants!$E185="","",Variants!$E185&amp;", Armenian, handmade, enamel, "&amp;Variants!$D185)</f>
        <v>Alphabet, Armenian, handmade, enamel, Bracelet</v>
      </c>
      <c r="G184" s="21" t="str">
        <f aca="false">IFERROR(VLOOKUP(Variants!$B185,Designs!$A$3:$AP$165,12,FALSE())&amp;", enamel","")</f>
        <v>925 Silver Gold-Plated, enamel</v>
      </c>
      <c r="H184" s="21" t="str">
        <f aca="false">IF(Variants!$B185="","","I did")</f>
        <v>I did</v>
      </c>
      <c r="I184" s="21" t="str">
        <f aca="false">IF(Variants!$B185="","","Made to order")</f>
        <v>Made to order</v>
      </c>
      <c r="J184" s="21" t="str">
        <f aca="false">IF(Variants!$D185="","",Variants!$D185)</f>
        <v>Bracelet</v>
      </c>
      <c r="K184" s="21" t="str">
        <f aca="false">IF(Variants!$Y185="","",Variants!$Y185)</f>
        <v/>
      </c>
      <c r="L184" s="21" t="str">
        <f aca="false">IF(Variants!$H185="","",Variants!$H185)</f>
        <v>white</v>
      </c>
      <c r="M184" s="21" t="str">
        <f aca="false">IF(Variants!$G185="","",Variants!$G185)</f>
        <v/>
      </c>
    </row>
    <row r="185" customFormat="false" ht="15.75" hidden="false" customHeight="true" outlineLevel="0" collapsed="false">
      <c r="A185" s="21" t="str">
        <f aca="false">IF(Variants!$B186="","",Variants!$C186&amp;" — "&amp;Variants!$E186&amp;IF(Variants!$F186=""," "," "&amp;Variants!$F186)&amp;" — "&amp;Variants!$H186)</f>
        <v>Bird Letter Bracelet — Alphabet Ո — red</v>
      </c>
      <c r="B185" s="21" t="str">
        <f aca="false">IFERROR(IF(Variants!$B186="","",VLOOKUP(Variants!$B186,Designs!$A$3:$AP$165,9,FALSE())&amp;" Handmade in Armenia."),"")</f>
        <v>Bird letters are an ornamental medieval Armenian script where each letter is formed from stylised birds, used in illuminated manuscripts. Handmade in Armenia.</v>
      </c>
      <c r="C185" s="18" t="n">
        <f aca="false">IF(Variants!$J186="","",Variants!$J186)</f>
        <v>49.4</v>
      </c>
      <c r="D185" s="21" t="n">
        <f aca="false">IF(Variants!$O186="","",Variants!$O186)</f>
        <v>0</v>
      </c>
      <c r="E185" s="21" t="str">
        <f aca="false">Variants!$A186</f>
        <v>KARNI-BRAC-ALPHA-VO-RED</v>
      </c>
      <c r="F185" s="21" t="str">
        <f aca="false">IF(Variants!$E186="","",Variants!$E186&amp;", Armenian, handmade, enamel, "&amp;Variants!$D186)</f>
        <v>Alphabet, Armenian, handmade, enamel, Bracelet</v>
      </c>
      <c r="G185" s="21" t="str">
        <f aca="false">IFERROR(VLOOKUP(Variants!$B186,Designs!$A$3:$AP$165,12,FALSE())&amp;", enamel","")</f>
        <v>925 Silver Gold-Plated, enamel</v>
      </c>
      <c r="H185" s="21" t="str">
        <f aca="false">IF(Variants!$B186="","","I did")</f>
        <v>I did</v>
      </c>
      <c r="I185" s="21" t="str">
        <f aca="false">IF(Variants!$B186="","","Made to order")</f>
        <v>Made to order</v>
      </c>
      <c r="J185" s="21" t="str">
        <f aca="false">IF(Variants!$D186="","",Variants!$D186)</f>
        <v>Bracelet</v>
      </c>
      <c r="K185" s="21" t="str">
        <f aca="false">IF(Variants!$Y186="","",Variants!$Y186)</f>
        <v/>
      </c>
      <c r="L185" s="21" t="str">
        <f aca="false">IF(Variants!$H186="","",Variants!$H186)</f>
        <v>red</v>
      </c>
      <c r="M185" s="21" t="str">
        <f aca="false">IF(Variants!$G186="","",Variants!$G186)</f>
        <v/>
      </c>
    </row>
    <row r="186" customFormat="false" ht="15.75" hidden="false" customHeight="true" outlineLevel="0" collapsed="false">
      <c r="A186" s="21" t="str">
        <f aca="false">IF(Variants!$B187="","",Variants!$C187&amp;" — "&amp;Variants!$E187&amp;IF(Variants!$F187=""," "," "&amp;Variants!$F187)&amp;" — "&amp;Variants!$H187)</f>
        <v>Bird Letter Bracelet — Alphabet Ո — turquoise</v>
      </c>
      <c r="B186" s="21" t="str">
        <f aca="false">IFERROR(IF(Variants!$B187="","",VLOOKUP(Variants!$B187,Designs!$A$3:$AP$165,9,FALSE())&amp;" Handmade in Armenia."),"")</f>
        <v>Bird letters are an ornamental medieval Armenian script where each letter is formed from stylised birds, used in illuminated manuscripts. Handmade in Armenia.</v>
      </c>
      <c r="C186" s="18" t="n">
        <f aca="false">IF(Variants!$J187="","",Variants!$J187)</f>
        <v>49.4</v>
      </c>
      <c r="D186" s="21" t="n">
        <f aca="false">IF(Variants!$O187="","",Variants!$O187)</f>
        <v>0</v>
      </c>
      <c r="E186" s="21" t="str">
        <f aca="false">Variants!$A187</f>
        <v>KARNI-BRAC-ALPHA-VO-TURQUOISE</v>
      </c>
      <c r="F186" s="21" t="str">
        <f aca="false">IF(Variants!$E187="","",Variants!$E187&amp;", Armenian, handmade, enamel, "&amp;Variants!$D187)</f>
        <v>Alphabet, Armenian, handmade, enamel, Bracelet</v>
      </c>
      <c r="G186" s="21" t="str">
        <f aca="false">IFERROR(VLOOKUP(Variants!$B187,Designs!$A$3:$AP$165,12,FALSE())&amp;", enamel","")</f>
        <v>925 Silver Gold-Plated, enamel</v>
      </c>
      <c r="H186" s="21" t="str">
        <f aca="false">IF(Variants!$B187="","","I did")</f>
        <v>I did</v>
      </c>
      <c r="I186" s="21" t="str">
        <f aca="false">IF(Variants!$B187="","","Made to order")</f>
        <v>Made to order</v>
      </c>
      <c r="J186" s="21" t="str">
        <f aca="false">IF(Variants!$D187="","",Variants!$D187)</f>
        <v>Bracelet</v>
      </c>
      <c r="K186" s="21" t="str">
        <f aca="false">IF(Variants!$Y187="","",Variants!$Y187)</f>
        <v/>
      </c>
      <c r="L186" s="21" t="str">
        <f aca="false">IF(Variants!$H187="","",Variants!$H187)</f>
        <v>turquoise</v>
      </c>
      <c r="M186" s="21" t="str">
        <f aca="false">IF(Variants!$G187="","",Variants!$G187)</f>
        <v/>
      </c>
    </row>
    <row r="187" customFormat="false" ht="15.75" hidden="false" customHeight="true" outlineLevel="0" collapsed="false">
      <c r="A187" s="21" t="str">
        <f aca="false">IF(Variants!$B188="","",Variants!$C188&amp;" — "&amp;Variants!$E188&amp;IF(Variants!$F188=""," "," "&amp;Variants!$F188)&amp;" — "&amp;Variants!$H188)</f>
        <v>Bird Letter Bracelet — Alphabet Ո — white</v>
      </c>
      <c r="B187" s="21" t="str">
        <f aca="false">IFERROR(IF(Variants!$B188="","",VLOOKUP(Variants!$B188,Designs!$A$3:$AP$165,9,FALSE())&amp;" Handmade in Armenia."),"")</f>
        <v>Bird letters are an ornamental medieval Armenian script where each letter is formed from stylised birds, used in illuminated manuscripts. Handmade in Armenia.</v>
      </c>
      <c r="C187" s="18" t="n">
        <f aca="false">IF(Variants!$J188="","",Variants!$J188)</f>
        <v>49.4</v>
      </c>
      <c r="D187" s="21" t="n">
        <f aca="false">IF(Variants!$O188="","",Variants!$O188)</f>
        <v>0</v>
      </c>
      <c r="E187" s="21" t="str">
        <f aca="false">Variants!$A188</f>
        <v>KARNI-BRAC-ALPHA-VO-WHITE</v>
      </c>
      <c r="F187" s="21" t="str">
        <f aca="false">IF(Variants!$E188="","",Variants!$E188&amp;", Armenian, handmade, enamel, "&amp;Variants!$D188)</f>
        <v>Alphabet, Armenian, handmade, enamel, Bracelet</v>
      </c>
      <c r="G187" s="21" t="str">
        <f aca="false">IFERROR(VLOOKUP(Variants!$B188,Designs!$A$3:$AP$165,12,FALSE())&amp;", enamel","")</f>
        <v>925 Silver Gold-Plated, enamel</v>
      </c>
      <c r="H187" s="21" t="str">
        <f aca="false">IF(Variants!$B188="","","I did")</f>
        <v>I did</v>
      </c>
      <c r="I187" s="21" t="str">
        <f aca="false">IF(Variants!$B188="","","Made to order")</f>
        <v>Made to order</v>
      </c>
      <c r="J187" s="21" t="str">
        <f aca="false">IF(Variants!$D188="","",Variants!$D188)</f>
        <v>Bracelet</v>
      </c>
      <c r="K187" s="21" t="str">
        <f aca="false">IF(Variants!$Y188="","",Variants!$Y188)</f>
        <v/>
      </c>
      <c r="L187" s="21" t="str">
        <f aca="false">IF(Variants!$H188="","",Variants!$H188)</f>
        <v>white</v>
      </c>
      <c r="M187" s="21" t="str">
        <f aca="false">IF(Variants!$G188="","",Variants!$G188)</f>
        <v/>
      </c>
    </row>
    <row r="188" customFormat="false" ht="15.75" hidden="false" customHeight="true" outlineLevel="0" collapsed="false">
      <c r="A188" s="21" t="str">
        <f aca="false">IF(Variants!$B189="","",Variants!$C189&amp;" — "&amp;Variants!$E189&amp;IF(Variants!$F189=""," "," "&amp;Variants!$F189)&amp;" — "&amp;Variants!$H189)</f>
        <v>Bird Letter Bracelet — Alphabet Չ — red</v>
      </c>
      <c r="B188" s="21" t="str">
        <f aca="false">IFERROR(IF(Variants!$B189="","",VLOOKUP(Variants!$B189,Designs!$A$3:$AP$165,9,FALSE())&amp;" Handmade in Armenia."),"")</f>
        <v>Bird letters are an ornamental medieval Armenian script where each letter is formed from stylised birds, used in illuminated manuscripts. Handmade in Armenia.</v>
      </c>
      <c r="C188" s="18" t="n">
        <f aca="false">IF(Variants!$J189="","",Variants!$J189)</f>
        <v>49.4</v>
      </c>
      <c r="D188" s="21" t="n">
        <f aca="false">IF(Variants!$O189="","",Variants!$O189)</f>
        <v>0</v>
      </c>
      <c r="E188" s="21" t="str">
        <f aca="false">Variants!$A189</f>
        <v>KARNI-BRAC-ALPHA-CHA-RED</v>
      </c>
      <c r="F188" s="21" t="str">
        <f aca="false">IF(Variants!$E189="","",Variants!$E189&amp;", Armenian, handmade, enamel, "&amp;Variants!$D189)</f>
        <v>Alphabet, Armenian, handmade, enamel, Bracelet</v>
      </c>
      <c r="G188" s="21" t="str">
        <f aca="false">IFERROR(VLOOKUP(Variants!$B189,Designs!$A$3:$AP$165,12,FALSE())&amp;", enamel","")</f>
        <v>925 Silver Gold-Plated, enamel</v>
      </c>
      <c r="H188" s="21" t="str">
        <f aca="false">IF(Variants!$B189="","","I did")</f>
        <v>I did</v>
      </c>
      <c r="I188" s="21" t="str">
        <f aca="false">IF(Variants!$B189="","","Made to order")</f>
        <v>Made to order</v>
      </c>
      <c r="J188" s="21" t="str">
        <f aca="false">IF(Variants!$D189="","",Variants!$D189)</f>
        <v>Bracelet</v>
      </c>
      <c r="K188" s="21" t="str">
        <f aca="false">IF(Variants!$Y189="","",Variants!$Y189)</f>
        <v/>
      </c>
      <c r="L188" s="21" t="str">
        <f aca="false">IF(Variants!$H189="","",Variants!$H189)</f>
        <v>red</v>
      </c>
      <c r="M188" s="21" t="str">
        <f aca="false">IF(Variants!$G189="","",Variants!$G189)</f>
        <v/>
      </c>
    </row>
    <row r="189" customFormat="false" ht="15.75" hidden="false" customHeight="true" outlineLevel="0" collapsed="false">
      <c r="A189" s="21" t="str">
        <f aca="false">IF(Variants!$B190="","",Variants!$C190&amp;" — "&amp;Variants!$E190&amp;IF(Variants!$F190=""," "," "&amp;Variants!$F190)&amp;" — "&amp;Variants!$H190)</f>
        <v>Bird Letter Bracelet — Alphabet Չ — turquoise</v>
      </c>
      <c r="B189" s="21" t="str">
        <f aca="false">IFERROR(IF(Variants!$B190="","",VLOOKUP(Variants!$B190,Designs!$A$3:$AP$165,9,FALSE())&amp;" Handmade in Armenia."),"")</f>
        <v>Bird letters are an ornamental medieval Armenian script where each letter is formed from stylised birds, used in illuminated manuscripts. Handmade in Armenia.</v>
      </c>
      <c r="C189" s="18" t="n">
        <f aca="false">IF(Variants!$J190="","",Variants!$J190)</f>
        <v>49.4</v>
      </c>
      <c r="D189" s="21" t="n">
        <f aca="false">IF(Variants!$O190="","",Variants!$O190)</f>
        <v>0</v>
      </c>
      <c r="E189" s="21" t="str">
        <f aca="false">Variants!$A190</f>
        <v>KARNI-BRAC-ALPHA-CHA-TURQUOISE</v>
      </c>
      <c r="F189" s="21" t="str">
        <f aca="false">IF(Variants!$E190="","",Variants!$E190&amp;", Armenian, handmade, enamel, "&amp;Variants!$D190)</f>
        <v>Alphabet, Armenian, handmade, enamel, Bracelet</v>
      </c>
      <c r="G189" s="21" t="str">
        <f aca="false">IFERROR(VLOOKUP(Variants!$B190,Designs!$A$3:$AP$165,12,FALSE())&amp;", enamel","")</f>
        <v>925 Silver Gold-Plated, enamel</v>
      </c>
      <c r="H189" s="21" t="str">
        <f aca="false">IF(Variants!$B190="","","I did")</f>
        <v>I did</v>
      </c>
      <c r="I189" s="21" t="str">
        <f aca="false">IF(Variants!$B190="","","Made to order")</f>
        <v>Made to order</v>
      </c>
      <c r="J189" s="21" t="str">
        <f aca="false">IF(Variants!$D190="","",Variants!$D190)</f>
        <v>Bracelet</v>
      </c>
      <c r="K189" s="21" t="str">
        <f aca="false">IF(Variants!$Y190="","",Variants!$Y190)</f>
        <v/>
      </c>
      <c r="L189" s="21" t="str">
        <f aca="false">IF(Variants!$H190="","",Variants!$H190)</f>
        <v>turquoise</v>
      </c>
      <c r="M189" s="21" t="str">
        <f aca="false">IF(Variants!$G190="","",Variants!$G190)</f>
        <v/>
      </c>
    </row>
    <row r="190" customFormat="false" ht="15.75" hidden="false" customHeight="true" outlineLevel="0" collapsed="false">
      <c r="A190" s="21" t="str">
        <f aca="false">IF(Variants!$B191="","",Variants!$C191&amp;" — "&amp;Variants!$E191&amp;IF(Variants!$F191=""," "," "&amp;Variants!$F191)&amp;" — "&amp;Variants!$H191)</f>
        <v>Bird Letter Bracelet — Alphabet Չ — white</v>
      </c>
      <c r="B190" s="21" t="str">
        <f aca="false">IFERROR(IF(Variants!$B191="","",VLOOKUP(Variants!$B191,Designs!$A$3:$AP$165,9,FALSE())&amp;" Handmade in Armenia."),"")</f>
        <v>Bird letters are an ornamental medieval Armenian script where each letter is formed from stylised birds, used in illuminated manuscripts. Handmade in Armenia.</v>
      </c>
      <c r="C190" s="18" t="n">
        <f aca="false">IF(Variants!$J191="","",Variants!$J191)</f>
        <v>49.4</v>
      </c>
      <c r="D190" s="21" t="n">
        <f aca="false">IF(Variants!$O191="","",Variants!$O191)</f>
        <v>0</v>
      </c>
      <c r="E190" s="21" t="str">
        <f aca="false">Variants!$A191</f>
        <v>KARNI-BRAC-ALPHA-CHA-WHITE</v>
      </c>
      <c r="F190" s="21" t="str">
        <f aca="false">IF(Variants!$E191="","",Variants!$E191&amp;", Armenian, handmade, enamel, "&amp;Variants!$D191)</f>
        <v>Alphabet, Armenian, handmade, enamel, Bracelet</v>
      </c>
      <c r="G190" s="21" t="str">
        <f aca="false">IFERROR(VLOOKUP(Variants!$B191,Designs!$A$3:$AP$165,12,FALSE())&amp;", enamel","")</f>
        <v>925 Silver Gold-Plated, enamel</v>
      </c>
      <c r="H190" s="21" t="str">
        <f aca="false">IF(Variants!$B191="","","I did")</f>
        <v>I did</v>
      </c>
      <c r="I190" s="21" t="str">
        <f aca="false">IF(Variants!$B191="","","Made to order")</f>
        <v>Made to order</v>
      </c>
      <c r="J190" s="21" t="str">
        <f aca="false">IF(Variants!$D191="","",Variants!$D191)</f>
        <v>Bracelet</v>
      </c>
      <c r="K190" s="21" t="str">
        <f aca="false">IF(Variants!$Y191="","",Variants!$Y191)</f>
        <v/>
      </c>
      <c r="L190" s="21" t="str">
        <f aca="false">IF(Variants!$H191="","",Variants!$H191)</f>
        <v>white</v>
      </c>
      <c r="M190" s="21" t="str">
        <f aca="false">IF(Variants!$G191="","",Variants!$G191)</f>
        <v/>
      </c>
    </row>
    <row r="191" customFormat="false" ht="15.75" hidden="false" customHeight="true" outlineLevel="0" collapsed="false">
      <c r="A191" s="21" t="str">
        <f aca="false">IF(Variants!$B192="","",Variants!$C192&amp;" — "&amp;Variants!$E192&amp;IF(Variants!$F192=""," "," "&amp;Variants!$F192)&amp;" — "&amp;Variants!$H192)</f>
        <v>Bird Letter Bracelet — Alphabet Պ — red</v>
      </c>
      <c r="B191" s="21" t="str">
        <f aca="false">IFERROR(IF(Variants!$B192="","",VLOOKUP(Variants!$B192,Designs!$A$3:$AP$165,9,FALSE())&amp;" Handmade in Armenia."),"")</f>
        <v>Bird letters are an ornamental medieval Armenian script where each letter is formed from stylised birds, used in illuminated manuscripts. Handmade in Armenia.</v>
      </c>
      <c r="C191" s="18" t="n">
        <f aca="false">IF(Variants!$J192="","",Variants!$J192)</f>
        <v>49.4</v>
      </c>
      <c r="D191" s="21" t="n">
        <f aca="false">IF(Variants!$O192="","",Variants!$O192)</f>
        <v>0</v>
      </c>
      <c r="E191" s="21" t="str">
        <f aca="false">Variants!$A192</f>
        <v>KARNI-BRAC-ALPHA-PEH-RED</v>
      </c>
      <c r="F191" s="21" t="str">
        <f aca="false">IF(Variants!$E192="","",Variants!$E192&amp;", Armenian, handmade, enamel, "&amp;Variants!$D192)</f>
        <v>Alphabet, Armenian, handmade, enamel, Bracelet</v>
      </c>
      <c r="G191" s="21" t="str">
        <f aca="false">IFERROR(VLOOKUP(Variants!$B192,Designs!$A$3:$AP$165,12,FALSE())&amp;", enamel","")</f>
        <v>925 Silver Gold-Plated, enamel</v>
      </c>
      <c r="H191" s="21" t="str">
        <f aca="false">IF(Variants!$B192="","","I did")</f>
        <v>I did</v>
      </c>
      <c r="I191" s="21" t="str">
        <f aca="false">IF(Variants!$B192="","","Made to order")</f>
        <v>Made to order</v>
      </c>
      <c r="J191" s="21" t="str">
        <f aca="false">IF(Variants!$D192="","",Variants!$D192)</f>
        <v>Bracelet</v>
      </c>
      <c r="K191" s="21" t="str">
        <f aca="false">IF(Variants!$Y192="","",Variants!$Y192)</f>
        <v/>
      </c>
      <c r="L191" s="21" t="str">
        <f aca="false">IF(Variants!$H192="","",Variants!$H192)</f>
        <v>red</v>
      </c>
      <c r="M191" s="21" t="str">
        <f aca="false">IF(Variants!$G192="","",Variants!$G192)</f>
        <v/>
      </c>
    </row>
    <row r="192" customFormat="false" ht="15.75" hidden="false" customHeight="true" outlineLevel="0" collapsed="false">
      <c r="A192" s="21" t="str">
        <f aca="false">IF(Variants!$B193="","",Variants!$C193&amp;" — "&amp;Variants!$E193&amp;IF(Variants!$F193=""," "," "&amp;Variants!$F193)&amp;" — "&amp;Variants!$H193)</f>
        <v>Bird Letter Bracelet — Alphabet Պ — turquoise</v>
      </c>
      <c r="B192" s="21" t="str">
        <f aca="false">IFERROR(IF(Variants!$B193="","",VLOOKUP(Variants!$B193,Designs!$A$3:$AP$165,9,FALSE())&amp;" Handmade in Armenia."),"")</f>
        <v>Bird letters are an ornamental medieval Armenian script where each letter is formed from stylised birds, used in illuminated manuscripts. Handmade in Armenia.</v>
      </c>
      <c r="C192" s="18" t="n">
        <f aca="false">IF(Variants!$J193="","",Variants!$J193)</f>
        <v>49.4</v>
      </c>
      <c r="D192" s="21" t="n">
        <f aca="false">IF(Variants!$O193="","",Variants!$O193)</f>
        <v>0</v>
      </c>
      <c r="E192" s="21" t="str">
        <f aca="false">Variants!$A193</f>
        <v>KARNI-BRAC-ALPHA-PEH-TURQUOISE</v>
      </c>
      <c r="F192" s="21" t="str">
        <f aca="false">IF(Variants!$E193="","",Variants!$E193&amp;", Armenian, handmade, enamel, "&amp;Variants!$D193)</f>
        <v>Alphabet, Armenian, handmade, enamel, Bracelet</v>
      </c>
      <c r="G192" s="21" t="str">
        <f aca="false">IFERROR(VLOOKUP(Variants!$B193,Designs!$A$3:$AP$165,12,FALSE())&amp;", enamel","")</f>
        <v>925 Silver Gold-Plated, enamel</v>
      </c>
      <c r="H192" s="21" t="str">
        <f aca="false">IF(Variants!$B193="","","I did")</f>
        <v>I did</v>
      </c>
      <c r="I192" s="21" t="str">
        <f aca="false">IF(Variants!$B193="","","Made to order")</f>
        <v>Made to order</v>
      </c>
      <c r="J192" s="21" t="str">
        <f aca="false">IF(Variants!$D193="","",Variants!$D193)</f>
        <v>Bracelet</v>
      </c>
      <c r="K192" s="21" t="str">
        <f aca="false">IF(Variants!$Y193="","",Variants!$Y193)</f>
        <v/>
      </c>
      <c r="L192" s="21" t="str">
        <f aca="false">IF(Variants!$H193="","",Variants!$H193)</f>
        <v>turquoise</v>
      </c>
      <c r="M192" s="21" t="str">
        <f aca="false">IF(Variants!$G193="","",Variants!$G193)</f>
        <v/>
      </c>
    </row>
    <row r="193" customFormat="false" ht="15.75" hidden="false" customHeight="true" outlineLevel="0" collapsed="false">
      <c r="A193" s="21" t="str">
        <f aca="false">IF(Variants!$B194="","",Variants!$C194&amp;" — "&amp;Variants!$E194&amp;IF(Variants!$F194=""," "," "&amp;Variants!$F194)&amp;" — "&amp;Variants!$H194)</f>
        <v>Bird Letter Bracelet — Alphabet Պ — white</v>
      </c>
      <c r="B193" s="21" t="str">
        <f aca="false">IFERROR(IF(Variants!$B194="","",VLOOKUP(Variants!$B194,Designs!$A$3:$AP$165,9,FALSE())&amp;" Handmade in Armenia."),"")</f>
        <v>Bird letters are an ornamental medieval Armenian script where each letter is formed from stylised birds, used in illuminated manuscripts. Handmade in Armenia.</v>
      </c>
      <c r="C193" s="18" t="n">
        <f aca="false">IF(Variants!$J194="","",Variants!$J194)</f>
        <v>49.4</v>
      </c>
      <c r="D193" s="21" t="n">
        <f aca="false">IF(Variants!$O194="","",Variants!$O194)</f>
        <v>0</v>
      </c>
      <c r="E193" s="21" t="str">
        <f aca="false">Variants!$A194</f>
        <v>KARNI-BRAC-ALPHA-PEH-WHITE</v>
      </c>
      <c r="F193" s="21" t="str">
        <f aca="false">IF(Variants!$E194="","",Variants!$E194&amp;", Armenian, handmade, enamel, "&amp;Variants!$D194)</f>
        <v>Alphabet, Armenian, handmade, enamel, Bracelet</v>
      </c>
      <c r="G193" s="21" t="str">
        <f aca="false">IFERROR(VLOOKUP(Variants!$B194,Designs!$A$3:$AP$165,12,FALSE())&amp;", enamel","")</f>
        <v>925 Silver Gold-Plated, enamel</v>
      </c>
      <c r="H193" s="21" t="str">
        <f aca="false">IF(Variants!$B194="","","I did")</f>
        <v>I did</v>
      </c>
      <c r="I193" s="21" t="str">
        <f aca="false">IF(Variants!$B194="","","Made to order")</f>
        <v>Made to order</v>
      </c>
      <c r="J193" s="21" t="str">
        <f aca="false">IF(Variants!$D194="","",Variants!$D194)</f>
        <v>Bracelet</v>
      </c>
      <c r="K193" s="21" t="str">
        <f aca="false">IF(Variants!$Y194="","",Variants!$Y194)</f>
        <v/>
      </c>
      <c r="L193" s="21" t="str">
        <f aca="false">IF(Variants!$H194="","",Variants!$H194)</f>
        <v>white</v>
      </c>
      <c r="M193" s="21" t="str">
        <f aca="false">IF(Variants!$G194="","",Variants!$G194)</f>
        <v/>
      </c>
    </row>
    <row r="194" customFormat="false" ht="15.75" hidden="false" customHeight="true" outlineLevel="0" collapsed="false">
      <c r="A194" s="21" t="str">
        <f aca="false">IF(Variants!$B195="","",Variants!$C195&amp;" — "&amp;Variants!$E195&amp;IF(Variants!$F195=""," "," "&amp;Variants!$F195)&amp;" — "&amp;Variants!$H195)</f>
        <v>Bird Letter Bracelet — Alphabet Ջ — red</v>
      </c>
      <c r="B194" s="21" t="str">
        <f aca="false">IFERROR(IF(Variants!$B195="","",VLOOKUP(Variants!$B195,Designs!$A$3:$AP$165,9,FALSE())&amp;" Handmade in Armenia."),"")</f>
        <v>Bird letters are an ornamental medieval Armenian script where each letter is formed from stylised birds, used in illuminated manuscripts. Handmade in Armenia.</v>
      </c>
      <c r="C194" s="18" t="n">
        <f aca="false">IF(Variants!$J195="","",Variants!$J195)</f>
        <v>49.4</v>
      </c>
      <c r="D194" s="21" t="n">
        <f aca="false">IF(Variants!$O195="","",Variants!$O195)</f>
        <v>0</v>
      </c>
      <c r="E194" s="21" t="str">
        <f aca="false">Variants!$A195</f>
        <v>KARNI-BRAC-ALPHA-JHEH-RED</v>
      </c>
      <c r="F194" s="21" t="str">
        <f aca="false">IF(Variants!$E195="","",Variants!$E195&amp;", Armenian, handmade, enamel, "&amp;Variants!$D195)</f>
        <v>Alphabet, Armenian, handmade, enamel, Bracelet</v>
      </c>
      <c r="G194" s="21" t="str">
        <f aca="false">IFERROR(VLOOKUP(Variants!$B195,Designs!$A$3:$AP$165,12,FALSE())&amp;", enamel","")</f>
        <v>925 Silver Gold-Plated, enamel</v>
      </c>
      <c r="H194" s="21" t="str">
        <f aca="false">IF(Variants!$B195="","","I did")</f>
        <v>I did</v>
      </c>
      <c r="I194" s="21" t="str">
        <f aca="false">IF(Variants!$B195="","","Made to order")</f>
        <v>Made to order</v>
      </c>
      <c r="J194" s="21" t="str">
        <f aca="false">IF(Variants!$D195="","",Variants!$D195)</f>
        <v>Bracelet</v>
      </c>
      <c r="K194" s="21" t="str">
        <f aca="false">IF(Variants!$Y195="","",Variants!$Y195)</f>
        <v/>
      </c>
      <c r="L194" s="21" t="str">
        <f aca="false">IF(Variants!$H195="","",Variants!$H195)</f>
        <v>red</v>
      </c>
      <c r="M194" s="21" t="str">
        <f aca="false">IF(Variants!$G195="","",Variants!$G195)</f>
        <v/>
      </c>
    </row>
    <row r="195" customFormat="false" ht="15.75" hidden="false" customHeight="true" outlineLevel="0" collapsed="false">
      <c r="A195" s="21" t="str">
        <f aca="false">IF(Variants!$B196="","",Variants!$C196&amp;" — "&amp;Variants!$E196&amp;IF(Variants!$F196=""," "," "&amp;Variants!$F196)&amp;" — "&amp;Variants!$H196)</f>
        <v>Bird Letter Bracelet — Alphabet Ջ — turquoise</v>
      </c>
      <c r="B195" s="21" t="str">
        <f aca="false">IFERROR(IF(Variants!$B196="","",VLOOKUP(Variants!$B196,Designs!$A$3:$AP$165,9,FALSE())&amp;" Handmade in Armenia."),"")</f>
        <v>Bird letters are an ornamental medieval Armenian script where each letter is formed from stylised birds, used in illuminated manuscripts. Handmade in Armenia.</v>
      </c>
      <c r="C195" s="18" t="n">
        <f aca="false">IF(Variants!$J196="","",Variants!$J196)</f>
        <v>49.4</v>
      </c>
      <c r="D195" s="21" t="n">
        <f aca="false">IF(Variants!$O196="","",Variants!$O196)</f>
        <v>0</v>
      </c>
      <c r="E195" s="21" t="str">
        <f aca="false">Variants!$A196</f>
        <v>KARNI-BRAC-ALPHA-JHEH-TURQUOISE</v>
      </c>
      <c r="F195" s="21" t="str">
        <f aca="false">IF(Variants!$E196="","",Variants!$E196&amp;", Armenian, handmade, enamel, "&amp;Variants!$D196)</f>
        <v>Alphabet, Armenian, handmade, enamel, Bracelet</v>
      </c>
      <c r="G195" s="21" t="str">
        <f aca="false">IFERROR(VLOOKUP(Variants!$B196,Designs!$A$3:$AP$165,12,FALSE())&amp;", enamel","")</f>
        <v>925 Silver Gold-Plated, enamel</v>
      </c>
      <c r="H195" s="21" t="str">
        <f aca="false">IF(Variants!$B196="","","I did")</f>
        <v>I did</v>
      </c>
      <c r="I195" s="21" t="str">
        <f aca="false">IF(Variants!$B196="","","Made to order")</f>
        <v>Made to order</v>
      </c>
      <c r="J195" s="21" t="str">
        <f aca="false">IF(Variants!$D196="","",Variants!$D196)</f>
        <v>Bracelet</v>
      </c>
      <c r="K195" s="21" t="str">
        <f aca="false">IF(Variants!$Y196="","",Variants!$Y196)</f>
        <v/>
      </c>
      <c r="L195" s="21" t="str">
        <f aca="false">IF(Variants!$H196="","",Variants!$H196)</f>
        <v>turquoise</v>
      </c>
      <c r="M195" s="21" t="str">
        <f aca="false">IF(Variants!$G196="","",Variants!$G196)</f>
        <v/>
      </c>
    </row>
    <row r="196" customFormat="false" ht="15.75" hidden="false" customHeight="true" outlineLevel="0" collapsed="false">
      <c r="A196" s="21" t="str">
        <f aca="false">IF(Variants!$B197="","",Variants!$C197&amp;" — "&amp;Variants!$E197&amp;IF(Variants!$F197=""," "," "&amp;Variants!$F197)&amp;" — "&amp;Variants!$H197)</f>
        <v>Bird Letter Bracelet — Alphabet Ջ — white</v>
      </c>
      <c r="B196" s="21" t="str">
        <f aca="false">IFERROR(IF(Variants!$B197="","",VLOOKUP(Variants!$B197,Designs!$A$3:$AP$165,9,FALSE())&amp;" Handmade in Armenia."),"")</f>
        <v>Bird letters are an ornamental medieval Armenian script where each letter is formed from stylised birds, used in illuminated manuscripts. Handmade in Armenia.</v>
      </c>
      <c r="C196" s="18" t="n">
        <f aca="false">IF(Variants!$J197="","",Variants!$J197)</f>
        <v>49.4</v>
      </c>
      <c r="D196" s="21" t="n">
        <f aca="false">IF(Variants!$O197="","",Variants!$O197)</f>
        <v>0</v>
      </c>
      <c r="E196" s="21" t="str">
        <f aca="false">Variants!$A197</f>
        <v>KARNI-BRAC-ALPHA-JHEH-WHITE</v>
      </c>
      <c r="F196" s="21" t="str">
        <f aca="false">IF(Variants!$E197="","",Variants!$E197&amp;", Armenian, handmade, enamel, "&amp;Variants!$D197)</f>
        <v>Alphabet, Armenian, handmade, enamel, Bracelet</v>
      </c>
      <c r="G196" s="21" t="str">
        <f aca="false">IFERROR(VLOOKUP(Variants!$B197,Designs!$A$3:$AP$165,12,FALSE())&amp;", enamel","")</f>
        <v>925 Silver Gold-Plated, enamel</v>
      </c>
      <c r="H196" s="21" t="str">
        <f aca="false">IF(Variants!$B197="","","I did")</f>
        <v>I did</v>
      </c>
      <c r="I196" s="21" t="str">
        <f aca="false">IF(Variants!$B197="","","Made to order")</f>
        <v>Made to order</v>
      </c>
      <c r="J196" s="21" t="str">
        <f aca="false">IF(Variants!$D197="","",Variants!$D197)</f>
        <v>Bracelet</v>
      </c>
      <c r="K196" s="21" t="str">
        <f aca="false">IF(Variants!$Y197="","",Variants!$Y197)</f>
        <v/>
      </c>
      <c r="L196" s="21" t="str">
        <f aca="false">IF(Variants!$H197="","",Variants!$H197)</f>
        <v>white</v>
      </c>
      <c r="M196" s="21" t="str">
        <f aca="false">IF(Variants!$G197="","",Variants!$G197)</f>
        <v/>
      </c>
    </row>
    <row r="197" customFormat="false" ht="15.75" hidden="false" customHeight="true" outlineLevel="0" collapsed="false">
      <c r="A197" s="21" t="str">
        <f aca="false">IF(Variants!$B198="","",Variants!$C198&amp;" — "&amp;Variants!$E198&amp;IF(Variants!$F198=""," "," "&amp;Variants!$F198)&amp;" — "&amp;Variants!$H198)</f>
        <v>Bird Letter Bracelet — Alphabet Ռ — red</v>
      </c>
      <c r="B197" s="21" t="str">
        <f aca="false">IFERROR(IF(Variants!$B198="","",VLOOKUP(Variants!$B198,Designs!$A$3:$AP$165,9,FALSE())&amp;" Handmade in Armenia."),"")</f>
        <v>Bird letters are an ornamental medieval Armenian script where each letter is formed from stylised birds, used in illuminated manuscripts. Handmade in Armenia.</v>
      </c>
      <c r="C197" s="18" t="n">
        <f aca="false">IF(Variants!$J198="","",Variants!$J198)</f>
        <v>49.4</v>
      </c>
      <c r="D197" s="21" t="n">
        <f aca="false">IF(Variants!$O198="","",Variants!$O198)</f>
        <v>0</v>
      </c>
      <c r="E197" s="21" t="str">
        <f aca="false">Variants!$A198</f>
        <v>KARNI-BRAC-ALPHA-RA-RED</v>
      </c>
      <c r="F197" s="21" t="str">
        <f aca="false">IF(Variants!$E198="","",Variants!$E198&amp;", Armenian, handmade, enamel, "&amp;Variants!$D198)</f>
        <v>Alphabet, Armenian, handmade, enamel, Bracelet</v>
      </c>
      <c r="G197" s="21" t="str">
        <f aca="false">IFERROR(VLOOKUP(Variants!$B198,Designs!$A$3:$AP$165,12,FALSE())&amp;", enamel","")</f>
        <v>925 Silver Gold-Plated, enamel</v>
      </c>
      <c r="H197" s="21" t="str">
        <f aca="false">IF(Variants!$B198="","","I did")</f>
        <v>I did</v>
      </c>
      <c r="I197" s="21" t="str">
        <f aca="false">IF(Variants!$B198="","","Made to order")</f>
        <v>Made to order</v>
      </c>
      <c r="J197" s="21" t="str">
        <f aca="false">IF(Variants!$D198="","",Variants!$D198)</f>
        <v>Bracelet</v>
      </c>
      <c r="K197" s="21" t="str">
        <f aca="false">IF(Variants!$Y198="","",Variants!$Y198)</f>
        <v/>
      </c>
      <c r="L197" s="21" t="str">
        <f aca="false">IF(Variants!$H198="","",Variants!$H198)</f>
        <v>red</v>
      </c>
      <c r="M197" s="21" t="str">
        <f aca="false">IF(Variants!$G198="","",Variants!$G198)</f>
        <v/>
      </c>
    </row>
    <row r="198" customFormat="false" ht="15.75" hidden="false" customHeight="true" outlineLevel="0" collapsed="false">
      <c r="A198" s="21" t="str">
        <f aca="false">IF(Variants!$B199="","",Variants!$C199&amp;" — "&amp;Variants!$E199&amp;IF(Variants!$F199=""," "," "&amp;Variants!$F199)&amp;" — "&amp;Variants!$H199)</f>
        <v>Bird Letter Bracelet — Alphabet Ռ — turquoise</v>
      </c>
      <c r="B198" s="21" t="str">
        <f aca="false">IFERROR(IF(Variants!$B199="","",VLOOKUP(Variants!$B199,Designs!$A$3:$AP$165,9,FALSE())&amp;" Handmade in Armenia."),"")</f>
        <v>Bird letters are an ornamental medieval Armenian script where each letter is formed from stylised birds, used in illuminated manuscripts. Handmade in Armenia.</v>
      </c>
      <c r="C198" s="18" t="n">
        <f aca="false">IF(Variants!$J199="","",Variants!$J199)</f>
        <v>49.4</v>
      </c>
      <c r="D198" s="21" t="n">
        <f aca="false">IF(Variants!$O199="","",Variants!$O199)</f>
        <v>0</v>
      </c>
      <c r="E198" s="21" t="str">
        <f aca="false">Variants!$A199</f>
        <v>KARNI-BRAC-ALPHA-RA-TURQUOISE</v>
      </c>
      <c r="F198" s="21" t="str">
        <f aca="false">IF(Variants!$E199="","",Variants!$E199&amp;", Armenian, handmade, enamel, "&amp;Variants!$D199)</f>
        <v>Alphabet, Armenian, handmade, enamel, Bracelet</v>
      </c>
      <c r="G198" s="21" t="str">
        <f aca="false">IFERROR(VLOOKUP(Variants!$B199,Designs!$A$3:$AP$165,12,FALSE())&amp;", enamel","")</f>
        <v>925 Silver Gold-Plated, enamel</v>
      </c>
      <c r="H198" s="21" t="str">
        <f aca="false">IF(Variants!$B199="","","I did")</f>
        <v>I did</v>
      </c>
      <c r="I198" s="21" t="str">
        <f aca="false">IF(Variants!$B199="","","Made to order")</f>
        <v>Made to order</v>
      </c>
      <c r="J198" s="21" t="str">
        <f aca="false">IF(Variants!$D199="","",Variants!$D199)</f>
        <v>Bracelet</v>
      </c>
      <c r="K198" s="21" t="str">
        <f aca="false">IF(Variants!$Y199="","",Variants!$Y199)</f>
        <v/>
      </c>
      <c r="L198" s="21" t="str">
        <f aca="false">IF(Variants!$H199="","",Variants!$H199)</f>
        <v>turquoise</v>
      </c>
      <c r="M198" s="21" t="str">
        <f aca="false">IF(Variants!$G199="","",Variants!$G199)</f>
        <v/>
      </c>
    </row>
    <row r="199" customFormat="false" ht="15.75" hidden="false" customHeight="true" outlineLevel="0" collapsed="false">
      <c r="A199" s="21" t="str">
        <f aca="false">IF(Variants!$B200="","",Variants!$C200&amp;" — "&amp;Variants!$E200&amp;IF(Variants!$F200=""," "," "&amp;Variants!$F200)&amp;" — "&amp;Variants!$H200)</f>
        <v>Bird Letter Bracelet — Alphabet Ռ — white</v>
      </c>
      <c r="B199" s="21" t="str">
        <f aca="false">IFERROR(IF(Variants!$B200="","",VLOOKUP(Variants!$B200,Designs!$A$3:$AP$165,9,FALSE())&amp;" Handmade in Armenia."),"")</f>
        <v>Bird letters are an ornamental medieval Armenian script where each letter is formed from stylised birds, used in illuminated manuscripts. Handmade in Armenia.</v>
      </c>
      <c r="C199" s="18" t="n">
        <f aca="false">IF(Variants!$J200="","",Variants!$J200)</f>
        <v>49.4</v>
      </c>
      <c r="D199" s="21" t="n">
        <f aca="false">IF(Variants!$O200="","",Variants!$O200)</f>
        <v>0</v>
      </c>
      <c r="E199" s="21" t="str">
        <f aca="false">Variants!$A200</f>
        <v>KARNI-BRAC-ALPHA-RA-WHITE</v>
      </c>
      <c r="F199" s="21" t="str">
        <f aca="false">IF(Variants!$E200="","",Variants!$E200&amp;", Armenian, handmade, enamel, "&amp;Variants!$D200)</f>
        <v>Alphabet, Armenian, handmade, enamel, Bracelet</v>
      </c>
      <c r="G199" s="21" t="str">
        <f aca="false">IFERROR(VLOOKUP(Variants!$B200,Designs!$A$3:$AP$165,12,FALSE())&amp;", enamel","")</f>
        <v>925 Silver Gold-Plated, enamel</v>
      </c>
      <c r="H199" s="21" t="str">
        <f aca="false">IF(Variants!$B200="","","I did")</f>
        <v>I did</v>
      </c>
      <c r="I199" s="21" t="str">
        <f aca="false">IF(Variants!$B200="","","Made to order")</f>
        <v>Made to order</v>
      </c>
      <c r="J199" s="21" t="str">
        <f aca="false">IF(Variants!$D200="","",Variants!$D200)</f>
        <v>Bracelet</v>
      </c>
      <c r="K199" s="21" t="str">
        <f aca="false">IF(Variants!$Y200="","",Variants!$Y200)</f>
        <v/>
      </c>
      <c r="L199" s="21" t="str">
        <f aca="false">IF(Variants!$H200="","",Variants!$H200)</f>
        <v>white</v>
      </c>
      <c r="M199" s="21" t="str">
        <f aca="false">IF(Variants!$G200="","",Variants!$G200)</f>
        <v/>
      </c>
    </row>
    <row r="200" customFormat="false" ht="15.75" hidden="false" customHeight="true" outlineLevel="0" collapsed="false">
      <c r="A200" s="21" t="str">
        <f aca="false">IF(Variants!$B201="","",Variants!$C201&amp;" — "&amp;Variants!$E201&amp;IF(Variants!$F201=""," "," "&amp;Variants!$F201)&amp;" — "&amp;Variants!$H201)</f>
        <v>Bird Letter Bracelet — Alphabet Ս — red</v>
      </c>
      <c r="B200" s="21" t="str">
        <f aca="false">IFERROR(IF(Variants!$B201="","",VLOOKUP(Variants!$B201,Designs!$A$3:$AP$165,9,FALSE())&amp;" Handmade in Armenia."),"")</f>
        <v>Bird letters are an ornamental medieval Armenian script where each letter is formed from stylised birds, used in illuminated manuscripts. Handmade in Armenia.</v>
      </c>
      <c r="C200" s="18" t="n">
        <f aca="false">IF(Variants!$J201="","",Variants!$J201)</f>
        <v>49.4</v>
      </c>
      <c r="D200" s="21" t="n">
        <f aca="false">IF(Variants!$O201="","",Variants!$O201)</f>
        <v>0</v>
      </c>
      <c r="E200" s="21" t="str">
        <f aca="false">Variants!$A201</f>
        <v>KARNI-BRAC-ALPHA-SEH-RED</v>
      </c>
      <c r="F200" s="21" t="str">
        <f aca="false">IF(Variants!$E201="","",Variants!$E201&amp;", Armenian, handmade, enamel, "&amp;Variants!$D201)</f>
        <v>Alphabet, Armenian, handmade, enamel, Bracelet</v>
      </c>
      <c r="G200" s="21" t="str">
        <f aca="false">IFERROR(VLOOKUP(Variants!$B201,Designs!$A$3:$AP$165,12,FALSE())&amp;", enamel","")</f>
        <v>925 Silver Gold-Plated, enamel</v>
      </c>
      <c r="H200" s="21" t="str">
        <f aca="false">IF(Variants!$B201="","","I did")</f>
        <v>I did</v>
      </c>
      <c r="I200" s="21" t="str">
        <f aca="false">IF(Variants!$B201="","","Made to order")</f>
        <v>Made to order</v>
      </c>
      <c r="J200" s="21" t="str">
        <f aca="false">IF(Variants!$D201="","",Variants!$D201)</f>
        <v>Bracelet</v>
      </c>
      <c r="K200" s="21" t="str">
        <f aca="false">IF(Variants!$Y201="","",Variants!$Y201)</f>
        <v/>
      </c>
      <c r="L200" s="21" t="str">
        <f aca="false">IF(Variants!$H201="","",Variants!$H201)</f>
        <v>red</v>
      </c>
      <c r="M200" s="21" t="str">
        <f aca="false">IF(Variants!$G201="","",Variants!$G201)</f>
        <v/>
      </c>
    </row>
    <row r="201" customFormat="false" ht="15.75" hidden="false" customHeight="true" outlineLevel="0" collapsed="false">
      <c r="A201" s="21" t="str">
        <f aca="false">IF(Variants!$B202="","",Variants!$C202&amp;" — "&amp;Variants!$E202&amp;IF(Variants!$F202=""," "," "&amp;Variants!$F202)&amp;" — "&amp;Variants!$H202)</f>
        <v>Bird Letter Bracelet — Alphabet Ս — turquoise</v>
      </c>
      <c r="B201" s="21" t="str">
        <f aca="false">IFERROR(IF(Variants!$B202="","",VLOOKUP(Variants!$B202,Designs!$A$3:$AP$165,9,FALSE())&amp;" Handmade in Armenia."),"")</f>
        <v>Bird letters are an ornamental medieval Armenian script where each letter is formed from stylised birds, used in illuminated manuscripts. Handmade in Armenia.</v>
      </c>
      <c r="C201" s="18" t="n">
        <f aca="false">IF(Variants!$J202="","",Variants!$J202)</f>
        <v>49.4</v>
      </c>
      <c r="D201" s="21" t="n">
        <f aca="false">IF(Variants!$O202="","",Variants!$O202)</f>
        <v>0</v>
      </c>
      <c r="E201" s="21" t="str">
        <f aca="false">Variants!$A202</f>
        <v>KARNI-BRAC-ALPHA-SEH-TURQUOISE</v>
      </c>
      <c r="F201" s="21" t="str">
        <f aca="false">IF(Variants!$E202="","",Variants!$E202&amp;", Armenian, handmade, enamel, "&amp;Variants!$D202)</f>
        <v>Alphabet, Armenian, handmade, enamel, Bracelet</v>
      </c>
      <c r="G201" s="21" t="str">
        <f aca="false">IFERROR(VLOOKUP(Variants!$B202,Designs!$A$3:$AP$165,12,FALSE())&amp;", enamel","")</f>
        <v>925 Silver Gold-Plated, enamel</v>
      </c>
      <c r="H201" s="21" t="str">
        <f aca="false">IF(Variants!$B202="","","I did")</f>
        <v>I did</v>
      </c>
      <c r="I201" s="21" t="str">
        <f aca="false">IF(Variants!$B202="","","Made to order")</f>
        <v>Made to order</v>
      </c>
      <c r="J201" s="21" t="str">
        <f aca="false">IF(Variants!$D202="","",Variants!$D202)</f>
        <v>Bracelet</v>
      </c>
      <c r="K201" s="21" t="str">
        <f aca="false">IF(Variants!$Y202="","",Variants!$Y202)</f>
        <v/>
      </c>
      <c r="L201" s="21" t="str">
        <f aca="false">IF(Variants!$H202="","",Variants!$H202)</f>
        <v>turquoise</v>
      </c>
      <c r="M201" s="21" t="str">
        <f aca="false">IF(Variants!$G202="","",Variants!$G202)</f>
        <v/>
      </c>
    </row>
    <row r="202" customFormat="false" ht="15.75" hidden="false" customHeight="true" outlineLevel="0" collapsed="false">
      <c r="A202" s="21" t="str">
        <f aca="false">IF(Variants!$B203="","",Variants!$C203&amp;" — "&amp;Variants!$E203&amp;IF(Variants!$F203=""," "," "&amp;Variants!$F203)&amp;" — "&amp;Variants!$H203)</f>
        <v>Bird Letter Bracelet — Alphabet Ս — white</v>
      </c>
      <c r="B202" s="21" t="str">
        <f aca="false">IFERROR(IF(Variants!$B203="","",VLOOKUP(Variants!$B203,Designs!$A$3:$AP$165,9,FALSE())&amp;" Handmade in Armenia."),"")</f>
        <v>Bird letters are an ornamental medieval Armenian script where each letter is formed from stylised birds, used in illuminated manuscripts. Handmade in Armenia.</v>
      </c>
      <c r="C202" s="18" t="n">
        <f aca="false">IF(Variants!$J203="","",Variants!$J203)</f>
        <v>49.4</v>
      </c>
      <c r="D202" s="21" t="n">
        <f aca="false">IF(Variants!$O203="","",Variants!$O203)</f>
        <v>0</v>
      </c>
      <c r="E202" s="21" t="str">
        <f aca="false">Variants!$A203</f>
        <v>KARNI-BRAC-ALPHA-SEH-WHITE</v>
      </c>
      <c r="F202" s="21" t="str">
        <f aca="false">IF(Variants!$E203="","",Variants!$E203&amp;", Armenian, handmade, enamel, "&amp;Variants!$D203)</f>
        <v>Alphabet, Armenian, handmade, enamel, Bracelet</v>
      </c>
      <c r="G202" s="21" t="str">
        <f aca="false">IFERROR(VLOOKUP(Variants!$B203,Designs!$A$3:$AP$165,12,FALSE())&amp;", enamel","")</f>
        <v>925 Silver Gold-Plated, enamel</v>
      </c>
      <c r="H202" s="21" t="str">
        <f aca="false">IF(Variants!$B203="","","I did")</f>
        <v>I did</v>
      </c>
      <c r="I202" s="21" t="str">
        <f aca="false">IF(Variants!$B203="","","Made to order")</f>
        <v>Made to order</v>
      </c>
      <c r="J202" s="21" t="str">
        <f aca="false">IF(Variants!$D203="","",Variants!$D203)</f>
        <v>Bracelet</v>
      </c>
      <c r="K202" s="21" t="str">
        <f aca="false">IF(Variants!$Y203="","",Variants!$Y203)</f>
        <v/>
      </c>
      <c r="L202" s="21" t="str">
        <f aca="false">IF(Variants!$H203="","",Variants!$H203)</f>
        <v>white</v>
      </c>
      <c r="M202" s="21" t="str">
        <f aca="false">IF(Variants!$G203="","",Variants!$G203)</f>
        <v/>
      </c>
    </row>
    <row r="203" customFormat="false" ht="15.75" hidden="false" customHeight="true" outlineLevel="0" collapsed="false">
      <c r="A203" s="21" t="str">
        <f aca="false">IF(Variants!$B204="","",Variants!$C204&amp;" — "&amp;Variants!$E204&amp;IF(Variants!$F204=""," "," "&amp;Variants!$F204)&amp;" — "&amp;Variants!$H204)</f>
        <v>Bird Letter Bracelet — Alphabet Վ — red</v>
      </c>
      <c r="B203" s="21" t="str">
        <f aca="false">IFERROR(IF(Variants!$B204="","",VLOOKUP(Variants!$B204,Designs!$A$3:$AP$165,9,FALSE())&amp;" Handmade in Armenia."),"")</f>
        <v>Bird letters are an ornamental medieval Armenian script where each letter is formed from stylised birds, used in illuminated manuscripts. Handmade in Armenia.</v>
      </c>
      <c r="C203" s="18" t="n">
        <f aca="false">IF(Variants!$J204="","",Variants!$J204)</f>
        <v>49.4</v>
      </c>
      <c r="D203" s="21" t="n">
        <f aca="false">IF(Variants!$O204="","",Variants!$O204)</f>
        <v>0</v>
      </c>
      <c r="E203" s="21" t="str">
        <f aca="false">Variants!$A204</f>
        <v>KARNI-BRAC-ALPHA-VEV-RED</v>
      </c>
      <c r="F203" s="21" t="str">
        <f aca="false">IF(Variants!$E204="","",Variants!$E204&amp;", Armenian, handmade, enamel, "&amp;Variants!$D204)</f>
        <v>Alphabet, Armenian, handmade, enamel, Bracelet</v>
      </c>
      <c r="G203" s="21" t="str">
        <f aca="false">IFERROR(VLOOKUP(Variants!$B204,Designs!$A$3:$AP$165,12,FALSE())&amp;", enamel","")</f>
        <v>925 Silver Gold-Plated, enamel</v>
      </c>
      <c r="H203" s="21" t="str">
        <f aca="false">IF(Variants!$B204="","","I did")</f>
        <v>I did</v>
      </c>
      <c r="I203" s="21" t="str">
        <f aca="false">IF(Variants!$B204="","","Made to order")</f>
        <v>Made to order</v>
      </c>
      <c r="J203" s="21" t="str">
        <f aca="false">IF(Variants!$D204="","",Variants!$D204)</f>
        <v>Bracelet</v>
      </c>
      <c r="K203" s="21" t="str">
        <f aca="false">IF(Variants!$Y204="","",Variants!$Y204)</f>
        <v/>
      </c>
      <c r="L203" s="21" t="str">
        <f aca="false">IF(Variants!$H204="","",Variants!$H204)</f>
        <v>red</v>
      </c>
      <c r="M203" s="21" t="str">
        <f aca="false">IF(Variants!$G204="","",Variants!$G204)</f>
        <v/>
      </c>
    </row>
    <row r="204" customFormat="false" ht="15.75" hidden="false" customHeight="true" outlineLevel="0" collapsed="false">
      <c r="A204" s="21" t="str">
        <f aca="false">IF(Variants!$B205="","",Variants!$C205&amp;" — "&amp;Variants!$E205&amp;IF(Variants!$F205=""," "," "&amp;Variants!$F205)&amp;" — "&amp;Variants!$H205)</f>
        <v>Bird Letter Bracelet — Alphabet Վ — turquoise</v>
      </c>
      <c r="B204" s="21" t="str">
        <f aca="false">IFERROR(IF(Variants!$B205="","",VLOOKUP(Variants!$B205,Designs!$A$3:$AP$165,9,FALSE())&amp;" Handmade in Armenia."),"")</f>
        <v>Bird letters are an ornamental medieval Armenian script where each letter is formed from stylised birds, used in illuminated manuscripts. Handmade in Armenia.</v>
      </c>
      <c r="C204" s="18" t="n">
        <f aca="false">IF(Variants!$J205="","",Variants!$J205)</f>
        <v>49.4</v>
      </c>
      <c r="D204" s="21" t="n">
        <f aca="false">IF(Variants!$O205="","",Variants!$O205)</f>
        <v>0</v>
      </c>
      <c r="E204" s="21" t="str">
        <f aca="false">Variants!$A205</f>
        <v>KARNI-BRAC-ALPHA-VEV-TURQUOISE</v>
      </c>
      <c r="F204" s="21" t="str">
        <f aca="false">IF(Variants!$E205="","",Variants!$E205&amp;", Armenian, handmade, enamel, "&amp;Variants!$D205)</f>
        <v>Alphabet, Armenian, handmade, enamel, Bracelet</v>
      </c>
      <c r="G204" s="21" t="str">
        <f aca="false">IFERROR(VLOOKUP(Variants!$B205,Designs!$A$3:$AP$165,12,FALSE())&amp;", enamel","")</f>
        <v>925 Silver Gold-Plated, enamel</v>
      </c>
      <c r="H204" s="21" t="str">
        <f aca="false">IF(Variants!$B205="","","I did")</f>
        <v>I did</v>
      </c>
      <c r="I204" s="21" t="str">
        <f aca="false">IF(Variants!$B205="","","Made to order")</f>
        <v>Made to order</v>
      </c>
      <c r="J204" s="21" t="str">
        <f aca="false">IF(Variants!$D205="","",Variants!$D205)</f>
        <v>Bracelet</v>
      </c>
      <c r="K204" s="21" t="str">
        <f aca="false">IF(Variants!$Y205="","",Variants!$Y205)</f>
        <v/>
      </c>
      <c r="L204" s="21" t="str">
        <f aca="false">IF(Variants!$H205="","",Variants!$H205)</f>
        <v>turquoise</v>
      </c>
      <c r="M204" s="21" t="str">
        <f aca="false">IF(Variants!$G205="","",Variants!$G205)</f>
        <v/>
      </c>
    </row>
    <row r="205" customFormat="false" ht="15.75" hidden="false" customHeight="true" outlineLevel="0" collapsed="false">
      <c r="A205" s="21" t="str">
        <f aca="false">IF(Variants!$B206="","",Variants!$C206&amp;" — "&amp;Variants!$E206&amp;IF(Variants!$F206=""," "," "&amp;Variants!$F206)&amp;" — "&amp;Variants!$H206)</f>
        <v>Bird Letter Bracelet — Alphabet Վ — white</v>
      </c>
      <c r="B205" s="21" t="str">
        <f aca="false">IFERROR(IF(Variants!$B206="","",VLOOKUP(Variants!$B206,Designs!$A$3:$AP$165,9,FALSE())&amp;" Handmade in Armenia."),"")</f>
        <v>Bird letters are an ornamental medieval Armenian script where each letter is formed from stylised birds, used in illuminated manuscripts. Handmade in Armenia.</v>
      </c>
      <c r="C205" s="18" t="n">
        <f aca="false">IF(Variants!$J206="","",Variants!$J206)</f>
        <v>49.4</v>
      </c>
      <c r="D205" s="21" t="n">
        <f aca="false">IF(Variants!$O206="","",Variants!$O206)</f>
        <v>0</v>
      </c>
      <c r="E205" s="21" t="str">
        <f aca="false">Variants!$A206</f>
        <v>KARNI-BRAC-ALPHA-VEV-WHITE</v>
      </c>
      <c r="F205" s="21" t="str">
        <f aca="false">IF(Variants!$E206="","",Variants!$E206&amp;", Armenian, handmade, enamel, "&amp;Variants!$D206)</f>
        <v>Alphabet, Armenian, handmade, enamel, Bracelet</v>
      </c>
      <c r="G205" s="21" t="str">
        <f aca="false">IFERROR(VLOOKUP(Variants!$B206,Designs!$A$3:$AP$165,12,FALSE())&amp;", enamel","")</f>
        <v>925 Silver Gold-Plated, enamel</v>
      </c>
      <c r="H205" s="21" t="str">
        <f aca="false">IF(Variants!$B206="","","I did")</f>
        <v>I did</v>
      </c>
      <c r="I205" s="21" t="str">
        <f aca="false">IF(Variants!$B206="","","Made to order")</f>
        <v>Made to order</v>
      </c>
      <c r="J205" s="21" t="str">
        <f aca="false">IF(Variants!$D206="","",Variants!$D206)</f>
        <v>Bracelet</v>
      </c>
      <c r="K205" s="21" t="str">
        <f aca="false">IF(Variants!$Y206="","",Variants!$Y206)</f>
        <v/>
      </c>
      <c r="L205" s="21" t="str">
        <f aca="false">IF(Variants!$H206="","",Variants!$H206)</f>
        <v>white</v>
      </c>
      <c r="M205" s="21" t="str">
        <f aca="false">IF(Variants!$G206="","",Variants!$G206)</f>
        <v/>
      </c>
    </row>
    <row r="206" customFormat="false" ht="15.75" hidden="false" customHeight="true" outlineLevel="0" collapsed="false">
      <c r="A206" s="21" t="str">
        <f aca="false">IF(Variants!$B207="","",Variants!$C207&amp;" — "&amp;Variants!$E207&amp;IF(Variants!$F207=""," "," "&amp;Variants!$F207)&amp;" — "&amp;Variants!$H207)</f>
        <v>Bird Letter Bracelet — Alphabet Տ — red</v>
      </c>
      <c r="B206" s="21" t="str">
        <f aca="false">IFERROR(IF(Variants!$B207="","",VLOOKUP(Variants!$B207,Designs!$A$3:$AP$165,9,FALSE())&amp;" Handmade in Armenia."),"")</f>
        <v>Bird letters are an ornamental medieval Armenian script where each letter is formed from stylised birds, used in illuminated manuscripts. Handmade in Armenia.</v>
      </c>
      <c r="C206" s="18" t="n">
        <f aca="false">IF(Variants!$J207="","",Variants!$J207)</f>
        <v>49.4</v>
      </c>
      <c r="D206" s="21" t="n">
        <f aca="false">IF(Variants!$O207="","",Variants!$O207)</f>
        <v>0</v>
      </c>
      <c r="E206" s="21" t="str">
        <f aca="false">Variants!$A207</f>
        <v>KARNI-BRAC-ALPHA-TYUN-RED</v>
      </c>
      <c r="F206" s="21" t="str">
        <f aca="false">IF(Variants!$E207="","",Variants!$E207&amp;", Armenian, handmade, enamel, "&amp;Variants!$D207)</f>
        <v>Alphabet, Armenian, handmade, enamel, Bracelet</v>
      </c>
      <c r="G206" s="21" t="str">
        <f aca="false">IFERROR(VLOOKUP(Variants!$B207,Designs!$A$3:$AP$165,12,FALSE())&amp;", enamel","")</f>
        <v>925 Silver Gold-Plated, enamel</v>
      </c>
      <c r="H206" s="21" t="str">
        <f aca="false">IF(Variants!$B207="","","I did")</f>
        <v>I did</v>
      </c>
      <c r="I206" s="21" t="str">
        <f aca="false">IF(Variants!$B207="","","Made to order")</f>
        <v>Made to order</v>
      </c>
      <c r="J206" s="21" t="str">
        <f aca="false">IF(Variants!$D207="","",Variants!$D207)</f>
        <v>Bracelet</v>
      </c>
      <c r="K206" s="21" t="str">
        <f aca="false">IF(Variants!$Y207="","",Variants!$Y207)</f>
        <v/>
      </c>
      <c r="L206" s="21" t="str">
        <f aca="false">IF(Variants!$H207="","",Variants!$H207)</f>
        <v>red</v>
      </c>
      <c r="M206" s="21" t="str">
        <f aca="false">IF(Variants!$G207="","",Variants!$G207)</f>
        <v/>
      </c>
    </row>
    <row r="207" customFormat="false" ht="15.75" hidden="false" customHeight="true" outlineLevel="0" collapsed="false">
      <c r="A207" s="21" t="str">
        <f aca="false">IF(Variants!$B208="","",Variants!$C208&amp;" — "&amp;Variants!$E208&amp;IF(Variants!$F208=""," "," "&amp;Variants!$F208)&amp;" — "&amp;Variants!$H208)</f>
        <v>Bird Letter Bracelet — Alphabet Տ — turquoise</v>
      </c>
      <c r="B207" s="21" t="str">
        <f aca="false">IFERROR(IF(Variants!$B208="","",VLOOKUP(Variants!$B208,Designs!$A$3:$AP$165,9,FALSE())&amp;" Handmade in Armenia."),"")</f>
        <v>Bird letters are an ornamental medieval Armenian script where each letter is formed from stylised birds, used in illuminated manuscripts. Handmade in Armenia.</v>
      </c>
      <c r="C207" s="18" t="n">
        <f aca="false">IF(Variants!$J208="","",Variants!$J208)</f>
        <v>49.4</v>
      </c>
      <c r="D207" s="21" t="n">
        <f aca="false">IF(Variants!$O208="","",Variants!$O208)</f>
        <v>0</v>
      </c>
      <c r="E207" s="21" t="str">
        <f aca="false">Variants!$A208</f>
        <v>KARNI-BRAC-ALPHA-TYUN-TURQUOISE</v>
      </c>
      <c r="F207" s="21" t="str">
        <f aca="false">IF(Variants!$E208="","",Variants!$E208&amp;", Armenian, handmade, enamel, "&amp;Variants!$D208)</f>
        <v>Alphabet, Armenian, handmade, enamel, Bracelet</v>
      </c>
      <c r="G207" s="21" t="str">
        <f aca="false">IFERROR(VLOOKUP(Variants!$B208,Designs!$A$3:$AP$165,12,FALSE())&amp;", enamel","")</f>
        <v>925 Silver Gold-Plated, enamel</v>
      </c>
      <c r="H207" s="21" t="str">
        <f aca="false">IF(Variants!$B208="","","I did")</f>
        <v>I did</v>
      </c>
      <c r="I207" s="21" t="str">
        <f aca="false">IF(Variants!$B208="","","Made to order")</f>
        <v>Made to order</v>
      </c>
      <c r="J207" s="21" t="str">
        <f aca="false">IF(Variants!$D208="","",Variants!$D208)</f>
        <v>Bracelet</v>
      </c>
      <c r="K207" s="21" t="str">
        <f aca="false">IF(Variants!$Y208="","",Variants!$Y208)</f>
        <v/>
      </c>
      <c r="L207" s="21" t="str">
        <f aca="false">IF(Variants!$H208="","",Variants!$H208)</f>
        <v>turquoise</v>
      </c>
      <c r="M207" s="21" t="str">
        <f aca="false">IF(Variants!$G208="","",Variants!$G208)</f>
        <v/>
      </c>
    </row>
    <row r="208" customFormat="false" ht="15.75" hidden="false" customHeight="true" outlineLevel="0" collapsed="false">
      <c r="A208" s="21" t="str">
        <f aca="false">IF(Variants!$B209="","",Variants!$C209&amp;" — "&amp;Variants!$E209&amp;IF(Variants!$F209=""," "," "&amp;Variants!$F209)&amp;" — "&amp;Variants!$H209)</f>
        <v>Bird Letter Bracelet — Alphabet Տ — white</v>
      </c>
      <c r="B208" s="21" t="str">
        <f aca="false">IFERROR(IF(Variants!$B209="","",VLOOKUP(Variants!$B209,Designs!$A$3:$AP$165,9,FALSE())&amp;" Handmade in Armenia."),"")</f>
        <v>Bird letters are an ornamental medieval Armenian script where each letter is formed from stylised birds, used in illuminated manuscripts. Handmade in Armenia.</v>
      </c>
      <c r="C208" s="18" t="n">
        <f aca="false">IF(Variants!$J209="","",Variants!$J209)</f>
        <v>49.4</v>
      </c>
      <c r="D208" s="21" t="n">
        <f aca="false">IF(Variants!$O209="","",Variants!$O209)</f>
        <v>0</v>
      </c>
      <c r="E208" s="21" t="str">
        <f aca="false">Variants!$A209</f>
        <v>KARNI-BRAC-ALPHA-TYUN-WHITE</v>
      </c>
      <c r="F208" s="21" t="str">
        <f aca="false">IF(Variants!$E209="","",Variants!$E209&amp;", Armenian, handmade, enamel, "&amp;Variants!$D209)</f>
        <v>Alphabet, Armenian, handmade, enamel, Bracelet</v>
      </c>
      <c r="G208" s="21" t="str">
        <f aca="false">IFERROR(VLOOKUP(Variants!$B209,Designs!$A$3:$AP$165,12,FALSE())&amp;", enamel","")</f>
        <v>925 Silver Gold-Plated, enamel</v>
      </c>
      <c r="H208" s="21" t="str">
        <f aca="false">IF(Variants!$B209="","","I did")</f>
        <v>I did</v>
      </c>
      <c r="I208" s="21" t="str">
        <f aca="false">IF(Variants!$B209="","","Made to order")</f>
        <v>Made to order</v>
      </c>
      <c r="J208" s="21" t="str">
        <f aca="false">IF(Variants!$D209="","",Variants!$D209)</f>
        <v>Bracelet</v>
      </c>
      <c r="K208" s="21" t="str">
        <f aca="false">IF(Variants!$Y209="","",Variants!$Y209)</f>
        <v/>
      </c>
      <c r="L208" s="21" t="str">
        <f aca="false">IF(Variants!$H209="","",Variants!$H209)</f>
        <v>white</v>
      </c>
      <c r="M208" s="21" t="str">
        <f aca="false">IF(Variants!$G209="","",Variants!$G209)</f>
        <v/>
      </c>
    </row>
    <row r="209" customFormat="false" ht="15.75" hidden="false" customHeight="true" outlineLevel="0" collapsed="false">
      <c r="A209" s="21" t="str">
        <f aca="false">IF(Variants!$B210="","",Variants!$C210&amp;" — "&amp;Variants!$E210&amp;IF(Variants!$F210=""," "," "&amp;Variants!$F210)&amp;" — "&amp;Variants!$H210)</f>
        <v>Bird Letter Bracelet — Alphabet Ր — red</v>
      </c>
      <c r="B209" s="21" t="str">
        <f aca="false">IFERROR(IF(Variants!$B210="","",VLOOKUP(Variants!$B210,Designs!$A$3:$AP$165,9,FALSE())&amp;" Handmade in Armenia."),"")</f>
        <v>Bird letters are an ornamental medieval Armenian script where each letter is formed from stylised birds, used in illuminated manuscripts. Handmade in Armenia.</v>
      </c>
      <c r="C209" s="18" t="n">
        <f aca="false">IF(Variants!$J210="","",Variants!$J210)</f>
        <v>49.4</v>
      </c>
      <c r="D209" s="21" t="n">
        <f aca="false">IF(Variants!$O210="","",Variants!$O210)</f>
        <v>0</v>
      </c>
      <c r="E209" s="21" t="str">
        <f aca="false">Variants!$A210</f>
        <v>KARNI-BRAC-ALPHA-REH-RED</v>
      </c>
      <c r="F209" s="21" t="str">
        <f aca="false">IF(Variants!$E210="","",Variants!$E210&amp;", Armenian, handmade, enamel, "&amp;Variants!$D210)</f>
        <v>Alphabet, Armenian, handmade, enamel, Bracelet</v>
      </c>
      <c r="G209" s="21" t="str">
        <f aca="false">IFERROR(VLOOKUP(Variants!$B210,Designs!$A$3:$AP$165,12,FALSE())&amp;", enamel","")</f>
        <v>925 Silver Gold-Plated, enamel</v>
      </c>
      <c r="H209" s="21" t="str">
        <f aca="false">IF(Variants!$B210="","","I did")</f>
        <v>I did</v>
      </c>
      <c r="I209" s="21" t="str">
        <f aca="false">IF(Variants!$B210="","","Made to order")</f>
        <v>Made to order</v>
      </c>
      <c r="J209" s="21" t="str">
        <f aca="false">IF(Variants!$D210="","",Variants!$D210)</f>
        <v>Bracelet</v>
      </c>
      <c r="K209" s="21" t="str">
        <f aca="false">IF(Variants!$Y210="","",Variants!$Y210)</f>
        <v/>
      </c>
      <c r="L209" s="21" t="str">
        <f aca="false">IF(Variants!$H210="","",Variants!$H210)</f>
        <v>red</v>
      </c>
      <c r="M209" s="21" t="str">
        <f aca="false">IF(Variants!$G210="","",Variants!$G210)</f>
        <v/>
      </c>
    </row>
    <row r="210" customFormat="false" ht="15.75" hidden="false" customHeight="true" outlineLevel="0" collapsed="false">
      <c r="A210" s="21" t="str">
        <f aca="false">IF(Variants!$B211="","",Variants!$C211&amp;" — "&amp;Variants!$E211&amp;IF(Variants!$F211=""," "," "&amp;Variants!$F211)&amp;" — "&amp;Variants!$H211)</f>
        <v>Bird Letter Bracelet — Alphabet Ր — turquoise</v>
      </c>
      <c r="B210" s="21" t="str">
        <f aca="false">IFERROR(IF(Variants!$B211="","",VLOOKUP(Variants!$B211,Designs!$A$3:$AP$165,9,FALSE())&amp;" Handmade in Armenia."),"")</f>
        <v>Bird letters are an ornamental medieval Armenian script where each letter is formed from stylised birds, used in illuminated manuscripts. Handmade in Armenia.</v>
      </c>
      <c r="C210" s="18" t="n">
        <f aca="false">IF(Variants!$J211="","",Variants!$J211)</f>
        <v>49.4</v>
      </c>
      <c r="D210" s="21" t="n">
        <f aca="false">IF(Variants!$O211="","",Variants!$O211)</f>
        <v>0</v>
      </c>
      <c r="E210" s="21" t="str">
        <f aca="false">Variants!$A211</f>
        <v>KARNI-BRAC-ALPHA-REH-TURQUOISE</v>
      </c>
      <c r="F210" s="21" t="str">
        <f aca="false">IF(Variants!$E211="","",Variants!$E211&amp;", Armenian, handmade, enamel, "&amp;Variants!$D211)</f>
        <v>Alphabet, Armenian, handmade, enamel, Bracelet</v>
      </c>
      <c r="G210" s="21" t="str">
        <f aca="false">IFERROR(VLOOKUP(Variants!$B211,Designs!$A$3:$AP$165,12,FALSE())&amp;", enamel","")</f>
        <v>925 Silver Gold-Plated, enamel</v>
      </c>
      <c r="H210" s="21" t="str">
        <f aca="false">IF(Variants!$B211="","","I did")</f>
        <v>I did</v>
      </c>
      <c r="I210" s="21" t="str">
        <f aca="false">IF(Variants!$B211="","","Made to order")</f>
        <v>Made to order</v>
      </c>
      <c r="J210" s="21" t="str">
        <f aca="false">IF(Variants!$D211="","",Variants!$D211)</f>
        <v>Bracelet</v>
      </c>
      <c r="K210" s="21" t="str">
        <f aca="false">IF(Variants!$Y211="","",Variants!$Y211)</f>
        <v/>
      </c>
      <c r="L210" s="21" t="str">
        <f aca="false">IF(Variants!$H211="","",Variants!$H211)</f>
        <v>turquoise</v>
      </c>
      <c r="M210" s="21" t="str">
        <f aca="false">IF(Variants!$G211="","",Variants!$G211)</f>
        <v/>
      </c>
    </row>
    <row r="211" customFormat="false" ht="15.75" hidden="false" customHeight="true" outlineLevel="0" collapsed="false">
      <c r="A211" s="21" t="str">
        <f aca="false">IF(Variants!$B212="","",Variants!$C212&amp;" — "&amp;Variants!$E212&amp;IF(Variants!$F212=""," "," "&amp;Variants!$F212)&amp;" — "&amp;Variants!$H212)</f>
        <v>Bird Letter Bracelet — Alphabet Ր — white</v>
      </c>
      <c r="B211" s="21" t="str">
        <f aca="false">IFERROR(IF(Variants!$B212="","",VLOOKUP(Variants!$B212,Designs!$A$3:$AP$165,9,FALSE())&amp;" Handmade in Armenia."),"")</f>
        <v>Bird letters are an ornamental medieval Armenian script where each letter is formed from stylised birds, used in illuminated manuscripts. Handmade in Armenia.</v>
      </c>
      <c r="C211" s="18" t="n">
        <f aca="false">IF(Variants!$J212="","",Variants!$J212)</f>
        <v>49.4</v>
      </c>
      <c r="D211" s="21" t="n">
        <f aca="false">IF(Variants!$O212="","",Variants!$O212)</f>
        <v>0</v>
      </c>
      <c r="E211" s="21" t="str">
        <f aca="false">Variants!$A212</f>
        <v>KARNI-BRAC-ALPHA-REH-WHITE</v>
      </c>
      <c r="F211" s="21" t="str">
        <f aca="false">IF(Variants!$E212="","",Variants!$E212&amp;", Armenian, handmade, enamel, "&amp;Variants!$D212)</f>
        <v>Alphabet, Armenian, handmade, enamel, Bracelet</v>
      </c>
      <c r="G211" s="21" t="str">
        <f aca="false">IFERROR(VLOOKUP(Variants!$B212,Designs!$A$3:$AP$165,12,FALSE())&amp;", enamel","")</f>
        <v>925 Silver Gold-Plated, enamel</v>
      </c>
      <c r="H211" s="21" t="str">
        <f aca="false">IF(Variants!$B212="","","I did")</f>
        <v>I did</v>
      </c>
      <c r="I211" s="21" t="str">
        <f aca="false">IF(Variants!$B212="","","Made to order")</f>
        <v>Made to order</v>
      </c>
      <c r="J211" s="21" t="str">
        <f aca="false">IF(Variants!$D212="","",Variants!$D212)</f>
        <v>Bracelet</v>
      </c>
      <c r="K211" s="21" t="str">
        <f aca="false">IF(Variants!$Y212="","",Variants!$Y212)</f>
        <v/>
      </c>
      <c r="L211" s="21" t="str">
        <f aca="false">IF(Variants!$H212="","",Variants!$H212)</f>
        <v>white</v>
      </c>
      <c r="M211" s="21" t="str">
        <f aca="false">IF(Variants!$G212="","",Variants!$G212)</f>
        <v/>
      </c>
    </row>
    <row r="212" customFormat="false" ht="15.75" hidden="false" customHeight="true" outlineLevel="0" collapsed="false">
      <c r="A212" s="21" t="str">
        <f aca="false">IF(Variants!$B213="","",Variants!$C213&amp;" — "&amp;Variants!$E213&amp;IF(Variants!$F213=""," "," "&amp;Variants!$F213)&amp;" — "&amp;Variants!$H213)</f>
        <v>Bird Letter Bracelet — Alphabet Ց — red</v>
      </c>
      <c r="B212" s="21" t="str">
        <f aca="false">IFERROR(IF(Variants!$B213="","",VLOOKUP(Variants!$B213,Designs!$A$3:$AP$165,9,FALSE())&amp;" Handmade in Armenia."),"")</f>
        <v>Bird letters are an ornamental medieval Armenian script where each letter is formed from stylised birds, used in illuminated manuscripts. Handmade in Armenia.</v>
      </c>
      <c r="C212" s="18" t="n">
        <f aca="false">IF(Variants!$J213="","",Variants!$J213)</f>
        <v>49.4</v>
      </c>
      <c r="D212" s="21" t="n">
        <f aca="false">IF(Variants!$O213="","",Variants!$O213)</f>
        <v>0</v>
      </c>
      <c r="E212" s="21" t="str">
        <f aca="false">Variants!$A213</f>
        <v>KARNI-BRAC-ALPHA-TSO-RED</v>
      </c>
      <c r="F212" s="21" t="str">
        <f aca="false">IF(Variants!$E213="","",Variants!$E213&amp;", Armenian, handmade, enamel, "&amp;Variants!$D213)</f>
        <v>Alphabet, Armenian, handmade, enamel, Bracelet</v>
      </c>
      <c r="G212" s="21" t="str">
        <f aca="false">IFERROR(VLOOKUP(Variants!$B213,Designs!$A$3:$AP$165,12,FALSE())&amp;", enamel","")</f>
        <v>925 Silver Gold-Plated, enamel</v>
      </c>
      <c r="H212" s="21" t="str">
        <f aca="false">IF(Variants!$B213="","","I did")</f>
        <v>I did</v>
      </c>
      <c r="I212" s="21" t="str">
        <f aca="false">IF(Variants!$B213="","","Made to order")</f>
        <v>Made to order</v>
      </c>
      <c r="J212" s="21" t="str">
        <f aca="false">IF(Variants!$D213="","",Variants!$D213)</f>
        <v>Bracelet</v>
      </c>
      <c r="K212" s="21" t="str">
        <f aca="false">IF(Variants!$Y213="","",Variants!$Y213)</f>
        <v/>
      </c>
      <c r="L212" s="21" t="str">
        <f aca="false">IF(Variants!$H213="","",Variants!$H213)</f>
        <v>red</v>
      </c>
      <c r="M212" s="21" t="str">
        <f aca="false">IF(Variants!$G213="","",Variants!$G213)</f>
        <v/>
      </c>
    </row>
    <row r="213" customFormat="false" ht="15.75" hidden="false" customHeight="true" outlineLevel="0" collapsed="false">
      <c r="A213" s="21" t="str">
        <f aca="false">IF(Variants!$B214="","",Variants!$C214&amp;" — "&amp;Variants!$E214&amp;IF(Variants!$F214=""," "," "&amp;Variants!$F214)&amp;" — "&amp;Variants!$H214)</f>
        <v>Bird Letter Bracelet — Alphabet Ց — turquoise</v>
      </c>
      <c r="B213" s="21" t="str">
        <f aca="false">IFERROR(IF(Variants!$B214="","",VLOOKUP(Variants!$B214,Designs!$A$3:$AP$165,9,FALSE())&amp;" Handmade in Armenia."),"")</f>
        <v>Bird letters are an ornamental medieval Armenian script where each letter is formed from stylised birds, used in illuminated manuscripts. Handmade in Armenia.</v>
      </c>
      <c r="C213" s="18" t="n">
        <f aca="false">IF(Variants!$J214="","",Variants!$J214)</f>
        <v>49.4</v>
      </c>
      <c r="D213" s="21" t="n">
        <f aca="false">IF(Variants!$O214="","",Variants!$O214)</f>
        <v>0</v>
      </c>
      <c r="E213" s="21" t="str">
        <f aca="false">Variants!$A214</f>
        <v>KARNI-BRAC-ALPHA-TSO-TURQUOISE</v>
      </c>
      <c r="F213" s="21" t="str">
        <f aca="false">IF(Variants!$E214="","",Variants!$E214&amp;", Armenian, handmade, enamel, "&amp;Variants!$D214)</f>
        <v>Alphabet, Armenian, handmade, enamel, Bracelet</v>
      </c>
      <c r="G213" s="21" t="str">
        <f aca="false">IFERROR(VLOOKUP(Variants!$B214,Designs!$A$3:$AP$165,12,FALSE())&amp;", enamel","")</f>
        <v>925 Silver Gold-Plated, enamel</v>
      </c>
      <c r="H213" s="21" t="str">
        <f aca="false">IF(Variants!$B214="","","I did")</f>
        <v>I did</v>
      </c>
      <c r="I213" s="21" t="str">
        <f aca="false">IF(Variants!$B214="","","Made to order")</f>
        <v>Made to order</v>
      </c>
      <c r="J213" s="21" t="str">
        <f aca="false">IF(Variants!$D214="","",Variants!$D214)</f>
        <v>Bracelet</v>
      </c>
      <c r="K213" s="21" t="str">
        <f aca="false">IF(Variants!$Y214="","",Variants!$Y214)</f>
        <v/>
      </c>
      <c r="L213" s="21" t="str">
        <f aca="false">IF(Variants!$H214="","",Variants!$H214)</f>
        <v>turquoise</v>
      </c>
      <c r="M213" s="21" t="str">
        <f aca="false">IF(Variants!$G214="","",Variants!$G214)</f>
        <v/>
      </c>
    </row>
    <row r="214" customFormat="false" ht="15.75" hidden="false" customHeight="true" outlineLevel="0" collapsed="false">
      <c r="A214" s="21" t="str">
        <f aca="false">IF(Variants!$B215="","",Variants!$C215&amp;" — "&amp;Variants!$E215&amp;IF(Variants!$F215=""," "," "&amp;Variants!$F215)&amp;" — "&amp;Variants!$H215)</f>
        <v>Bird Letter Bracelet — Alphabet Ց — white</v>
      </c>
      <c r="B214" s="21" t="str">
        <f aca="false">IFERROR(IF(Variants!$B215="","",VLOOKUP(Variants!$B215,Designs!$A$3:$AP$165,9,FALSE())&amp;" Handmade in Armenia."),"")</f>
        <v>Bird letters are an ornamental medieval Armenian script where each letter is formed from stylised birds, used in illuminated manuscripts. Handmade in Armenia.</v>
      </c>
      <c r="C214" s="18" t="n">
        <f aca="false">IF(Variants!$J215="","",Variants!$J215)</f>
        <v>49.4</v>
      </c>
      <c r="D214" s="21" t="n">
        <f aca="false">IF(Variants!$O215="","",Variants!$O215)</f>
        <v>0</v>
      </c>
      <c r="E214" s="21" t="str">
        <f aca="false">Variants!$A215</f>
        <v>KARNI-BRAC-ALPHA-TSO-WHITE</v>
      </c>
      <c r="F214" s="21" t="str">
        <f aca="false">IF(Variants!$E215="","",Variants!$E215&amp;", Armenian, handmade, enamel, "&amp;Variants!$D215)</f>
        <v>Alphabet, Armenian, handmade, enamel, Bracelet</v>
      </c>
      <c r="G214" s="21" t="str">
        <f aca="false">IFERROR(VLOOKUP(Variants!$B215,Designs!$A$3:$AP$165,12,FALSE())&amp;", enamel","")</f>
        <v>925 Silver Gold-Plated, enamel</v>
      </c>
      <c r="H214" s="21" t="str">
        <f aca="false">IF(Variants!$B215="","","I did")</f>
        <v>I did</v>
      </c>
      <c r="I214" s="21" t="str">
        <f aca="false">IF(Variants!$B215="","","Made to order")</f>
        <v>Made to order</v>
      </c>
      <c r="J214" s="21" t="str">
        <f aca="false">IF(Variants!$D215="","",Variants!$D215)</f>
        <v>Bracelet</v>
      </c>
      <c r="K214" s="21" t="str">
        <f aca="false">IF(Variants!$Y215="","",Variants!$Y215)</f>
        <v/>
      </c>
      <c r="L214" s="21" t="str">
        <f aca="false">IF(Variants!$H215="","",Variants!$H215)</f>
        <v>white</v>
      </c>
      <c r="M214" s="21" t="str">
        <f aca="false">IF(Variants!$G215="","",Variants!$G215)</f>
        <v/>
      </c>
    </row>
    <row r="215" customFormat="false" ht="15.75" hidden="false" customHeight="true" outlineLevel="0" collapsed="false">
      <c r="A215" s="21" t="str">
        <f aca="false">IF(Variants!$B216="","",Variants!$C216&amp;" — "&amp;Variants!$E216&amp;IF(Variants!$F216=""," "," "&amp;Variants!$F216)&amp;" — "&amp;Variants!$H216)</f>
        <v>Bird Letter Bracelet — Alphabet Ւ — red</v>
      </c>
      <c r="B215" s="21" t="str">
        <f aca="false">IFERROR(IF(Variants!$B216="","",VLOOKUP(Variants!$B216,Designs!$A$3:$AP$165,9,FALSE())&amp;" Handmade in Armenia."),"")</f>
        <v>Bird letters are an ornamental medieval Armenian script where each letter is formed from stylised birds, used in illuminated manuscripts. Handmade in Armenia.</v>
      </c>
      <c r="C215" s="18" t="n">
        <f aca="false">IF(Variants!$J216="","",Variants!$J216)</f>
        <v>49.4</v>
      </c>
      <c r="D215" s="21" t="n">
        <f aca="false">IF(Variants!$O216="","",Variants!$O216)</f>
        <v>0</v>
      </c>
      <c r="E215" s="21" t="str">
        <f aca="false">Variants!$A216</f>
        <v>KARNI-BRAC-ALPHA-VYUN-RED</v>
      </c>
      <c r="F215" s="21" t="str">
        <f aca="false">IF(Variants!$E216="","",Variants!$E216&amp;", Armenian, handmade, enamel, "&amp;Variants!$D216)</f>
        <v>Alphabet, Armenian, handmade, enamel, Bracelet</v>
      </c>
      <c r="G215" s="21" t="str">
        <f aca="false">IFERROR(VLOOKUP(Variants!$B216,Designs!$A$3:$AP$165,12,FALSE())&amp;", enamel","")</f>
        <v>925 Silver Gold-Plated, enamel</v>
      </c>
      <c r="H215" s="21" t="str">
        <f aca="false">IF(Variants!$B216="","","I did")</f>
        <v>I did</v>
      </c>
      <c r="I215" s="21" t="str">
        <f aca="false">IF(Variants!$B216="","","Made to order")</f>
        <v>Made to order</v>
      </c>
      <c r="J215" s="21" t="str">
        <f aca="false">IF(Variants!$D216="","",Variants!$D216)</f>
        <v>Bracelet</v>
      </c>
      <c r="K215" s="21" t="str">
        <f aca="false">IF(Variants!$Y216="","",Variants!$Y216)</f>
        <v/>
      </c>
      <c r="L215" s="21" t="str">
        <f aca="false">IF(Variants!$H216="","",Variants!$H216)</f>
        <v>red</v>
      </c>
      <c r="M215" s="21" t="str">
        <f aca="false">IF(Variants!$G216="","",Variants!$G216)</f>
        <v/>
      </c>
    </row>
    <row r="216" customFormat="false" ht="15.75" hidden="false" customHeight="true" outlineLevel="0" collapsed="false">
      <c r="A216" s="21" t="str">
        <f aca="false">IF(Variants!$B217="","",Variants!$C217&amp;" — "&amp;Variants!$E217&amp;IF(Variants!$F217=""," "," "&amp;Variants!$F217)&amp;" — "&amp;Variants!$H217)</f>
        <v>Bird Letter Bracelet — Alphabet Ւ — turquoise</v>
      </c>
      <c r="B216" s="21" t="str">
        <f aca="false">IFERROR(IF(Variants!$B217="","",VLOOKUP(Variants!$B217,Designs!$A$3:$AP$165,9,FALSE())&amp;" Handmade in Armenia."),"")</f>
        <v>Bird letters are an ornamental medieval Armenian script where each letter is formed from stylised birds, used in illuminated manuscripts. Handmade in Armenia.</v>
      </c>
      <c r="C216" s="18" t="n">
        <f aca="false">IF(Variants!$J217="","",Variants!$J217)</f>
        <v>49.4</v>
      </c>
      <c r="D216" s="21" t="n">
        <f aca="false">IF(Variants!$O217="","",Variants!$O217)</f>
        <v>0</v>
      </c>
      <c r="E216" s="21" t="str">
        <f aca="false">Variants!$A217</f>
        <v>KARNI-BRAC-ALPHA-VYUN-TURQUOISE</v>
      </c>
      <c r="F216" s="21" t="str">
        <f aca="false">IF(Variants!$E217="","",Variants!$E217&amp;", Armenian, handmade, enamel, "&amp;Variants!$D217)</f>
        <v>Alphabet, Armenian, handmade, enamel, Bracelet</v>
      </c>
      <c r="G216" s="21" t="str">
        <f aca="false">IFERROR(VLOOKUP(Variants!$B217,Designs!$A$3:$AP$165,12,FALSE())&amp;", enamel","")</f>
        <v>925 Silver Gold-Plated, enamel</v>
      </c>
      <c r="H216" s="21" t="str">
        <f aca="false">IF(Variants!$B217="","","I did")</f>
        <v>I did</v>
      </c>
      <c r="I216" s="21" t="str">
        <f aca="false">IF(Variants!$B217="","","Made to order")</f>
        <v>Made to order</v>
      </c>
      <c r="J216" s="21" t="str">
        <f aca="false">IF(Variants!$D217="","",Variants!$D217)</f>
        <v>Bracelet</v>
      </c>
      <c r="K216" s="21" t="str">
        <f aca="false">IF(Variants!$Y217="","",Variants!$Y217)</f>
        <v/>
      </c>
      <c r="L216" s="21" t="str">
        <f aca="false">IF(Variants!$H217="","",Variants!$H217)</f>
        <v>turquoise</v>
      </c>
      <c r="M216" s="21" t="str">
        <f aca="false">IF(Variants!$G217="","",Variants!$G217)</f>
        <v/>
      </c>
    </row>
    <row r="217" customFormat="false" ht="15.75" hidden="false" customHeight="true" outlineLevel="0" collapsed="false">
      <c r="A217" s="21" t="str">
        <f aca="false">IF(Variants!$B218="","",Variants!$C218&amp;" — "&amp;Variants!$E218&amp;IF(Variants!$F218=""," "," "&amp;Variants!$F218)&amp;" — "&amp;Variants!$H218)</f>
        <v>Bird Letter Bracelet — Alphabet Ւ — white</v>
      </c>
      <c r="B217" s="21" t="str">
        <f aca="false">IFERROR(IF(Variants!$B218="","",VLOOKUP(Variants!$B218,Designs!$A$3:$AP$165,9,FALSE())&amp;" Handmade in Armenia."),"")</f>
        <v>Bird letters are an ornamental medieval Armenian script where each letter is formed from stylised birds, used in illuminated manuscripts. Handmade in Armenia.</v>
      </c>
      <c r="C217" s="18" t="n">
        <f aca="false">IF(Variants!$J218="","",Variants!$J218)</f>
        <v>49.4</v>
      </c>
      <c r="D217" s="21" t="n">
        <f aca="false">IF(Variants!$O218="","",Variants!$O218)</f>
        <v>0</v>
      </c>
      <c r="E217" s="21" t="str">
        <f aca="false">Variants!$A218</f>
        <v>KARNI-BRAC-ALPHA-VYUN-WHITE</v>
      </c>
      <c r="F217" s="21" t="str">
        <f aca="false">IF(Variants!$E218="","",Variants!$E218&amp;", Armenian, handmade, enamel, "&amp;Variants!$D218)</f>
        <v>Alphabet, Armenian, handmade, enamel, Bracelet</v>
      </c>
      <c r="G217" s="21" t="str">
        <f aca="false">IFERROR(VLOOKUP(Variants!$B218,Designs!$A$3:$AP$165,12,FALSE())&amp;", enamel","")</f>
        <v>925 Silver Gold-Plated, enamel</v>
      </c>
      <c r="H217" s="21" t="str">
        <f aca="false">IF(Variants!$B218="","","I did")</f>
        <v>I did</v>
      </c>
      <c r="I217" s="21" t="str">
        <f aca="false">IF(Variants!$B218="","","Made to order")</f>
        <v>Made to order</v>
      </c>
      <c r="J217" s="21" t="str">
        <f aca="false">IF(Variants!$D218="","",Variants!$D218)</f>
        <v>Bracelet</v>
      </c>
      <c r="K217" s="21" t="str">
        <f aca="false">IF(Variants!$Y218="","",Variants!$Y218)</f>
        <v/>
      </c>
      <c r="L217" s="21" t="str">
        <f aca="false">IF(Variants!$H218="","",Variants!$H218)</f>
        <v>white</v>
      </c>
      <c r="M217" s="21" t="str">
        <f aca="false">IF(Variants!$G218="","",Variants!$G218)</f>
        <v/>
      </c>
    </row>
    <row r="218" customFormat="false" ht="15.75" hidden="false" customHeight="true" outlineLevel="0" collapsed="false">
      <c r="A218" s="21" t="str">
        <f aca="false">IF(Variants!$B219="","",Variants!$C219&amp;" — "&amp;Variants!$E219&amp;IF(Variants!$F219=""," "," "&amp;Variants!$F219)&amp;" — "&amp;Variants!$H219)</f>
        <v>Bird Letter Bracelet — Alphabet Փ — red</v>
      </c>
      <c r="B218" s="21" t="str">
        <f aca="false">IFERROR(IF(Variants!$B219="","",VLOOKUP(Variants!$B219,Designs!$A$3:$AP$165,9,FALSE())&amp;" Handmade in Armenia."),"")</f>
        <v>Bird letters are an ornamental medieval Armenian script where each letter is formed from stylised birds, used in illuminated manuscripts. Handmade in Armenia.</v>
      </c>
      <c r="C218" s="18" t="n">
        <f aca="false">IF(Variants!$J219="","",Variants!$J219)</f>
        <v>49.4</v>
      </c>
      <c r="D218" s="21" t="n">
        <f aca="false">IF(Variants!$O219="","",Variants!$O219)</f>
        <v>0</v>
      </c>
      <c r="E218" s="21" t="str">
        <f aca="false">Variants!$A219</f>
        <v>KARNI-BRAC-ALPHA-PYUR-RED</v>
      </c>
      <c r="F218" s="21" t="str">
        <f aca="false">IF(Variants!$E219="","",Variants!$E219&amp;", Armenian, handmade, enamel, "&amp;Variants!$D219)</f>
        <v>Alphabet, Armenian, handmade, enamel, Bracelet</v>
      </c>
      <c r="G218" s="21" t="str">
        <f aca="false">IFERROR(VLOOKUP(Variants!$B219,Designs!$A$3:$AP$165,12,FALSE())&amp;", enamel","")</f>
        <v>925 Silver Gold-Plated, enamel</v>
      </c>
      <c r="H218" s="21" t="str">
        <f aca="false">IF(Variants!$B219="","","I did")</f>
        <v>I did</v>
      </c>
      <c r="I218" s="21" t="str">
        <f aca="false">IF(Variants!$B219="","","Made to order")</f>
        <v>Made to order</v>
      </c>
      <c r="J218" s="21" t="str">
        <f aca="false">IF(Variants!$D219="","",Variants!$D219)</f>
        <v>Bracelet</v>
      </c>
      <c r="K218" s="21" t="str">
        <f aca="false">IF(Variants!$Y219="","",Variants!$Y219)</f>
        <v/>
      </c>
      <c r="L218" s="21" t="str">
        <f aca="false">IF(Variants!$H219="","",Variants!$H219)</f>
        <v>red</v>
      </c>
      <c r="M218" s="21" t="str">
        <f aca="false">IF(Variants!$G219="","",Variants!$G219)</f>
        <v/>
      </c>
    </row>
    <row r="219" customFormat="false" ht="15.75" hidden="false" customHeight="true" outlineLevel="0" collapsed="false">
      <c r="A219" s="21" t="str">
        <f aca="false">IF(Variants!$B220="","",Variants!$C220&amp;" — "&amp;Variants!$E220&amp;IF(Variants!$F220=""," "," "&amp;Variants!$F220)&amp;" — "&amp;Variants!$H220)</f>
        <v>Bird Letter Bracelet — Alphabet Փ — turquoise</v>
      </c>
      <c r="B219" s="21" t="str">
        <f aca="false">IFERROR(IF(Variants!$B220="","",VLOOKUP(Variants!$B220,Designs!$A$3:$AP$165,9,FALSE())&amp;" Handmade in Armenia."),"")</f>
        <v>Bird letters are an ornamental medieval Armenian script where each letter is formed from stylised birds, used in illuminated manuscripts. Handmade in Armenia.</v>
      </c>
      <c r="C219" s="18" t="n">
        <f aca="false">IF(Variants!$J220="","",Variants!$J220)</f>
        <v>49.4</v>
      </c>
      <c r="D219" s="21" t="n">
        <f aca="false">IF(Variants!$O220="","",Variants!$O220)</f>
        <v>0</v>
      </c>
      <c r="E219" s="21" t="str">
        <f aca="false">Variants!$A220</f>
        <v>KARNI-BRAC-ALPHA-PYUR-TURQUOISE</v>
      </c>
      <c r="F219" s="21" t="str">
        <f aca="false">IF(Variants!$E220="","",Variants!$E220&amp;", Armenian, handmade, enamel, "&amp;Variants!$D220)</f>
        <v>Alphabet, Armenian, handmade, enamel, Bracelet</v>
      </c>
      <c r="G219" s="21" t="str">
        <f aca="false">IFERROR(VLOOKUP(Variants!$B220,Designs!$A$3:$AP$165,12,FALSE())&amp;", enamel","")</f>
        <v>925 Silver Gold-Plated, enamel</v>
      </c>
      <c r="H219" s="21" t="str">
        <f aca="false">IF(Variants!$B220="","","I did")</f>
        <v>I did</v>
      </c>
      <c r="I219" s="21" t="str">
        <f aca="false">IF(Variants!$B220="","","Made to order")</f>
        <v>Made to order</v>
      </c>
      <c r="J219" s="21" t="str">
        <f aca="false">IF(Variants!$D220="","",Variants!$D220)</f>
        <v>Bracelet</v>
      </c>
      <c r="K219" s="21" t="str">
        <f aca="false">IF(Variants!$Y220="","",Variants!$Y220)</f>
        <v/>
      </c>
      <c r="L219" s="21" t="str">
        <f aca="false">IF(Variants!$H220="","",Variants!$H220)</f>
        <v>turquoise</v>
      </c>
      <c r="M219" s="21" t="str">
        <f aca="false">IF(Variants!$G220="","",Variants!$G220)</f>
        <v/>
      </c>
    </row>
    <row r="220" customFormat="false" ht="15.75" hidden="false" customHeight="true" outlineLevel="0" collapsed="false">
      <c r="A220" s="21" t="str">
        <f aca="false">IF(Variants!$B221="","",Variants!$C221&amp;" — "&amp;Variants!$E221&amp;IF(Variants!$F221=""," "," "&amp;Variants!$F221)&amp;" — "&amp;Variants!$H221)</f>
        <v>Bird Letter Bracelet — Alphabet Փ — white</v>
      </c>
      <c r="B220" s="21" t="str">
        <f aca="false">IFERROR(IF(Variants!$B221="","",VLOOKUP(Variants!$B221,Designs!$A$3:$AP$165,9,FALSE())&amp;" Handmade in Armenia."),"")</f>
        <v>Bird letters are an ornamental medieval Armenian script where each letter is formed from stylised birds, used in illuminated manuscripts. Handmade in Armenia.</v>
      </c>
      <c r="C220" s="18" t="n">
        <f aca="false">IF(Variants!$J221="","",Variants!$J221)</f>
        <v>49.4</v>
      </c>
      <c r="D220" s="21" t="n">
        <f aca="false">IF(Variants!$O221="","",Variants!$O221)</f>
        <v>0</v>
      </c>
      <c r="E220" s="21" t="str">
        <f aca="false">Variants!$A221</f>
        <v>KARNI-BRAC-ALPHA-PYUR-WHITE</v>
      </c>
      <c r="F220" s="21" t="str">
        <f aca="false">IF(Variants!$E221="","",Variants!$E221&amp;", Armenian, handmade, enamel, "&amp;Variants!$D221)</f>
        <v>Alphabet, Armenian, handmade, enamel, Bracelet</v>
      </c>
      <c r="G220" s="21" t="str">
        <f aca="false">IFERROR(VLOOKUP(Variants!$B221,Designs!$A$3:$AP$165,12,FALSE())&amp;", enamel","")</f>
        <v>925 Silver Gold-Plated, enamel</v>
      </c>
      <c r="H220" s="21" t="str">
        <f aca="false">IF(Variants!$B221="","","I did")</f>
        <v>I did</v>
      </c>
      <c r="I220" s="21" t="str">
        <f aca="false">IF(Variants!$B221="","","Made to order")</f>
        <v>Made to order</v>
      </c>
      <c r="J220" s="21" t="str">
        <f aca="false">IF(Variants!$D221="","",Variants!$D221)</f>
        <v>Bracelet</v>
      </c>
      <c r="K220" s="21" t="str">
        <f aca="false">IF(Variants!$Y221="","",Variants!$Y221)</f>
        <v/>
      </c>
      <c r="L220" s="21" t="str">
        <f aca="false">IF(Variants!$H221="","",Variants!$H221)</f>
        <v>white</v>
      </c>
      <c r="M220" s="21" t="str">
        <f aca="false">IF(Variants!$G221="","",Variants!$G221)</f>
        <v/>
      </c>
    </row>
    <row r="221" customFormat="false" ht="15.75" hidden="false" customHeight="true" outlineLevel="0" collapsed="false">
      <c r="A221" s="21" t="str">
        <f aca="false">IF(Variants!$B222="","",Variants!$C222&amp;" — "&amp;Variants!$E222&amp;IF(Variants!$F222=""," "," "&amp;Variants!$F222)&amp;" — "&amp;Variants!$H222)</f>
        <v>Bird Letter Bracelet — Alphabet Ք — red</v>
      </c>
      <c r="B221" s="21" t="str">
        <f aca="false">IFERROR(IF(Variants!$B222="","",VLOOKUP(Variants!$B222,Designs!$A$3:$AP$165,9,FALSE())&amp;" Handmade in Armenia."),"")</f>
        <v>Bird letters are an ornamental medieval Armenian script where each letter is formed from stylised birds, used in illuminated manuscripts. Handmade in Armenia.</v>
      </c>
      <c r="C221" s="18" t="n">
        <f aca="false">IF(Variants!$J222="","",Variants!$J222)</f>
        <v>49.4</v>
      </c>
      <c r="D221" s="21" t="n">
        <f aca="false">IF(Variants!$O222="","",Variants!$O222)</f>
        <v>0</v>
      </c>
      <c r="E221" s="21" t="str">
        <f aca="false">Variants!$A222</f>
        <v>KARNI-BRAC-ALPHA-QEH-RED</v>
      </c>
      <c r="F221" s="21" t="str">
        <f aca="false">IF(Variants!$E222="","",Variants!$E222&amp;", Armenian, handmade, enamel, "&amp;Variants!$D222)</f>
        <v>Alphabet, Armenian, handmade, enamel, Bracelet</v>
      </c>
      <c r="G221" s="21" t="str">
        <f aca="false">IFERROR(VLOOKUP(Variants!$B222,Designs!$A$3:$AP$165,12,FALSE())&amp;", enamel","")</f>
        <v>925 Silver Gold-Plated, enamel</v>
      </c>
      <c r="H221" s="21" t="str">
        <f aca="false">IF(Variants!$B222="","","I did")</f>
        <v>I did</v>
      </c>
      <c r="I221" s="21" t="str">
        <f aca="false">IF(Variants!$B222="","","Made to order")</f>
        <v>Made to order</v>
      </c>
      <c r="J221" s="21" t="str">
        <f aca="false">IF(Variants!$D222="","",Variants!$D222)</f>
        <v>Bracelet</v>
      </c>
      <c r="K221" s="21" t="str">
        <f aca="false">IF(Variants!$Y222="","",Variants!$Y222)</f>
        <v/>
      </c>
      <c r="L221" s="21" t="str">
        <f aca="false">IF(Variants!$H222="","",Variants!$H222)</f>
        <v>red</v>
      </c>
      <c r="M221" s="21" t="str">
        <f aca="false">IF(Variants!$G222="","",Variants!$G222)</f>
        <v/>
      </c>
    </row>
    <row r="222" customFormat="false" ht="15.75" hidden="false" customHeight="true" outlineLevel="0" collapsed="false">
      <c r="A222" s="21" t="str">
        <f aca="false">IF(Variants!$B223="","",Variants!$C223&amp;" — "&amp;Variants!$E223&amp;IF(Variants!$F223=""," "," "&amp;Variants!$F223)&amp;" — "&amp;Variants!$H223)</f>
        <v>Bird Letter Bracelet — Alphabet Ք — turquoise</v>
      </c>
      <c r="B222" s="21" t="str">
        <f aca="false">IFERROR(IF(Variants!$B223="","",VLOOKUP(Variants!$B223,Designs!$A$3:$AP$165,9,FALSE())&amp;" Handmade in Armenia."),"")</f>
        <v>Bird letters are an ornamental medieval Armenian script where each letter is formed from stylised birds, used in illuminated manuscripts. Handmade in Armenia.</v>
      </c>
      <c r="C222" s="18" t="n">
        <f aca="false">IF(Variants!$J223="","",Variants!$J223)</f>
        <v>49.4</v>
      </c>
      <c r="D222" s="21" t="n">
        <f aca="false">IF(Variants!$O223="","",Variants!$O223)</f>
        <v>0</v>
      </c>
      <c r="E222" s="21" t="str">
        <f aca="false">Variants!$A223</f>
        <v>KARNI-BRAC-ALPHA-QEH-TURQUOISE</v>
      </c>
      <c r="F222" s="21" t="str">
        <f aca="false">IF(Variants!$E223="","",Variants!$E223&amp;", Armenian, handmade, enamel, "&amp;Variants!$D223)</f>
        <v>Alphabet, Armenian, handmade, enamel, Bracelet</v>
      </c>
      <c r="G222" s="21" t="str">
        <f aca="false">IFERROR(VLOOKUP(Variants!$B223,Designs!$A$3:$AP$165,12,FALSE())&amp;", enamel","")</f>
        <v>925 Silver Gold-Plated, enamel</v>
      </c>
      <c r="H222" s="21" t="str">
        <f aca="false">IF(Variants!$B223="","","I did")</f>
        <v>I did</v>
      </c>
      <c r="I222" s="21" t="str">
        <f aca="false">IF(Variants!$B223="","","Made to order")</f>
        <v>Made to order</v>
      </c>
      <c r="J222" s="21" t="str">
        <f aca="false">IF(Variants!$D223="","",Variants!$D223)</f>
        <v>Bracelet</v>
      </c>
      <c r="K222" s="21" t="str">
        <f aca="false">IF(Variants!$Y223="","",Variants!$Y223)</f>
        <v/>
      </c>
      <c r="L222" s="21" t="str">
        <f aca="false">IF(Variants!$H223="","",Variants!$H223)</f>
        <v>turquoise</v>
      </c>
      <c r="M222" s="21" t="str">
        <f aca="false">IF(Variants!$G223="","",Variants!$G223)</f>
        <v/>
      </c>
    </row>
    <row r="223" customFormat="false" ht="15.75" hidden="false" customHeight="true" outlineLevel="0" collapsed="false">
      <c r="A223" s="21" t="str">
        <f aca="false">IF(Variants!$B224="","",Variants!$C224&amp;" — "&amp;Variants!$E224&amp;IF(Variants!$F224=""," "," "&amp;Variants!$F224)&amp;" — "&amp;Variants!$H224)</f>
        <v>Bird Letter Bracelet — Alphabet Ք — white</v>
      </c>
      <c r="B223" s="21" t="str">
        <f aca="false">IFERROR(IF(Variants!$B224="","",VLOOKUP(Variants!$B224,Designs!$A$3:$AP$165,9,FALSE())&amp;" Handmade in Armenia."),"")</f>
        <v>Bird letters are an ornamental medieval Armenian script where each letter is formed from stylised birds, used in illuminated manuscripts. Handmade in Armenia.</v>
      </c>
      <c r="C223" s="18" t="n">
        <f aca="false">IF(Variants!$J224="","",Variants!$J224)</f>
        <v>49.4</v>
      </c>
      <c r="D223" s="21" t="n">
        <f aca="false">IF(Variants!$O224="","",Variants!$O224)</f>
        <v>0</v>
      </c>
      <c r="E223" s="21" t="str">
        <f aca="false">Variants!$A224</f>
        <v>KARNI-BRAC-ALPHA-QEH-WHITE</v>
      </c>
      <c r="F223" s="21" t="str">
        <f aca="false">IF(Variants!$E224="","",Variants!$E224&amp;", Armenian, handmade, enamel, "&amp;Variants!$D224)</f>
        <v>Alphabet, Armenian, handmade, enamel, Bracelet</v>
      </c>
      <c r="G223" s="21" t="str">
        <f aca="false">IFERROR(VLOOKUP(Variants!$B224,Designs!$A$3:$AP$165,12,FALSE())&amp;", enamel","")</f>
        <v>925 Silver Gold-Plated, enamel</v>
      </c>
      <c r="H223" s="21" t="str">
        <f aca="false">IF(Variants!$B224="","","I did")</f>
        <v>I did</v>
      </c>
      <c r="I223" s="21" t="str">
        <f aca="false">IF(Variants!$B224="","","Made to order")</f>
        <v>Made to order</v>
      </c>
      <c r="J223" s="21" t="str">
        <f aca="false">IF(Variants!$D224="","",Variants!$D224)</f>
        <v>Bracelet</v>
      </c>
      <c r="K223" s="21" t="str">
        <f aca="false">IF(Variants!$Y224="","",Variants!$Y224)</f>
        <v/>
      </c>
      <c r="L223" s="21" t="str">
        <f aca="false">IF(Variants!$H224="","",Variants!$H224)</f>
        <v>white</v>
      </c>
      <c r="M223" s="21" t="str">
        <f aca="false">IF(Variants!$G224="","",Variants!$G224)</f>
        <v/>
      </c>
    </row>
    <row r="224" customFormat="false" ht="15.75" hidden="false" customHeight="true" outlineLevel="0" collapsed="false">
      <c r="A224" s="21" t="str">
        <f aca="false">IF(Variants!$B225="","",Variants!$C225&amp;" — "&amp;Variants!$E225&amp;IF(Variants!$F225=""," "," "&amp;Variants!$F225)&amp;" — "&amp;Variants!$H225)</f>
        <v>Bird Letter Bracelet — Alphabet Օ — red</v>
      </c>
      <c r="B224" s="21" t="str">
        <f aca="false">IFERROR(IF(Variants!$B225="","",VLOOKUP(Variants!$B225,Designs!$A$3:$AP$165,9,FALSE())&amp;" Handmade in Armenia."),"")</f>
        <v>Bird letters are an ornamental medieval Armenian script where each letter is formed from stylised birds, used in illuminated manuscripts. Handmade in Armenia.</v>
      </c>
      <c r="C224" s="18" t="n">
        <f aca="false">IF(Variants!$J225="","",Variants!$J225)</f>
        <v>49.4</v>
      </c>
      <c r="D224" s="21" t="n">
        <f aca="false">IF(Variants!$O225="","",Variants!$O225)</f>
        <v>0</v>
      </c>
      <c r="E224" s="21" t="str">
        <f aca="false">Variants!$A225</f>
        <v>KARNI-BRAC-ALPHA-OH-RED</v>
      </c>
      <c r="F224" s="21" t="str">
        <f aca="false">IF(Variants!$E225="","",Variants!$E225&amp;", Armenian, handmade, enamel, "&amp;Variants!$D225)</f>
        <v>Alphabet, Armenian, handmade, enamel, Bracelet</v>
      </c>
      <c r="G224" s="21" t="str">
        <f aca="false">IFERROR(VLOOKUP(Variants!$B225,Designs!$A$3:$AP$165,12,FALSE())&amp;", enamel","")</f>
        <v>925 Silver Gold-Plated, enamel</v>
      </c>
      <c r="H224" s="21" t="str">
        <f aca="false">IF(Variants!$B225="","","I did")</f>
        <v>I did</v>
      </c>
      <c r="I224" s="21" t="str">
        <f aca="false">IF(Variants!$B225="","","Made to order")</f>
        <v>Made to order</v>
      </c>
      <c r="J224" s="21" t="str">
        <f aca="false">IF(Variants!$D225="","",Variants!$D225)</f>
        <v>Bracelet</v>
      </c>
      <c r="K224" s="21" t="str">
        <f aca="false">IF(Variants!$Y225="","",Variants!$Y225)</f>
        <v/>
      </c>
      <c r="L224" s="21" t="str">
        <f aca="false">IF(Variants!$H225="","",Variants!$H225)</f>
        <v>red</v>
      </c>
      <c r="M224" s="21" t="str">
        <f aca="false">IF(Variants!$G225="","",Variants!$G225)</f>
        <v/>
      </c>
    </row>
    <row r="225" customFormat="false" ht="15.75" hidden="false" customHeight="true" outlineLevel="0" collapsed="false">
      <c r="A225" s="21" t="str">
        <f aca="false">IF(Variants!$B226="","",Variants!$C226&amp;" — "&amp;Variants!$E226&amp;IF(Variants!$F226=""," "," "&amp;Variants!$F226)&amp;" — "&amp;Variants!$H226)</f>
        <v>Bird Letter Bracelet — Alphabet Օ — turquoise</v>
      </c>
      <c r="B225" s="21" t="str">
        <f aca="false">IFERROR(IF(Variants!$B226="","",VLOOKUP(Variants!$B226,Designs!$A$3:$AP$165,9,FALSE())&amp;" Handmade in Armenia."),"")</f>
        <v>Bird letters are an ornamental medieval Armenian script where each letter is formed from stylised birds, used in illuminated manuscripts. Handmade in Armenia.</v>
      </c>
      <c r="C225" s="18" t="n">
        <f aca="false">IF(Variants!$J226="","",Variants!$J226)</f>
        <v>49.4</v>
      </c>
      <c r="D225" s="21" t="n">
        <f aca="false">IF(Variants!$O226="","",Variants!$O226)</f>
        <v>0</v>
      </c>
      <c r="E225" s="21" t="str">
        <f aca="false">Variants!$A226</f>
        <v>KARNI-BRAC-ALPHA-OH-TURQUOISE</v>
      </c>
      <c r="F225" s="21" t="str">
        <f aca="false">IF(Variants!$E226="","",Variants!$E226&amp;", Armenian, handmade, enamel, "&amp;Variants!$D226)</f>
        <v>Alphabet, Armenian, handmade, enamel, Bracelet</v>
      </c>
      <c r="G225" s="21" t="str">
        <f aca="false">IFERROR(VLOOKUP(Variants!$B226,Designs!$A$3:$AP$165,12,FALSE())&amp;", enamel","")</f>
        <v>925 Silver Gold-Plated, enamel</v>
      </c>
      <c r="H225" s="21" t="str">
        <f aca="false">IF(Variants!$B226="","","I did")</f>
        <v>I did</v>
      </c>
      <c r="I225" s="21" t="str">
        <f aca="false">IF(Variants!$B226="","","Made to order")</f>
        <v>Made to order</v>
      </c>
      <c r="J225" s="21" t="str">
        <f aca="false">IF(Variants!$D226="","",Variants!$D226)</f>
        <v>Bracelet</v>
      </c>
      <c r="K225" s="21" t="str">
        <f aca="false">IF(Variants!$Y226="","",Variants!$Y226)</f>
        <v/>
      </c>
      <c r="L225" s="21" t="str">
        <f aca="false">IF(Variants!$H226="","",Variants!$H226)</f>
        <v>turquoise</v>
      </c>
      <c r="M225" s="21" t="str">
        <f aca="false">IF(Variants!$G226="","",Variants!$G226)</f>
        <v/>
      </c>
    </row>
    <row r="226" customFormat="false" ht="15.75" hidden="false" customHeight="true" outlineLevel="0" collapsed="false">
      <c r="A226" s="21" t="str">
        <f aca="false">IF(Variants!$B227="","",Variants!$C227&amp;" — "&amp;Variants!$E227&amp;IF(Variants!$F227=""," "," "&amp;Variants!$F227)&amp;" — "&amp;Variants!$H227)</f>
        <v>Bird Letter Bracelet — Alphabet Օ — white</v>
      </c>
      <c r="B226" s="21" t="str">
        <f aca="false">IFERROR(IF(Variants!$B227="","",VLOOKUP(Variants!$B227,Designs!$A$3:$AP$165,9,FALSE())&amp;" Handmade in Armenia."),"")</f>
        <v>Bird letters are an ornamental medieval Armenian script where each letter is formed from stylised birds, used in illuminated manuscripts. Handmade in Armenia.</v>
      </c>
      <c r="C226" s="18" t="n">
        <f aca="false">IF(Variants!$J227="","",Variants!$J227)</f>
        <v>49.4</v>
      </c>
      <c r="D226" s="21" t="n">
        <f aca="false">IF(Variants!$O227="","",Variants!$O227)</f>
        <v>0</v>
      </c>
      <c r="E226" s="21" t="str">
        <f aca="false">Variants!$A227</f>
        <v>KARNI-BRAC-ALPHA-OH-WHITE</v>
      </c>
      <c r="F226" s="21" t="str">
        <f aca="false">IF(Variants!$E227="","",Variants!$E227&amp;", Armenian, handmade, enamel, "&amp;Variants!$D227)</f>
        <v>Alphabet, Armenian, handmade, enamel, Bracelet</v>
      </c>
      <c r="G226" s="21" t="str">
        <f aca="false">IFERROR(VLOOKUP(Variants!$B227,Designs!$A$3:$AP$165,12,FALSE())&amp;", enamel","")</f>
        <v>925 Silver Gold-Plated, enamel</v>
      </c>
      <c r="H226" s="21" t="str">
        <f aca="false">IF(Variants!$B227="","","I did")</f>
        <v>I did</v>
      </c>
      <c r="I226" s="21" t="str">
        <f aca="false">IF(Variants!$B227="","","Made to order")</f>
        <v>Made to order</v>
      </c>
      <c r="J226" s="21" t="str">
        <f aca="false">IF(Variants!$D227="","",Variants!$D227)</f>
        <v>Bracelet</v>
      </c>
      <c r="K226" s="21" t="str">
        <f aca="false">IF(Variants!$Y227="","",Variants!$Y227)</f>
        <v/>
      </c>
      <c r="L226" s="21" t="str">
        <f aca="false">IF(Variants!$H227="","",Variants!$H227)</f>
        <v>white</v>
      </c>
      <c r="M226" s="21" t="str">
        <f aca="false">IF(Variants!$G227="","",Variants!$G227)</f>
        <v/>
      </c>
    </row>
    <row r="227" customFormat="false" ht="15.75" hidden="false" customHeight="true" outlineLevel="0" collapsed="false">
      <c r="A227" s="21" t="str">
        <f aca="false">IF(Variants!$B228="","",Variants!$C228&amp;" — "&amp;Variants!$E228&amp;IF(Variants!$F228=""," "," "&amp;Variants!$F228)&amp;" — "&amp;Variants!$H228)</f>
        <v>Bird Letter Bracelet — Alphabet Ֆ — red</v>
      </c>
      <c r="B227" s="21" t="str">
        <f aca="false">IFERROR(IF(Variants!$B228="","",VLOOKUP(Variants!$B228,Designs!$A$3:$AP$165,9,FALSE())&amp;" Handmade in Armenia."),"")</f>
        <v>Bird letters are an ornamental medieval Armenian script where each letter is formed from stylised birds, used in illuminated manuscripts. Handmade in Armenia.</v>
      </c>
      <c r="C227" s="18" t="n">
        <f aca="false">IF(Variants!$J228="","",Variants!$J228)</f>
        <v>49.4</v>
      </c>
      <c r="D227" s="21" t="n">
        <f aca="false">IF(Variants!$O228="","",Variants!$O228)</f>
        <v>0</v>
      </c>
      <c r="E227" s="21" t="str">
        <f aca="false">Variants!$A228</f>
        <v>KARNI-BRAC-ALPHA-FEH-RED</v>
      </c>
      <c r="F227" s="21" t="str">
        <f aca="false">IF(Variants!$E228="","",Variants!$E228&amp;", Armenian, handmade, enamel, "&amp;Variants!$D228)</f>
        <v>Alphabet, Armenian, handmade, enamel, Bracelet</v>
      </c>
      <c r="G227" s="21" t="str">
        <f aca="false">IFERROR(VLOOKUP(Variants!$B228,Designs!$A$3:$AP$165,12,FALSE())&amp;", enamel","")</f>
        <v>925 Silver Gold-Plated, enamel</v>
      </c>
      <c r="H227" s="21" t="str">
        <f aca="false">IF(Variants!$B228="","","I did")</f>
        <v>I did</v>
      </c>
      <c r="I227" s="21" t="str">
        <f aca="false">IF(Variants!$B228="","","Made to order")</f>
        <v>Made to order</v>
      </c>
      <c r="J227" s="21" t="str">
        <f aca="false">IF(Variants!$D228="","",Variants!$D228)</f>
        <v>Bracelet</v>
      </c>
      <c r="K227" s="21" t="str">
        <f aca="false">IF(Variants!$Y228="","",Variants!$Y228)</f>
        <v/>
      </c>
      <c r="L227" s="21" t="str">
        <f aca="false">IF(Variants!$H228="","",Variants!$H228)</f>
        <v>red</v>
      </c>
      <c r="M227" s="21" t="str">
        <f aca="false">IF(Variants!$G228="","",Variants!$G228)</f>
        <v/>
      </c>
    </row>
    <row r="228" customFormat="false" ht="15.75" hidden="false" customHeight="true" outlineLevel="0" collapsed="false">
      <c r="A228" s="21" t="str">
        <f aca="false">IF(Variants!$B229="","",Variants!$C229&amp;" — "&amp;Variants!$E229&amp;IF(Variants!$F229=""," "," "&amp;Variants!$F229)&amp;" — "&amp;Variants!$H229)</f>
        <v>Bird Letter Bracelet — Alphabet Ֆ — turquoise</v>
      </c>
      <c r="B228" s="21" t="str">
        <f aca="false">IFERROR(IF(Variants!$B229="","",VLOOKUP(Variants!$B229,Designs!$A$3:$AP$165,9,FALSE())&amp;" Handmade in Armenia."),"")</f>
        <v>Bird letters are an ornamental medieval Armenian script where each letter is formed from stylised birds, used in illuminated manuscripts. Handmade in Armenia.</v>
      </c>
      <c r="C228" s="18" t="n">
        <f aca="false">IF(Variants!$J229="","",Variants!$J229)</f>
        <v>49.4</v>
      </c>
      <c r="D228" s="21" t="n">
        <f aca="false">IF(Variants!$O229="","",Variants!$O229)</f>
        <v>0</v>
      </c>
      <c r="E228" s="21" t="str">
        <f aca="false">Variants!$A229</f>
        <v>KARNI-BRAC-ALPHA-FEH-TURQUOISE</v>
      </c>
      <c r="F228" s="21" t="str">
        <f aca="false">IF(Variants!$E229="","",Variants!$E229&amp;", Armenian, handmade, enamel, "&amp;Variants!$D229)</f>
        <v>Alphabet, Armenian, handmade, enamel, Bracelet</v>
      </c>
      <c r="G228" s="21" t="str">
        <f aca="false">IFERROR(VLOOKUP(Variants!$B229,Designs!$A$3:$AP$165,12,FALSE())&amp;", enamel","")</f>
        <v>925 Silver Gold-Plated, enamel</v>
      </c>
      <c r="H228" s="21" t="str">
        <f aca="false">IF(Variants!$B229="","","I did")</f>
        <v>I did</v>
      </c>
      <c r="I228" s="21" t="str">
        <f aca="false">IF(Variants!$B229="","","Made to order")</f>
        <v>Made to order</v>
      </c>
      <c r="J228" s="21" t="str">
        <f aca="false">IF(Variants!$D229="","",Variants!$D229)</f>
        <v>Bracelet</v>
      </c>
      <c r="K228" s="21" t="str">
        <f aca="false">IF(Variants!$Y229="","",Variants!$Y229)</f>
        <v/>
      </c>
      <c r="L228" s="21" t="str">
        <f aca="false">IF(Variants!$H229="","",Variants!$H229)</f>
        <v>turquoise</v>
      </c>
      <c r="M228" s="21" t="str">
        <f aca="false">IF(Variants!$G229="","",Variants!$G229)</f>
        <v/>
      </c>
    </row>
    <row r="229" customFormat="false" ht="15.75" hidden="false" customHeight="true" outlineLevel="0" collapsed="false">
      <c r="A229" s="21" t="str">
        <f aca="false">IF(Variants!$B230="","",Variants!$C230&amp;" — "&amp;Variants!$E230&amp;IF(Variants!$F230=""," "," "&amp;Variants!$F230)&amp;" — "&amp;Variants!$H230)</f>
        <v>Bird Letter Bracelet — Alphabet Ֆ — white</v>
      </c>
      <c r="B229" s="21" t="str">
        <f aca="false">IFERROR(IF(Variants!$B230="","",VLOOKUP(Variants!$B230,Designs!$A$3:$AP$165,9,FALSE())&amp;" Handmade in Armenia."),"")</f>
        <v>Bird letters are an ornamental medieval Armenian script where each letter is formed from stylised birds, used in illuminated manuscripts. Handmade in Armenia.</v>
      </c>
      <c r="C229" s="18" t="n">
        <f aca="false">IF(Variants!$J230="","",Variants!$J230)</f>
        <v>49.4</v>
      </c>
      <c r="D229" s="21" t="n">
        <f aca="false">IF(Variants!$O230="","",Variants!$O230)</f>
        <v>0</v>
      </c>
      <c r="E229" s="21" t="str">
        <f aca="false">Variants!$A230</f>
        <v>KARNI-BRAC-ALPHA-FEH-WHITE</v>
      </c>
      <c r="F229" s="21" t="str">
        <f aca="false">IF(Variants!$E230="","",Variants!$E230&amp;", Armenian, handmade, enamel, "&amp;Variants!$D230)</f>
        <v>Alphabet, Armenian, handmade, enamel, Bracelet</v>
      </c>
      <c r="G229" s="21" t="str">
        <f aca="false">IFERROR(VLOOKUP(Variants!$B230,Designs!$A$3:$AP$165,12,FALSE())&amp;", enamel","")</f>
        <v>925 Silver Gold-Plated, enamel</v>
      </c>
      <c r="H229" s="21" t="str">
        <f aca="false">IF(Variants!$B230="","","I did")</f>
        <v>I did</v>
      </c>
      <c r="I229" s="21" t="str">
        <f aca="false">IF(Variants!$B230="","","Made to order")</f>
        <v>Made to order</v>
      </c>
      <c r="J229" s="21" t="str">
        <f aca="false">IF(Variants!$D230="","",Variants!$D230)</f>
        <v>Bracelet</v>
      </c>
      <c r="K229" s="21" t="str">
        <f aca="false">IF(Variants!$Y230="","",Variants!$Y230)</f>
        <v/>
      </c>
      <c r="L229" s="21" t="str">
        <f aca="false">IF(Variants!$H230="","",Variants!$H230)</f>
        <v>white</v>
      </c>
      <c r="M229" s="21" t="str">
        <f aca="false">IF(Variants!$G230="","",Variants!$G230)</f>
        <v/>
      </c>
    </row>
    <row r="230" customFormat="false" ht="15.75" hidden="false" customHeight="true" outlineLevel="0" collapsed="false">
      <c r="A230" s="21" t="str">
        <f aca="false">IF(Variants!$B231="","",Variants!$C231&amp;" — "&amp;Variants!$E231&amp;IF(Variants!$F231=""," "," "&amp;Variants!$F231)&amp;" — "&amp;Variants!$H231)</f>
        <v>Bird Letter Brooch — Alphabet Ա — turquoise</v>
      </c>
      <c r="B230" s="21" t="str">
        <f aca="false">IFERROR(IF(Variants!$B231="","",VLOOKUP(Variants!$B231,Designs!$A$3:$AP$165,9,FALSE())&amp;" Handmade in Armenia."),"")</f>
        <v>Bird letters are an ornamental medieval Armenian script where each letter is formed from stylised birds, used in illuminated manuscripts. Handmade in Armenia.</v>
      </c>
      <c r="C230" s="18" t="n">
        <f aca="false">IF(Variants!$J231="","",Variants!$J231)</f>
        <v>65</v>
      </c>
      <c r="D230" s="21" t="n">
        <f aca="false">IF(Variants!$O231="","",Variants!$O231)</f>
        <v>0</v>
      </c>
      <c r="E230" s="21" t="str">
        <f aca="false">Variants!$A231</f>
        <v>KARNI-BRCH-ALPHA-AYB-TURQUOISE</v>
      </c>
      <c r="F230" s="21" t="str">
        <f aca="false">IF(Variants!$E231="","",Variants!$E231&amp;", Armenian, handmade, enamel, "&amp;Variants!$D231)</f>
        <v>Alphabet, Armenian, handmade, enamel, Brooch</v>
      </c>
      <c r="G230" s="21" t="str">
        <f aca="false">IFERROR(VLOOKUP(Variants!$B231,Designs!$A$3:$AP$165,12,FALSE())&amp;", enamel","")</f>
        <v>925 Silver Gold-Plated, enamel</v>
      </c>
      <c r="H230" s="21" t="str">
        <f aca="false">IF(Variants!$B231="","","I did")</f>
        <v>I did</v>
      </c>
      <c r="I230" s="21" t="str">
        <f aca="false">IF(Variants!$B231="","","Made to order")</f>
        <v>Made to order</v>
      </c>
      <c r="J230" s="21" t="str">
        <f aca="false">IF(Variants!$D231="","",Variants!$D231)</f>
        <v>Brooch</v>
      </c>
      <c r="K230" s="21" t="str">
        <f aca="false">IF(Variants!$Y231="","",Variants!$Y231)</f>
        <v/>
      </c>
      <c r="L230" s="21" t="str">
        <f aca="false">IF(Variants!$H231="","",Variants!$H231)</f>
        <v>turquoise</v>
      </c>
      <c r="M230" s="21" t="str">
        <f aca="false">IF(Variants!$G231="","",Variants!$G231)</f>
        <v/>
      </c>
    </row>
    <row r="231" customFormat="false" ht="15.75" hidden="false" customHeight="true" outlineLevel="0" collapsed="false">
      <c r="A231" s="21" t="str">
        <f aca="false">IF(Variants!$B232="","",Variants!$C232&amp;" — "&amp;Variants!$E232&amp;IF(Variants!$F232=""," "," "&amp;Variants!$F232)&amp;" — "&amp;Variants!$H232)</f>
        <v>Bird Letter Brooch — Alphabet Բ — turquoise</v>
      </c>
      <c r="B231" s="21" t="str">
        <f aca="false">IFERROR(IF(Variants!$B232="","",VLOOKUP(Variants!$B232,Designs!$A$3:$AP$165,9,FALSE())&amp;" Handmade in Armenia."),"")</f>
        <v>Bird letters are an ornamental medieval Armenian script where each letter is formed from stylised birds, used in illuminated manuscripts. Handmade in Armenia.</v>
      </c>
      <c r="C231" s="18" t="n">
        <f aca="false">IF(Variants!$J232="","",Variants!$J232)</f>
        <v>65</v>
      </c>
      <c r="D231" s="21" t="n">
        <f aca="false">IF(Variants!$O232="","",Variants!$O232)</f>
        <v>0</v>
      </c>
      <c r="E231" s="21" t="str">
        <f aca="false">Variants!$A232</f>
        <v>KARNI-BRCH-ALPHA-BEN-TURQUOISE</v>
      </c>
      <c r="F231" s="21" t="str">
        <f aca="false">IF(Variants!$E232="","",Variants!$E232&amp;", Armenian, handmade, enamel, "&amp;Variants!$D232)</f>
        <v>Alphabet, Armenian, handmade, enamel, Brooch</v>
      </c>
      <c r="G231" s="21" t="str">
        <f aca="false">IFERROR(VLOOKUP(Variants!$B232,Designs!$A$3:$AP$165,12,FALSE())&amp;", enamel","")</f>
        <v>925 Silver Gold-Plated, enamel</v>
      </c>
      <c r="H231" s="21" t="str">
        <f aca="false">IF(Variants!$B232="","","I did")</f>
        <v>I did</v>
      </c>
      <c r="I231" s="21" t="str">
        <f aca="false">IF(Variants!$B232="","","Made to order")</f>
        <v>Made to order</v>
      </c>
      <c r="J231" s="21" t="str">
        <f aca="false">IF(Variants!$D232="","",Variants!$D232)</f>
        <v>Brooch</v>
      </c>
      <c r="K231" s="21" t="str">
        <f aca="false">IF(Variants!$Y232="","",Variants!$Y232)</f>
        <v/>
      </c>
      <c r="L231" s="21" t="str">
        <f aca="false">IF(Variants!$H232="","",Variants!$H232)</f>
        <v>turquoise</v>
      </c>
      <c r="M231" s="21" t="str">
        <f aca="false">IF(Variants!$G232="","",Variants!$G232)</f>
        <v/>
      </c>
    </row>
    <row r="232" customFormat="false" ht="15.75" hidden="false" customHeight="true" outlineLevel="0" collapsed="false">
      <c r="A232" s="21" t="str">
        <f aca="false">IF(Variants!$B233="","",Variants!$C233&amp;" — "&amp;Variants!$E233&amp;IF(Variants!$F233=""," "," "&amp;Variants!$F233)&amp;" — "&amp;Variants!$H233)</f>
        <v>Bird Letter Brooch — Alphabet Գ — turquoise</v>
      </c>
      <c r="B232" s="21" t="str">
        <f aca="false">IFERROR(IF(Variants!$B233="","",VLOOKUP(Variants!$B233,Designs!$A$3:$AP$165,9,FALSE())&amp;" Handmade in Armenia."),"")</f>
        <v>Bird letters are an ornamental medieval Armenian script where each letter is formed from stylised birds, used in illuminated manuscripts. Handmade in Armenia.</v>
      </c>
      <c r="C232" s="18" t="n">
        <f aca="false">IF(Variants!$J233="","",Variants!$J233)</f>
        <v>65</v>
      </c>
      <c r="D232" s="21" t="n">
        <f aca="false">IF(Variants!$O233="","",Variants!$O233)</f>
        <v>0</v>
      </c>
      <c r="E232" s="21" t="str">
        <f aca="false">Variants!$A233</f>
        <v>KARNI-BRCH-ALPHA-GIM-TURQUOISE</v>
      </c>
      <c r="F232" s="21" t="str">
        <f aca="false">IF(Variants!$E233="","",Variants!$E233&amp;", Armenian, handmade, enamel, "&amp;Variants!$D233)</f>
        <v>Alphabet, Armenian, handmade, enamel, Brooch</v>
      </c>
      <c r="G232" s="21" t="str">
        <f aca="false">IFERROR(VLOOKUP(Variants!$B233,Designs!$A$3:$AP$165,12,FALSE())&amp;", enamel","")</f>
        <v>925 Silver Gold-Plated, enamel</v>
      </c>
      <c r="H232" s="21" t="str">
        <f aca="false">IF(Variants!$B233="","","I did")</f>
        <v>I did</v>
      </c>
      <c r="I232" s="21" t="str">
        <f aca="false">IF(Variants!$B233="","","Made to order")</f>
        <v>Made to order</v>
      </c>
      <c r="J232" s="21" t="str">
        <f aca="false">IF(Variants!$D233="","",Variants!$D233)</f>
        <v>Brooch</v>
      </c>
      <c r="K232" s="21" t="str">
        <f aca="false">IF(Variants!$Y233="","",Variants!$Y233)</f>
        <v/>
      </c>
      <c r="L232" s="21" t="str">
        <f aca="false">IF(Variants!$H233="","",Variants!$H233)</f>
        <v>turquoise</v>
      </c>
      <c r="M232" s="21" t="str">
        <f aca="false">IF(Variants!$G233="","",Variants!$G233)</f>
        <v/>
      </c>
    </row>
    <row r="233" customFormat="false" ht="15.75" hidden="false" customHeight="true" outlineLevel="0" collapsed="false">
      <c r="A233" s="21" t="str">
        <f aca="false">IF(Variants!$B234="","",Variants!$C234&amp;" — "&amp;Variants!$E234&amp;IF(Variants!$F234=""," "," "&amp;Variants!$F234)&amp;" — "&amp;Variants!$H234)</f>
        <v>Bird Letter Brooch — Alphabet Դ — turquoise</v>
      </c>
      <c r="B233" s="21" t="str">
        <f aca="false">IFERROR(IF(Variants!$B234="","",VLOOKUP(Variants!$B234,Designs!$A$3:$AP$165,9,FALSE())&amp;" Handmade in Armenia."),"")</f>
        <v>Bird letters are an ornamental medieval Armenian script where each letter is formed from stylised birds, used in illuminated manuscripts. Handmade in Armenia.</v>
      </c>
      <c r="C233" s="18" t="n">
        <f aca="false">IF(Variants!$J234="","",Variants!$J234)</f>
        <v>65</v>
      </c>
      <c r="D233" s="21" t="n">
        <f aca="false">IF(Variants!$O234="","",Variants!$O234)</f>
        <v>0</v>
      </c>
      <c r="E233" s="21" t="str">
        <f aca="false">Variants!$A234</f>
        <v>KARNI-BRCH-ALPHA-DA-TURQUOISE</v>
      </c>
      <c r="F233" s="21" t="str">
        <f aca="false">IF(Variants!$E234="","",Variants!$E234&amp;", Armenian, handmade, enamel, "&amp;Variants!$D234)</f>
        <v>Alphabet, Armenian, handmade, enamel, Brooch</v>
      </c>
      <c r="G233" s="21" t="str">
        <f aca="false">IFERROR(VLOOKUP(Variants!$B234,Designs!$A$3:$AP$165,12,FALSE())&amp;", enamel","")</f>
        <v>925 Silver Gold-Plated, enamel</v>
      </c>
      <c r="H233" s="21" t="str">
        <f aca="false">IF(Variants!$B234="","","I did")</f>
        <v>I did</v>
      </c>
      <c r="I233" s="21" t="str">
        <f aca="false">IF(Variants!$B234="","","Made to order")</f>
        <v>Made to order</v>
      </c>
      <c r="J233" s="21" t="str">
        <f aca="false">IF(Variants!$D234="","",Variants!$D234)</f>
        <v>Brooch</v>
      </c>
      <c r="K233" s="21" t="str">
        <f aca="false">IF(Variants!$Y234="","",Variants!$Y234)</f>
        <v/>
      </c>
      <c r="L233" s="21" t="str">
        <f aca="false">IF(Variants!$H234="","",Variants!$H234)</f>
        <v>turquoise</v>
      </c>
      <c r="M233" s="21" t="str">
        <f aca="false">IF(Variants!$G234="","",Variants!$G234)</f>
        <v/>
      </c>
    </row>
    <row r="234" customFormat="false" ht="15.75" hidden="false" customHeight="true" outlineLevel="0" collapsed="false">
      <c r="A234" s="21" t="str">
        <f aca="false">IF(Variants!$B235="","",Variants!$C235&amp;" — "&amp;Variants!$E235&amp;IF(Variants!$F235=""," "," "&amp;Variants!$F235)&amp;" — "&amp;Variants!$H235)</f>
        <v>Bird Letter Brooch — Alphabet Ե — turquoise</v>
      </c>
      <c r="B234" s="21" t="str">
        <f aca="false">IFERROR(IF(Variants!$B235="","",VLOOKUP(Variants!$B235,Designs!$A$3:$AP$165,9,FALSE())&amp;" Handmade in Armenia."),"")</f>
        <v>Bird letters are an ornamental medieval Armenian script where each letter is formed from stylised birds, used in illuminated manuscripts. Handmade in Armenia.</v>
      </c>
      <c r="C234" s="18" t="n">
        <f aca="false">IF(Variants!$J235="","",Variants!$J235)</f>
        <v>65</v>
      </c>
      <c r="D234" s="21" t="n">
        <f aca="false">IF(Variants!$O235="","",Variants!$O235)</f>
        <v>0</v>
      </c>
      <c r="E234" s="21" t="str">
        <f aca="false">Variants!$A235</f>
        <v>KARNI-BRCH-ALPHA-YECH-TURQUOISE</v>
      </c>
      <c r="F234" s="21" t="str">
        <f aca="false">IF(Variants!$E235="","",Variants!$E235&amp;", Armenian, handmade, enamel, "&amp;Variants!$D235)</f>
        <v>Alphabet, Armenian, handmade, enamel, Brooch</v>
      </c>
      <c r="G234" s="21" t="str">
        <f aca="false">IFERROR(VLOOKUP(Variants!$B235,Designs!$A$3:$AP$165,12,FALSE())&amp;", enamel","")</f>
        <v>925 Silver Gold-Plated, enamel</v>
      </c>
      <c r="H234" s="21" t="str">
        <f aca="false">IF(Variants!$B235="","","I did")</f>
        <v>I did</v>
      </c>
      <c r="I234" s="21" t="str">
        <f aca="false">IF(Variants!$B235="","","Made to order")</f>
        <v>Made to order</v>
      </c>
      <c r="J234" s="21" t="str">
        <f aca="false">IF(Variants!$D235="","",Variants!$D235)</f>
        <v>Brooch</v>
      </c>
      <c r="K234" s="21" t="str">
        <f aca="false">IF(Variants!$Y235="","",Variants!$Y235)</f>
        <v/>
      </c>
      <c r="L234" s="21" t="str">
        <f aca="false">IF(Variants!$H235="","",Variants!$H235)</f>
        <v>turquoise</v>
      </c>
      <c r="M234" s="21" t="str">
        <f aca="false">IF(Variants!$G235="","",Variants!$G235)</f>
        <v/>
      </c>
    </row>
    <row r="235" customFormat="false" ht="15.75" hidden="false" customHeight="true" outlineLevel="0" collapsed="false">
      <c r="A235" s="21" t="str">
        <f aca="false">IF(Variants!$B236="","",Variants!$C236&amp;" — "&amp;Variants!$E236&amp;IF(Variants!$F236=""," "," "&amp;Variants!$F236)&amp;" — "&amp;Variants!$H236)</f>
        <v>Bird Letter Brooch — Alphabet Զ — turquoise</v>
      </c>
      <c r="B235" s="21" t="str">
        <f aca="false">IFERROR(IF(Variants!$B236="","",VLOOKUP(Variants!$B236,Designs!$A$3:$AP$165,9,FALSE())&amp;" Handmade in Armenia."),"")</f>
        <v>Bird letters are an ornamental medieval Armenian script where each letter is formed from stylised birds, used in illuminated manuscripts. Handmade in Armenia.</v>
      </c>
      <c r="C235" s="18" t="n">
        <f aca="false">IF(Variants!$J236="","",Variants!$J236)</f>
        <v>65</v>
      </c>
      <c r="D235" s="21" t="n">
        <f aca="false">IF(Variants!$O236="","",Variants!$O236)</f>
        <v>0</v>
      </c>
      <c r="E235" s="21" t="str">
        <f aca="false">Variants!$A236</f>
        <v>KARNI-BRCH-ALPHA-ZA-TURQUOISE</v>
      </c>
      <c r="F235" s="21" t="str">
        <f aca="false">IF(Variants!$E236="","",Variants!$E236&amp;", Armenian, handmade, enamel, "&amp;Variants!$D236)</f>
        <v>Alphabet, Armenian, handmade, enamel, Brooch</v>
      </c>
      <c r="G235" s="21" t="str">
        <f aca="false">IFERROR(VLOOKUP(Variants!$B236,Designs!$A$3:$AP$165,12,FALSE())&amp;", enamel","")</f>
        <v>925 Silver Gold-Plated, enamel</v>
      </c>
      <c r="H235" s="21" t="str">
        <f aca="false">IF(Variants!$B236="","","I did")</f>
        <v>I did</v>
      </c>
      <c r="I235" s="21" t="str">
        <f aca="false">IF(Variants!$B236="","","Made to order")</f>
        <v>Made to order</v>
      </c>
      <c r="J235" s="21" t="str">
        <f aca="false">IF(Variants!$D236="","",Variants!$D236)</f>
        <v>Brooch</v>
      </c>
      <c r="K235" s="21" t="str">
        <f aca="false">IF(Variants!$Y236="","",Variants!$Y236)</f>
        <v/>
      </c>
      <c r="L235" s="21" t="str">
        <f aca="false">IF(Variants!$H236="","",Variants!$H236)</f>
        <v>turquoise</v>
      </c>
      <c r="M235" s="21" t="str">
        <f aca="false">IF(Variants!$G236="","",Variants!$G236)</f>
        <v/>
      </c>
    </row>
    <row r="236" customFormat="false" ht="15.75" hidden="false" customHeight="true" outlineLevel="0" collapsed="false">
      <c r="A236" s="21" t="str">
        <f aca="false">IF(Variants!$B237="","",Variants!$C237&amp;" — "&amp;Variants!$E237&amp;IF(Variants!$F237=""," "," "&amp;Variants!$F237)&amp;" — "&amp;Variants!$H237)</f>
        <v>Bird Letter Brooch — Alphabet Է — turquoise</v>
      </c>
      <c r="B236" s="21" t="str">
        <f aca="false">IFERROR(IF(Variants!$B237="","",VLOOKUP(Variants!$B237,Designs!$A$3:$AP$165,9,FALSE())&amp;" Handmade in Armenia."),"")</f>
        <v>Bird letters are an ornamental medieval Armenian script where each letter is formed from stylised birds, used in illuminated manuscripts. Handmade in Armenia.</v>
      </c>
      <c r="C236" s="18" t="n">
        <f aca="false">IF(Variants!$J237="","",Variants!$J237)</f>
        <v>65</v>
      </c>
      <c r="D236" s="21" t="n">
        <f aca="false">IF(Variants!$O237="","",Variants!$O237)</f>
        <v>0</v>
      </c>
      <c r="E236" s="21" t="str">
        <f aca="false">Variants!$A237</f>
        <v>KARNI-BRCH-ALPHA-E-TURQUOISE</v>
      </c>
      <c r="F236" s="21" t="str">
        <f aca="false">IF(Variants!$E237="","",Variants!$E237&amp;", Armenian, handmade, enamel, "&amp;Variants!$D237)</f>
        <v>Alphabet, Armenian, handmade, enamel, Brooch</v>
      </c>
      <c r="G236" s="21" t="str">
        <f aca="false">IFERROR(VLOOKUP(Variants!$B237,Designs!$A$3:$AP$165,12,FALSE())&amp;", enamel","")</f>
        <v>925 Silver Gold-Plated, enamel</v>
      </c>
      <c r="H236" s="21" t="str">
        <f aca="false">IF(Variants!$B237="","","I did")</f>
        <v>I did</v>
      </c>
      <c r="I236" s="21" t="str">
        <f aca="false">IF(Variants!$B237="","","Made to order")</f>
        <v>Made to order</v>
      </c>
      <c r="J236" s="21" t="str">
        <f aca="false">IF(Variants!$D237="","",Variants!$D237)</f>
        <v>Brooch</v>
      </c>
      <c r="K236" s="21" t="str">
        <f aca="false">IF(Variants!$Y237="","",Variants!$Y237)</f>
        <v/>
      </c>
      <c r="L236" s="21" t="str">
        <f aca="false">IF(Variants!$H237="","",Variants!$H237)</f>
        <v>turquoise</v>
      </c>
      <c r="M236" s="21" t="str">
        <f aca="false">IF(Variants!$G237="","",Variants!$G237)</f>
        <v/>
      </c>
    </row>
    <row r="237" customFormat="false" ht="15.75" hidden="false" customHeight="true" outlineLevel="0" collapsed="false">
      <c r="A237" s="21" t="str">
        <f aca="false">IF(Variants!$B238="","",Variants!$C238&amp;" — "&amp;Variants!$E238&amp;IF(Variants!$F238=""," "," "&amp;Variants!$F238)&amp;" — "&amp;Variants!$H238)</f>
        <v>Bird Letter Brooch — Alphabet Ը — turquoise</v>
      </c>
      <c r="B237" s="21" t="str">
        <f aca="false">IFERROR(IF(Variants!$B238="","",VLOOKUP(Variants!$B238,Designs!$A$3:$AP$165,9,FALSE())&amp;" Handmade in Armenia."),"")</f>
        <v>Bird letters are an ornamental medieval Armenian script where each letter is formed from stylised birds, used in illuminated manuscripts. Handmade in Armenia.</v>
      </c>
      <c r="C237" s="18" t="n">
        <f aca="false">IF(Variants!$J238="","",Variants!$J238)</f>
        <v>65</v>
      </c>
      <c r="D237" s="21" t="n">
        <f aca="false">IF(Variants!$O238="","",Variants!$O238)</f>
        <v>0</v>
      </c>
      <c r="E237" s="21" t="str">
        <f aca="false">Variants!$A238</f>
        <v>KARNI-BRCH-ALPHA-YT-TURQUOISE</v>
      </c>
      <c r="F237" s="21" t="str">
        <f aca="false">IF(Variants!$E238="","",Variants!$E238&amp;", Armenian, handmade, enamel, "&amp;Variants!$D238)</f>
        <v>Alphabet, Armenian, handmade, enamel, Brooch</v>
      </c>
      <c r="G237" s="21" t="str">
        <f aca="false">IFERROR(VLOOKUP(Variants!$B238,Designs!$A$3:$AP$165,12,FALSE())&amp;", enamel","")</f>
        <v>925 Silver Gold-Plated, enamel</v>
      </c>
      <c r="H237" s="21" t="str">
        <f aca="false">IF(Variants!$B238="","","I did")</f>
        <v>I did</v>
      </c>
      <c r="I237" s="21" t="str">
        <f aca="false">IF(Variants!$B238="","","Made to order")</f>
        <v>Made to order</v>
      </c>
      <c r="J237" s="21" t="str">
        <f aca="false">IF(Variants!$D238="","",Variants!$D238)</f>
        <v>Brooch</v>
      </c>
      <c r="K237" s="21" t="str">
        <f aca="false">IF(Variants!$Y238="","",Variants!$Y238)</f>
        <v/>
      </c>
      <c r="L237" s="21" t="str">
        <f aca="false">IF(Variants!$H238="","",Variants!$H238)</f>
        <v>turquoise</v>
      </c>
      <c r="M237" s="21" t="str">
        <f aca="false">IF(Variants!$G238="","",Variants!$G238)</f>
        <v/>
      </c>
    </row>
    <row r="238" customFormat="false" ht="15.75" hidden="false" customHeight="true" outlineLevel="0" collapsed="false">
      <c r="A238" s="21" t="str">
        <f aca="false">IF(Variants!$B239="","",Variants!$C239&amp;" — "&amp;Variants!$E239&amp;IF(Variants!$F239=""," "," "&amp;Variants!$F239)&amp;" — "&amp;Variants!$H239)</f>
        <v>Bird Letter Brooch — Alphabet Թ — turquoise</v>
      </c>
      <c r="B238" s="21" t="str">
        <f aca="false">IFERROR(IF(Variants!$B239="","",VLOOKUP(Variants!$B239,Designs!$A$3:$AP$165,9,FALSE())&amp;" Handmade in Armenia."),"")</f>
        <v>Bird letters are an ornamental medieval Armenian script where each letter is formed from stylised birds, used in illuminated manuscripts. Handmade in Armenia.</v>
      </c>
      <c r="C238" s="18" t="n">
        <f aca="false">IF(Variants!$J239="","",Variants!$J239)</f>
        <v>65</v>
      </c>
      <c r="D238" s="21" t="n">
        <f aca="false">IF(Variants!$O239="","",Variants!$O239)</f>
        <v>0</v>
      </c>
      <c r="E238" s="21" t="str">
        <f aca="false">Variants!$A239</f>
        <v>KARNI-BRCH-ALPHA-TO-TURQUOISE</v>
      </c>
      <c r="F238" s="21" t="str">
        <f aca="false">IF(Variants!$E239="","",Variants!$E239&amp;", Armenian, handmade, enamel, "&amp;Variants!$D239)</f>
        <v>Alphabet, Armenian, handmade, enamel, Brooch</v>
      </c>
      <c r="G238" s="21" t="str">
        <f aca="false">IFERROR(VLOOKUP(Variants!$B239,Designs!$A$3:$AP$165,12,FALSE())&amp;", enamel","")</f>
        <v>925 Silver Gold-Plated, enamel</v>
      </c>
      <c r="H238" s="21" t="str">
        <f aca="false">IF(Variants!$B239="","","I did")</f>
        <v>I did</v>
      </c>
      <c r="I238" s="21" t="str">
        <f aca="false">IF(Variants!$B239="","","Made to order")</f>
        <v>Made to order</v>
      </c>
      <c r="J238" s="21" t="str">
        <f aca="false">IF(Variants!$D239="","",Variants!$D239)</f>
        <v>Brooch</v>
      </c>
      <c r="K238" s="21" t="str">
        <f aca="false">IF(Variants!$Y239="","",Variants!$Y239)</f>
        <v/>
      </c>
      <c r="L238" s="21" t="str">
        <f aca="false">IF(Variants!$H239="","",Variants!$H239)</f>
        <v>turquoise</v>
      </c>
      <c r="M238" s="21" t="str">
        <f aca="false">IF(Variants!$G239="","",Variants!$G239)</f>
        <v/>
      </c>
    </row>
    <row r="239" customFormat="false" ht="15.75" hidden="false" customHeight="true" outlineLevel="0" collapsed="false">
      <c r="A239" s="21" t="str">
        <f aca="false">IF(Variants!$B240="","",Variants!$C240&amp;" — "&amp;Variants!$E240&amp;IF(Variants!$F240=""," "," "&amp;Variants!$F240)&amp;" — "&amp;Variants!$H240)</f>
        <v>Bird Letter Brooch — Alphabet Ժ — turquoise</v>
      </c>
      <c r="B239" s="21" t="str">
        <f aca="false">IFERROR(IF(Variants!$B240="","",VLOOKUP(Variants!$B240,Designs!$A$3:$AP$165,9,FALSE())&amp;" Handmade in Armenia."),"")</f>
        <v>Bird letters are an ornamental medieval Armenian script where each letter is formed from stylised birds, used in illuminated manuscripts. Handmade in Armenia.</v>
      </c>
      <c r="C239" s="18" t="n">
        <f aca="false">IF(Variants!$J240="","",Variants!$J240)</f>
        <v>65</v>
      </c>
      <c r="D239" s="21" t="n">
        <f aca="false">IF(Variants!$O240="","",Variants!$O240)</f>
        <v>0</v>
      </c>
      <c r="E239" s="21" t="str">
        <f aca="false">Variants!$A240</f>
        <v>KARNI-BRCH-ALPHA-ZHE-TURQUOISE</v>
      </c>
      <c r="F239" s="21" t="str">
        <f aca="false">IF(Variants!$E240="","",Variants!$E240&amp;", Armenian, handmade, enamel, "&amp;Variants!$D240)</f>
        <v>Alphabet, Armenian, handmade, enamel, Brooch</v>
      </c>
      <c r="G239" s="21" t="str">
        <f aca="false">IFERROR(VLOOKUP(Variants!$B240,Designs!$A$3:$AP$165,12,FALSE())&amp;", enamel","")</f>
        <v>925 Silver Gold-Plated, enamel</v>
      </c>
      <c r="H239" s="21" t="str">
        <f aca="false">IF(Variants!$B240="","","I did")</f>
        <v>I did</v>
      </c>
      <c r="I239" s="21" t="str">
        <f aca="false">IF(Variants!$B240="","","Made to order")</f>
        <v>Made to order</v>
      </c>
      <c r="J239" s="21" t="str">
        <f aca="false">IF(Variants!$D240="","",Variants!$D240)</f>
        <v>Brooch</v>
      </c>
      <c r="K239" s="21" t="str">
        <f aca="false">IF(Variants!$Y240="","",Variants!$Y240)</f>
        <v/>
      </c>
      <c r="L239" s="21" t="str">
        <f aca="false">IF(Variants!$H240="","",Variants!$H240)</f>
        <v>turquoise</v>
      </c>
      <c r="M239" s="21" t="str">
        <f aca="false">IF(Variants!$G240="","",Variants!$G240)</f>
        <v/>
      </c>
    </row>
    <row r="240" customFormat="false" ht="15.75" hidden="false" customHeight="true" outlineLevel="0" collapsed="false">
      <c r="A240" s="21" t="str">
        <f aca="false">IF(Variants!$B241="","",Variants!$C241&amp;" — "&amp;Variants!$E241&amp;IF(Variants!$F241=""," "," "&amp;Variants!$F241)&amp;" — "&amp;Variants!$H241)</f>
        <v>Bird Letter Brooch — Alphabet Ի — turquoise</v>
      </c>
      <c r="B240" s="21" t="str">
        <f aca="false">IFERROR(IF(Variants!$B241="","",VLOOKUP(Variants!$B241,Designs!$A$3:$AP$165,9,FALSE())&amp;" Handmade in Armenia."),"")</f>
        <v>Bird letters are an ornamental medieval Armenian script where each letter is formed from stylised birds, used in illuminated manuscripts. Handmade in Armenia.</v>
      </c>
      <c r="C240" s="18" t="n">
        <f aca="false">IF(Variants!$J241="","",Variants!$J241)</f>
        <v>65</v>
      </c>
      <c r="D240" s="21" t="n">
        <f aca="false">IF(Variants!$O241="","",Variants!$O241)</f>
        <v>0</v>
      </c>
      <c r="E240" s="21" t="str">
        <f aca="false">Variants!$A241</f>
        <v>KARNI-BRCH-ALPHA-INI-TURQUOISE</v>
      </c>
      <c r="F240" s="21" t="str">
        <f aca="false">IF(Variants!$E241="","",Variants!$E241&amp;", Armenian, handmade, enamel, "&amp;Variants!$D241)</f>
        <v>Alphabet, Armenian, handmade, enamel, Brooch</v>
      </c>
      <c r="G240" s="21" t="str">
        <f aca="false">IFERROR(VLOOKUP(Variants!$B241,Designs!$A$3:$AP$165,12,FALSE())&amp;", enamel","")</f>
        <v>925 Silver Gold-Plated, enamel</v>
      </c>
      <c r="H240" s="21" t="str">
        <f aca="false">IF(Variants!$B241="","","I did")</f>
        <v>I did</v>
      </c>
      <c r="I240" s="21" t="str">
        <f aca="false">IF(Variants!$B241="","","Made to order")</f>
        <v>Made to order</v>
      </c>
      <c r="J240" s="21" t="str">
        <f aca="false">IF(Variants!$D241="","",Variants!$D241)</f>
        <v>Brooch</v>
      </c>
      <c r="K240" s="21" t="str">
        <f aca="false">IF(Variants!$Y241="","",Variants!$Y241)</f>
        <v/>
      </c>
      <c r="L240" s="21" t="str">
        <f aca="false">IF(Variants!$H241="","",Variants!$H241)</f>
        <v>turquoise</v>
      </c>
      <c r="M240" s="21" t="str">
        <f aca="false">IF(Variants!$G241="","",Variants!$G241)</f>
        <v/>
      </c>
    </row>
    <row r="241" customFormat="false" ht="15.75" hidden="false" customHeight="true" outlineLevel="0" collapsed="false">
      <c r="A241" s="21" t="str">
        <f aca="false">IF(Variants!$B242="","",Variants!$C242&amp;" — "&amp;Variants!$E242&amp;IF(Variants!$F242=""," "," "&amp;Variants!$F242)&amp;" — "&amp;Variants!$H242)</f>
        <v>Bird Letter Brooch — Alphabet Լ — turquoise</v>
      </c>
      <c r="B241" s="21" t="str">
        <f aca="false">IFERROR(IF(Variants!$B242="","",VLOOKUP(Variants!$B242,Designs!$A$3:$AP$165,9,FALSE())&amp;" Handmade in Armenia."),"")</f>
        <v>Bird letters are an ornamental medieval Armenian script where each letter is formed from stylised birds, used in illuminated manuscripts. Handmade in Armenia.</v>
      </c>
      <c r="C241" s="18" t="n">
        <f aca="false">IF(Variants!$J242="","",Variants!$J242)</f>
        <v>65</v>
      </c>
      <c r="D241" s="21" t="n">
        <f aca="false">IF(Variants!$O242="","",Variants!$O242)</f>
        <v>0</v>
      </c>
      <c r="E241" s="21" t="str">
        <f aca="false">Variants!$A242</f>
        <v>KARNI-BRCH-ALPHA-LYUN-TURQUOISE</v>
      </c>
      <c r="F241" s="21" t="str">
        <f aca="false">IF(Variants!$E242="","",Variants!$E242&amp;", Armenian, handmade, enamel, "&amp;Variants!$D242)</f>
        <v>Alphabet, Armenian, handmade, enamel, Brooch</v>
      </c>
      <c r="G241" s="21" t="str">
        <f aca="false">IFERROR(VLOOKUP(Variants!$B242,Designs!$A$3:$AP$165,12,FALSE())&amp;", enamel","")</f>
        <v>925 Silver Gold-Plated, enamel</v>
      </c>
      <c r="H241" s="21" t="str">
        <f aca="false">IF(Variants!$B242="","","I did")</f>
        <v>I did</v>
      </c>
      <c r="I241" s="21" t="str">
        <f aca="false">IF(Variants!$B242="","","Made to order")</f>
        <v>Made to order</v>
      </c>
      <c r="J241" s="21" t="str">
        <f aca="false">IF(Variants!$D242="","",Variants!$D242)</f>
        <v>Brooch</v>
      </c>
      <c r="K241" s="21" t="str">
        <f aca="false">IF(Variants!$Y242="","",Variants!$Y242)</f>
        <v/>
      </c>
      <c r="L241" s="21" t="str">
        <f aca="false">IF(Variants!$H242="","",Variants!$H242)</f>
        <v>turquoise</v>
      </c>
      <c r="M241" s="21" t="str">
        <f aca="false">IF(Variants!$G242="","",Variants!$G242)</f>
        <v/>
      </c>
    </row>
    <row r="242" customFormat="false" ht="15.75" hidden="false" customHeight="true" outlineLevel="0" collapsed="false">
      <c r="A242" s="21" t="str">
        <f aca="false">IF(Variants!$B243="","",Variants!$C243&amp;" — "&amp;Variants!$E243&amp;IF(Variants!$F243=""," "," "&amp;Variants!$F243)&amp;" — "&amp;Variants!$H243)</f>
        <v>Bird Letter Brooch — Alphabet Խ — turquoise</v>
      </c>
      <c r="B242" s="21" t="str">
        <f aca="false">IFERROR(IF(Variants!$B243="","",VLOOKUP(Variants!$B243,Designs!$A$3:$AP$165,9,FALSE())&amp;" Handmade in Armenia."),"")</f>
        <v>Bird letters are an ornamental medieval Armenian script where each letter is formed from stylised birds, used in illuminated manuscripts. Handmade in Armenia.</v>
      </c>
      <c r="C242" s="18" t="n">
        <f aca="false">IF(Variants!$J243="","",Variants!$J243)</f>
        <v>65</v>
      </c>
      <c r="D242" s="21" t="n">
        <f aca="false">IF(Variants!$O243="","",Variants!$O243)</f>
        <v>0</v>
      </c>
      <c r="E242" s="21" t="str">
        <f aca="false">Variants!$A243</f>
        <v>KARNI-BRCH-ALPHA-KHE-TURQUOISE</v>
      </c>
      <c r="F242" s="21" t="str">
        <f aca="false">IF(Variants!$E243="","",Variants!$E243&amp;", Armenian, handmade, enamel, "&amp;Variants!$D243)</f>
        <v>Alphabet, Armenian, handmade, enamel, Brooch</v>
      </c>
      <c r="G242" s="21" t="str">
        <f aca="false">IFERROR(VLOOKUP(Variants!$B243,Designs!$A$3:$AP$165,12,FALSE())&amp;", enamel","")</f>
        <v>925 Silver Gold-Plated, enamel</v>
      </c>
      <c r="H242" s="21" t="str">
        <f aca="false">IF(Variants!$B243="","","I did")</f>
        <v>I did</v>
      </c>
      <c r="I242" s="21" t="str">
        <f aca="false">IF(Variants!$B243="","","Made to order")</f>
        <v>Made to order</v>
      </c>
      <c r="J242" s="21" t="str">
        <f aca="false">IF(Variants!$D243="","",Variants!$D243)</f>
        <v>Brooch</v>
      </c>
      <c r="K242" s="21" t="str">
        <f aca="false">IF(Variants!$Y243="","",Variants!$Y243)</f>
        <v/>
      </c>
      <c r="L242" s="21" t="str">
        <f aca="false">IF(Variants!$H243="","",Variants!$H243)</f>
        <v>turquoise</v>
      </c>
      <c r="M242" s="21" t="str">
        <f aca="false">IF(Variants!$G243="","",Variants!$G243)</f>
        <v/>
      </c>
    </row>
    <row r="243" customFormat="false" ht="15.75" hidden="false" customHeight="true" outlineLevel="0" collapsed="false">
      <c r="A243" s="21" t="str">
        <f aca="false">IF(Variants!$B244="","",Variants!$C244&amp;" — "&amp;Variants!$E244&amp;IF(Variants!$F244=""," "," "&amp;Variants!$F244)&amp;" — "&amp;Variants!$H244)</f>
        <v>Bird Letter Brooch — Alphabet Ծ — turquoise</v>
      </c>
      <c r="B243" s="21" t="str">
        <f aca="false">IFERROR(IF(Variants!$B244="","",VLOOKUP(Variants!$B244,Designs!$A$3:$AP$165,9,FALSE())&amp;" Handmade in Armenia."),"")</f>
        <v>Bird letters are an ornamental medieval Armenian script where each letter is formed from stylised birds, used in illuminated manuscripts. Handmade in Armenia.</v>
      </c>
      <c r="C243" s="18" t="n">
        <f aca="false">IF(Variants!$J244="","",Variants!$J244)</f>
        <v>65</v>
      </c>
      <c r="D243" s="21" t="n">
        <f aca="false">IF(Variants!$O244="","",Variants!$O244)</f>
        <v>0</v>
      </c>
      <c r="E243" s="21" t="str">
        <f aca="false">Variants!$A244</f>
        <v>KARNI-BRCH-ALPHA-TSA-TURQUOISE</v>
      </c>
      <c r="F243" s="21" t="str">
        <f aca="false">IF(Variants!$E244="","",Variants!$E244&amp;", Armenian, handmade, enamel, "&amp;Variants!$D244)</f>
        <v>Alphabet, Armenian, handmade, enamel, Brooch</v>
      </c>
      <c r="G243" s="21" t="str">
        <f aca="false">IFERROR(VLOOKUP(Variants!$B244,Designs!$A$3:$AP$165,12,FALSE())&amp;", enamel","")</f>
        <v>925 Silver Gold-Plated, enamel</v>
      </c>
      <c r="H243" s="21" t="str">
        <f aca="false">IF(Variants!$B244="","","I did")</f>
        <v>I did</v>
      </c>
      <c r="I243" s="21" t="str">
        <f aca="false">IF(Variants!$B244="","","Made to order")</f>
        <v>Made to order</v>
      </c>
      <c r="J243" s="21" t="str">
        <f aca="false">IF(Variants!$D244="","",Variants!$D244)</f>
        <v>Brooch</v>
      </c>
      <c r="K243" s="21" t="str">
        <f aca="false">IF(Variants!$Y244="","",Variants!$Y244)</f>
        <v/>
      </c>
      <c r="L243" s="21" t="str">
        <f aca="false">IF(Variants!$H244="","",Variants!$H244)</f>
        <v>turquoise</v>
      </c>
      <c r="M243" s="21" t="str">
        <f aca="false">IF(Variants!$G244="","",Variants!$G244)</f>
        <v/>
      </c>
    </row>
    <row r="244" customFormat="false" ht="15.75" hidden="false" customHeight="true" outlineLevel="0" collapsed="false">
      <c r="A244" s="21" t="str">
        <f aca="false">IF(Variants!$B245="","",Variants!$C245&amp;" — "&amp;Variants!$E245&amp;IF(Variants!$F245=""," "," "&amp;Variants!$F245)&amp;" — "&amp;Variants!$H245)</f>
        <v>Bird Letter Brooch — Alphabet Կ — turquoise</v>
      </c>
      <c r="B244" s="21" t="str">
        <f aca="false">IFERROR(IF(Variants!$B245="","",VLOOKUP(Variants!$B245,Designs!$A$3:$AP$165,9,FALSE())&amp;" Handmade in Armenia."),"")</f>
        <v>Bird letters are an ornamental medieval Armenian script where each letter is formed from stylised birds, used in illuminated manuscripts. Handmade in Armenia.</v>
      </c>
      <c r="C244" s="18" t="n">
        <f aca="false">IF(Variants!$J245="","",Variants!$J245)</f>
        <v>65</v>
      </c>
      <c r="D244" s="21" t="n">
        <f aca="false">IF(Variants!$O245="","",Variants!$O245)</f>
        <v>0</v>
      </c>
      <c r="E244" s="21" t="str">
        <f aca="false">Variants!$A245</f>
        <v>KARNI-BRCH-ALPHA-KEN-TURQUOISE</v>
      </c>
      <c r="F244" s="21" t="str">
        <f aca="false">IF(Variants!$E245="","",Variants!$E245&amp;", Armenian, handmade, enamel, "&amp;Variants!$D245)</f>
        <v>Alphabet, Armenian, handmade, enamel, Brooch</v>
      </c>
      <c r="G244" s="21" t="str">
        <f aca="false">IFERROR(VLOOKUP(Variants!$B245,Designs!$A$3:$AP$165,12,FALSE())&amp;", enamel","")</f>
        <v>925 Silver Gold-Plated, enamel</v>
      </c>
      <c r="H244" s="21" t="str">
        <f aca="false">IF(Variants!$B245="","","I did")</f>
        <v>I did</v>
      </c>
      <c r="I244" s="21" t="str">
        <f aca="false">IF(Variants!$B245="","","Made to order")</f>
        <v>Made to order</v>
      </c>
      <c r="J244" s="21" t="str">
        <f aca="false">IF(Variants!$D245="","",Variants!$D245)</f>
        <v>Brooch</v>
      </c>
      <c r="K244" s="21" t="str">
        <f aca="false">IF(Variants!$Y245="","",Variants!$Y245)</f>
        <v/>
      </c>
      <c r="L244" s="21" t="str">
        <f aca="false">IF(Variants!$H245="","",Variants!$H245)</f>
        <v>turquoise</v>
      </c>
      <c r="M244" s="21" t="str">
        <f aca="false">IF(Variants!$G245="","",Variants!$G245)</f>
        <v/>
      </c>
    </row>
    <row r="245" customFormat="false" ht="15.75" hidden="false" customHeight="true" outlineLevel="0" collapsed="false">
      <c r="A245" s="21" t="str">
        <f aca="false">IF(Variants!$B246="","",Variants!$C246&amp;" — "&amp;Variants!$E246&amp;IF(Variants!$F246=""," "," "&amp;Variants!$F246)&amp;" — "&amp;Variants!$H246)</f>
        <v>Bird Letter Brooch — Alphabet Հ — turquoise</v>
      </c>
      <c r="B245" s="21" t="str">
        <f aca="false">IFERROR(IF(Variants!$B246="","",VLOOKUP(Variants!$B246,Designs!$A$3:$AP$165,9,FALSE())&amp;" Handmade in Armenia."),"")</f>
        <v>Bird letters are an ornamental medieval Armenian script where each letter is formed from stylised birds, used in illuminated manuscripts. Handmade in Armenia.</v>
      </c>
      <c r="C245" s="18" t="n">
        <f aca="false">IF(Variants!$J246="","",Variants!$J246)</f>
        <v>65</v>
      </c>
      <c r="D245" s="21" t="n">
        <f aca="false">IF(Variants!$O246="","",Variants!$O246)</f>
        <v>0</v>
      </c>
      <c r="E245" s="21" t="str">
        <f aca="false">Variants!$A246</f>
        <v>KARNI-BRCH-ALPHA-HO-TURQUOISE</v>
      </c>
      <c r="F245" s="21" t="str">
        <f aca="false">IF(Variants!$E246="","",Variants!$E246&amp;", Armenian, handmade, enamel, "&amp;Variants!$D246)</f>
        <v>Alphabet, Armenian, handmade, enamel, Brooch</v>
      </c>
      <c r="G245" s="21" t="str">
        <f aca="false">IFERROR(VLOOKUP(Variants!$B246,Designs!$A$3:$AP$165,12,FALSE())&amp;", enamel","")</f>
        <v>925 Silver Gold-Plated, enamel</v>
      </c>
      <c r="H245" s="21" t="str">
        <f aca="false">IF(Variants!$B246="","","I did")</f>
        <v>I did</v>
      </c>
      <c r="I245" s="21" t="str">
        <f aca="false">IF(Variants!$B246="","","Made to order")</f>
        <v>Made to order</v>
      </c>
      <c r="J245" s="21" t="str">
        <f aca="false">IF(Variants!$D246="","",Variants!$D246)</f>
        <v>Brooch</v>
      </c>
      <c r="K245" s="21" t="str">
        <f aca="false">IF(Variants!$Y246="","",Variants!$Y246)</f>
        <v/>
      </c>
      <c r="L245" s="21" t="str">
        <f aca="false">IF(Variants!$H246="","",Variants!$H246)</f>
        <v>turquoise</v>
      </c>
      <c r="M245" s="21" t="str">
        <f aca="false">IF(Variants!$G246="","",Variants!$G246)</f>
        <v/>
      </c>
    </row>
    <row r="246" customFormat="false" ht="15.75" hidden="false" customHeight="true" outlineLevel="0" collapsed="false">
      <c r="A246" s="21" t="str">
        <f aca="false">IF(Variants!$B247="","",Variants!$C247&amp;" — "&amp;Variants!$E247&amp;IF(Variants!$F247=""," "," "&amp;Variants!$F247)&amp;" — "&amp;Variants!$H247)</f>
        <v>Bird Letter Brooch — Alphabet Ձ — turquoise</v>
      </c>
      <c r="B246" s="21" t="str">
        <f aca="false">IFERROR(IF(Variants!$B247="","",VLOOKUP(Variants!$B247,Designs!$A$3:$AP$165,9,FALSE())&amp;" Handmade in Armenia."),"")</f>
        <v>Bird letters are an ornamental medieval Armenian script where each letter is formed from stylised birds, used in illuminated manuscripts. Handmade in Armenia.</v>
      </c>
      <c r="C246" s="18" t="n">
        <f aca="false">IF(Variants!$J247="","",Variants!$J247)</f>
        <v>65</v>
      </c>
      <c r="D246" s="21" t="n">
        <f aca="false">IF(Variants!$O247="","",Variants!$O247)</f>
        <v>0</v>
      </c>
      <c r="E246" s="21" t="str">
        <f aca="false">Variants!$A247</f>
        <v>KARNI-BRCH-ALPHA-DZA-TURQUOISE</v>
      </c>
      <c r="F246" s="21" t="str">
        <f aca="false">IF(Variants!$E247="","",Variants!$E247&amp;", Armenian, handmade, enamel, "&amp;Variants!$D247)</f>
        <v>Alphabet, Armenian, handmade, enamel, Brooch</v>
      </c>
      <c r="G246" s="21" t="str">
        <f aca="false">IFERROR(VLOOKUP(Variants!$B247,Designs!$A$3:$AP$165,12,FALSE())&amp;", enamel","")</f>
        <v>925 Silver Gold-Plated, enamel</v>
      </c>
      <c r="H246" s="21" t="str">
        <f aca="false">IF(Variants!$B247="","","I did")</f>
        <v>I did</v>
      </c>
      <c r="I246" s="21" t="str">
        <f aca="false">IF(Variants!$B247="","","Made to order")</f>
        <v>Made to order</v>
      </c>
      <c r="J246" s="21" t="str">
        <f aca="false">IF(Variants!$D247="","",Variants!$D247)</f>
        <v>Brooch</v>
      </c>
      <c r="K246" s="21" t="str">
        <f aca="false">IF(Variants!$Y247="","",Variants!$Y247)</f>
        <v/>
      </c>
      <c r="L246" s="21" t="str">
        <f aca="false">IF(Variants!$H247="","",Variants!$H247)</f>
        <v>turquoise</v>
      </c>
      <c r="M246" s="21" t="str">
        <f aca="false">IF(Variants!$G247="","",Variants!$G247)</f>
        <v/>
      </c>
    </row>
    <row r="247" customFormat="false" ht="15.75" hidden="false" customHeight="true" outlineLevel="0" collapsed="false">
      <c r="A247" s="21" t="str">
        <f aca="false">IF(Variants!$B248="","",Variants!$C248&amp;" — "&amp;Variants!$E248&amp;IF(Variants!$F248=""," "," "&amp;Variants!$F248)&amp;" — "&amp;Variants!$H248)</f>
        <v>Bird Letter Brooch — Alphabet Ղ — turquoise</v>
      </c>
      <c r="B247" s="21" t="str">
        <f aca="false">IFERROR(IF(Variants!$B248="","",VLOOKUP(Variants!$B248,Designs!$A$3:$AP$165,9,FALSE())&amp;" Handmade in Armenia."),"")</f>
        <v>Bird letters are an ornamental medieval Armenian script where each letter is formed from stylised birds, used in illuminated manuscripts. Handmade in Armenia.</v>
      </c>
      <c r="C247" s="18" t="n">
        <f aca="false">IF(Variants!$J248="","",Variants!$J248)</f>
        <v>65</v>
      </c>
      <c r="D247" s="21" t="n">
        <f aca="false">IF(Variants!$O248="","",Variants!$O248)</f>
        <v>0</v>
      </c>
      <c r="E247" s="21" t="str">
        <f aca="false">Variants!$A248</f>
        <v>KARNI-BRCH-ALPHA-GHAT-TURQUOISE</v>
      </c>
      <c r="F247" s="21" t="str">
        <f aca="false">IF(Variants!$E248="","",Variants!$E248&amp;", Armenian, handmade, enamel, "&amp;Variants!$D248)</f>
        <v>Alphabet, Armenian, handmade, enamel, Brooch</v>
      </c>
      <c r="G247" s="21" t="str">
        <f aca="false">IFERROR(VLOOKUP(Variants!$B248,Designs!$A$3:$AP$165,12,FALSE())&amp;", enamel","")</f>
        <v>925 Silver Gold-Plated, enamel</v>
      </c>
      <c r="H247" s="21" t="str">
        <f aca="false">IF(Variants!$B248="","","I did")</f>
        <v>I did</v>
      </c>
      <c r="I247" s="21" t="str">
        <f aca="false">IF(Variants!$B248="","","Made to order")</f>
        <v>Made to order</v>
      </c>
      <c r="J247" s="21" t="str">
        <f aca="false">IF(Variants!$D248="","",Variants!$D248)</f>
        <v>Brooch</v>
      </c>
      <c r="K247" s="21" t="str">
        <f aca="false">IF(Variants!$Y248="","",Variants!$Y248)</f>
        <v/>
      </c>
      <c r="L247" s="21" t="str">
        <f aca="false">IF(Variants!$H248="","",Variants!$H248)</f>
        <v>turquoise</v>
      </c>
      <c r="M247" s="21" t="str">
        <f aca="false">IF(Variants!$G248="","",Variants!$G248)</f>
        <v/>
      </c>
    </row>
    <row r="248" customFormat="false" ht="15.75" hidden="false" customHeight="true" outlineLevel="0" collapsed="false">
      <c r="A248" s="21" t="str">
        <f aca="false">IF(Variants!$B249="","",Variants!$C249&amp;" — "&amp;Variants!$E249&amp;IF(Variants!$F249=""," "," "&amp;Variants!$F249)&amp;" — "&amp;Variants!$H249)</f>
        <v>Bird Letter Brooch — Alphabet Ճ — turquoise</v>
      </c>
      <c r="B248" s="21" t="str">
        <f aca="false">IFERROR(IF(Variants!$B249="","",VLOOKUP(Variants!$B249,Designs!$A$3:$AP$165,9,FALSE())&amp;" Handmade in Armenia."),"")</f>
        <v>Bird letters are an ornamental medieval Armenian script where each letter is formed from stylised birds, used in illuminated manuscripts. Handmade in Armenia.</v>
      </c>
      <c r="C248" s="18" t="n">
        <f aca="false">IF(Variants!$J249="","",Variants!$J249)</f>
        <v>65</v>
      </c>
      <c r="D248" s="21" t="n">
        <f aca="false">IF(Variants!$O249="","",Variants!$O249)</f>
        <v>0</v>
      </c>
      <c r="E248" s="21" t="str">
        <f aca="false">Variants!$A249</f>
        <v>KARNI-BRCH-ALPHA-CHEH-TURQUOISE</v>
      </c>
      <c r="F248" s="21" t="str">
        <f aca="false">IF(Variants!$E249="","",Variants!$E249&amp;", Armenian, handmade, enamel, "&amp;Variants!$D249)</f>
        <v>Alphabet, Armenian, handmade, enamel, Brooch</v>
      </c>
      <c r="G248" s="21" t="str">
        <f aca="false">IFERROR(VLOOKUP(Variants!$B249,Designs!$A$3:$AP$165,12,FALSE())&amp;", enamel","")</f>
        <v>925 Silver Gold-Plated, enamel</v>
      </c>
      <c r="H248" s="21" t="str">
        <f aca="false">IF(Variants!$B249="","","I did")</f>
        <v>I did</v>
      </c>
      <c r="I248" s="21" t="str">
        <f aca="false">IF(Variants!$B249="","","Made to order")</f>
        <v>Made to order</v>
      </c>
      <c r="J248" s="21" t="str">
        <f aca="false">IF(Variants!$D249="","",Variants!$D249)</f>
        <v>Brooch</v>
      </c>
      <c r="K248" s="21" t="str">
        <f aca="false">IF(Variants!$Y249="","",Variants!$Y249)</f>
        <v/>
      </c>
      <c r="L248" s="21" t="str">
        <f aca="false">IF(Variants!$H249="","",Variants!$H249)</f>
        <v>turquoise</v>
      </c>
      <c r="M248" s="21" t="str">
        <f aca="false">IF(Variants!$G249="","",Variants!$G249)</f>
        <v/>
      </c>
    </row>
    <row r="249" customFormat="false" ht="15.75" hidden="false" customHeight="true" outlineLevel="0" collapsed="false">
      <c r="A249" s="21" t="str">
        <f aca="false">IF(Variants!$B250="","",Variants!$C250&amp;" — "&amp;Variants!$E250&amp;IF(Variants!$F250=""," "," "&amp;Variants!$F250)&amp;" — "&amp;Variants!$H250)</f>
        <v>Bird Letter Brooch — Alphabet Մ — turquoise</v>
      </c>
      <c r="B249" s="21" t="str">
        <f aca="false">IFERROR(IF(Variants!$B250="","",VLOOKUP(Variants!$B250,Designs!$A$3:$AP$165,9,FALSE())&amp;" Handmade in Armenia."),"")</f>
        <v>Bird letters are an ornamental medieval Armenian script where each letter is formed from stylised birds, used in illuminated manuscripts. Handmade in Armenia.</v>
      </c>
      <c r="C249" s="18" t="n">
        <f aca="false">IF(Variants!$J250="","",Variants!$J250)</f>
        <v>65</v>
      </c>
      <c r="D249" s="21" t="n">
        <f aca="false">IF(Variants!$O250="","",Variants!$O250)</f>
        <v>0</v>
      </c>
      <c r="E249" s="21" t="str">
        <f aca="false">Variants!$A250</f>
        <v>KARNI-BRCH-ALPHA-MEN-TURQUOISE</v>
      </c>
      <c r="F249" s="21" t="str">
        <f aca="false">IF(Variants!$E250="","",Variants!$E250&amp;", Armenian, handmade, enamel, "&amp;Variants!$D250)</f>
        <v>Alphabet, Armenian, handmade, enamel, Brooch</v>
      </c>
      <c r="G249" s="21" t="str">
        <f aca="false">IFERROR(VLOOKUP(Variants!$B250,Designs!$A$3:$AP$165,12,FALSE())&amp;", enamel","")</f>
        <v>925 Silver Gold-Plated, enamel</v>
      </c>
      <c r="H249" s="21" t="str">
        <f aca="false">IF(Variants!$B250="","","I did")</f>
        <v>I did</v>
      </c>
      <c r="I249" s="21" t="str">
        <f aca="false">IF(Variants!$B250="","","Made to order")</f>
        <v>Made to order</v>
      </c>
      <c r="J249" s="21" t="str">
        <f aca="false">IF(Variants!$D250="","",Variants!$D250)</f>
        <v>Brooch</v>
      </c>
      <c r="K249" s="21" t="str">
        <f aca="false">IF(Variants!$Y250="","",Variants!$Y250)</f>
        <v/>
      </c>
      <c r="L249" s="21" t="str">
        <f aca="false">IF(Variants!$H250="","",Variants!$H250)</f>
        <v>turquoise</v>
      </c>
      <c r="M249" s="21" t="str">
        <f aca="false">IF(Variants!$G250="","",Variants!$G250)</f>
        <v/>
      </c>
    </row>
    <row r="250" customFormat="false" ht="15.75" hidden="false" customHeight="true" outlineLevel="0" collapsed="false">
      <c r="A250" s="21" t="str">
        <f aca="false">IF(Variants!$B251="","",Variants!$C251&amp;" — "&amp;Variants!$E251&amp;IF(Variants!$F251=""," "," "&amp;Variants!$F251)&amp;" — "&amp;Variants!$H251)</f>
        <v>Bird Letter Brooch — Alphabet Յ — turquoise</v>
      </c>
      <c r="B250" s="21" t="str">
        <f aca="false">IFERROR(IF(Variants!$B251="","",VLOOKUP(Variants!$B251,Designs!$A$3:$AP$165,9,FALSE())&amp;" Handmade in Armenia."),"")</f>
        <v>Bird letters are an ornamental medieval Armenian script where each letter is formed from stylised birds, used in illuminated manuscripts. Handmade in Armenia.</v>
      </c>
      <c r="C250" s="18" t="n">
        <f aca="false">IF(Variants!$J251="","",Variants!$J251)</f>
        <v>65</v>
      </c>
      <c r="D250" s="21" t="n">
        <f aca="false">IF(Variants!$O251="","",Variants!$O251)</f>
        <v>0</v>
      </c>
      <c r="E250" s="21" t="str">
        <f aca="false">Variants!$A251</f>
        <v>KARNI-BRCH-ALPHA-HI-TURQUOISE</v>
      </c>
      <c r="F250" s="21" t="str">
        <f aca="false">IF(Variants!$E251="","",Variants!$E251&amp;", Armenian, handmade, enamel, "&amp;Variants!$D251)</f>
        <v>Alphabet, Armenian, handmade, enamel, Brooch</v>
      </c>
      <c r="G250" s="21" t="str">
        <f aca="false">IFERROR(VLOOKUP(Variants!$B251,Designs!$A$3:$AP$165,12,FALSE())&amp;", enamel","")</f>
        <v>925 Silver Gold-Plated, enamel</v>
      </c>
      <c r="H250" s="21" t="str">
        <f aca="false">IF(Variants!$B251="","","I did")</f>
        <v>I did</v>
      </c>
      <c r="I250" s="21" t="str">
        <f aca="false">IF(Variants!$B251="","","Made to order")</f>
        <v>Made to order</v>
      </c>
      <c r="J250" s="21" t="str">
        <f aca="false">IF(Variants!$D251="","",Variants!$D251)</f>
        <v>Brooch</v>
      </c>
      <c r="K250" s="21" t="str">
        <f aca="false">IF(Variants!$Y251="","",Variants!$Y251)</f>
        <v/>
      </c>
      <c r="L250" s="21" t="str">
        <f aca="false">IF(Variants!$H251="","",Variants!$H251)</f>
        <v>turquoise</v>
      </c>
      <c r="M250" s="21" t="str">
        <f aca="false">IF(Variants!$G251="","",Variants!$G251)</f>
        <v/>
      </c>
    </row>
    <row r="251" customFormat="false" ht="15.75" hidden="false" customHeight="true" outlineLevel="0" collapsed="false">
      <c r="A251" s="21" t="str">
        <f aca="false">IF(Variants!$B252="","",Variants!$C252&amp;" — "&amp;Variants!$E252&amp;IF(Variants!$F252=""," "," "&amp;Variants!$F252)&amp;" — "&amp;Variants!$H252)</f>
        <v>Bird Letter Brooch — Alphabet Ն — turquoise</v>
      </c>
      <c r="B251" s="21" t="str">
        <f aca="false">IFERROR(IF(Variants!$B252="","",VLOOKUP(Variants!$B252,Designs!$A$3:$AP$165,9,FALSE())&amp;" Handmade in Armenia."),"")</f>
        <v>Bird letters are an ornamental medieval Armenian script where each letter is formed from stylised birds, used in illuminated manuscripts. Handmade in Armenia.</v>
      </c>
      <c r="C251" s="18" t="n">
        <f aca="false">IF(Variants!$J252="","",Variants!$J252)</f>
        <v>65</v>
      </c>
      <c r="D251" s="21" t="n">
        <f aca="false">IF(Variants!$O252="","",Variants!$O252)</f>
        <v>0</v>
      </c>
      <c r="E251" s="21" t="str">
        <f aca="false">Variants!$A252</f>
        <v>KARNI-BRCH-ALPHA-NU-TURQUOISE</v>
      </c>
      <c r="F251" s="21" t="str">
        <f aca="false">IF(Variants!$E252="","",Variants!$E252&amp;", Armenian, handmade, enamel, "&amp;Variants!$D252)</f>
        <v>Alphabet, Armenian, handmade, enamel, Brooch</v>
      </c>
      <c r="G251" s="21" t="str">
        <f aca="false">IFERROR(VLOOKUP(Variants!$B252,Designs!$A$3:$AP$165,12,FALSE())&amp;", enamel","")</f>
        <v>925 Silver Gold-Plated, enamel</v>
      </c>
      <c r="H251" s="21" t="str">
        <f aca="false">IF(Variants!$B252="","","I did")</f>
        <v>I did</v>
      </c>
      <c r="I251" s="21" t="str">
        <f aca="false">IF(Variants!$B252="","","Made to order")</f>
        <v>Made to order</v>
      </c>
      <c r="J251" s="21" t="str">
        <f aca="false">IF(Variants!$D252="","",Variants!$D252)</f>
        <v>Brooch</v>
      </c>
      <c r="K251" s="21" t="str">
        <f aca="false">IF(Variants!$Y252="","",Variants!$Y252)</f>
        <v/>
      </c>
      <c r="L251" s="21" t="str">
        <f aca="false">IF(Variants!$H252="","",Variants!$H252)</f>
        <v>turquoise</v>
      </c>
      <c r="M251" s="21" t="str">
        <f aca="false">IF(Variants!$G252="","",Variants!$G252)</f>
        <v/>
      </c>
    </row>
    <row r="252" customFormat="false" ht="15.75" hidden="false" customHeight="true" outlineLevel="0" collapsed="false">
      <c r="A252" s="21" t="str">
        <f aca="false">IF(Variants!$B253="","",Variants!$C253&amp;" — "&amp;Variants!$E253&amp;IF(Variants!$F253=""," "," "&amp;Variants!$F253)&amp;" — "&amp;Variants!$H253)</f>
        <v>Bird Letter Brooch — Alphabet Շ — turquoise</v>
      </c>
      <c r="B252" s="21" t="str">
        <f aca="false">IFERROR(IF(Variants!$B253="","",VLOOKUP(Variants!$B253,Designs!$A$3:$AP$165,9,FALSE())&amp;" Handmade in Armenia."),"")</f>
        <v>Bird letters are an ornamental medieval Armenian script where each letter is formed from stylised birds, used in illuminated manuscripts. Handmade in Armenia.</v>
      </c>
      <c r="C252" s="18" t="n">
        <f aca="false">IF(Variants!$J253="","",Variants!$J253)</f>
        <v>65</v>
      </c>
      <c r="D252" s="21" t="n">
        <f aca="false">IF(Variants!$O253="","",Variants!$O253)</f>
        <v>0</v>
      </c>
      <c r="E252" s="21" t="str">
        <f aca="false">Variants!$A253</f>
        <v>KARNI-BRCH-ALPHA-SHA-TURQUOISE</v>
      </c>
      <c r="F252" s="21" t="str">
        <f aca="false">IF(Variants!$E253="","",Variants!$E253&amp;", Armenian, handmade, enamel, "&amp;Variants!$D253)</f>
        <v>Alphabet, Armenian, handmade, enamel, Brooch</v>
      </c>
      <c r="G252" s="21" t="str">
        <f aca="false">IFERROR(VLOOKUP(Variants!$B253,Designs!$A$3:$AP$165,12,FALSE())&amp;", enamel","")</f>
        <v>925 Silver Gold-Plated, enamel</v>
      </c>
      <c r="H252" s="21" t="str">
        <f aca="false">IF(Variants!$B253="","","I did")</f>
        <v>I did</v>
      </c>
      <c r="I252" s="21" t="str">
        <f aca="false">IF(Variants!$B253="","","Made to order")</f>
        <v>Made to order</v>
      </c>
      <c r="J252" s="21" t="str">
        <f aca="false">IF(Variants!$D253="","",Variants!$D253)</f>
        <v>Brooch</v>
      </c>
      <c r="K252" s="21" t="str">
        <f aca="false">IF(Variants!$Y253="","",Variants!$Y253)</f>
        <v/>
      </c>
      <c r="L252" s="21" t="str">
        <f aca="false">IF(Variants!$H253="","",Variants!$H253)</f>
        <v>turquoise</v>
      </c>
      <c r="M252" s="21" t="str">
        <f aca="false">IF(Variants!$G253="","",Variants!$G253)</f>
        <v/>
      </c>
    </row>
    <row r="253" customFormat="false" ht="15.75" hidden="false" customHeight="true" outlineLevel="0" collapsed="false">
      <c r="A253" s="21" t="str">
        <f aca="false">IF(Variants!$B254="","",Variants!$C254&amp;" — "&amp;Variants!$E254&amp;IF(Variants!$F254=""," "," "&amp;Variants!$F254)&amp;" — "&amp;Variants!$H254)</f>
        <v>Bird Letter Brooch — Alphabet Ո — turquoise</v>
      </c>
      <c r="B253" s="21" t="str">
        <f aca="false">IFERROR(IF(Variants!$B254="","",VLOOKUP(Variants!$B254,Designs!$A$3:$AP$165,9,FALSE())&amp;" Handmade in Armenia."),"")</f>
        <v>Bird letters are an ornamental medieval Armenian script where each letter is formed from stylised birds, used in illuminated manuscripts. Handmade in Armenia.</v>
      </c>
      <c r="C253" s="18" t="n">
        <f aca="false">IF(Variants!$J254="","",Variants!$J254)</f>
        <v>65</v>
      </c>
      <c r="D253" s="21" t="n">
        <f aca="false">IF(Variants!$O254="","",Variants!$O254)</f>
        <v>0</v>
      </c>
      <c r="E253" s="21" t="str">
        <f aca="false">Variants!$A254</f>
        <v>KARNI-BRCH-ALPHA-VO-TURQUOISE</v>
      </c>
      <c r="F253" s="21" t="str">
        <f aca="false">IF(Variants!$E254="","",Variants!$E254&amp;", Armenian, handmade, enamel, "&amp;Variants!$D254)</f>
        <v>Alphabet, Armenian, handmade, enamel, Brooch</v>
      </c>
      <c r="G253" s="21" t="str">
        <f aca="false">IFERROR(VLOOKUP(Variants!$B254,Designs!$A$3:$AP$165,12,FALSE())&amp;", enamel","")</f>
        <v>925 Silver Gold-Plated, enamel</v>
      </c>
      <c r="H253" s="21" t="str">
        <f aca="false">IF(Variants!$B254="","","I did")</f>
        <v>I did</v>
      </c>
      <c r="I253" s="21" t="str">
        <f aca="false">IF(Variants!$B254="","","Made to order")</f>
        <v>Made to order</v>
      </c>
      <c r="J253" s="21" t="str">
        <f aca="false">IF(Variants!$D254="","",Variants!$D254)</f>
        <v>Brooch</v>
      </c>
      <c r="K253" s="21" t="str">
        <f aca="false">IF(Variants!$Y254="","",Variants!$Y254)</f>
        <v/>
      </c>
      <c r="L253" s="21" t="str">
        <f aca="false">IF(Variants!$H254="","",Variants!$H254)</f>
        <v>turquoise</v>
      </c>
      <c r="M253" s="21" t="str">
        <f aca="false">IF(Variants!$G254="","",Variants!$G254)</f>
        <v/>
      </c>
    </row>
    <row r="254" customFormat="false" ht="15.75" hidden="false" customHeight="true" outlineLevel="0" collapsed="false">
      <c r="A254" s="21" t="str">
        <f aca="false">IF(Variants!$B255="","",Variants!$C255&amp;" — "&amp;Variants!$E255&amp;IF(Variants!$F255=""," "," "&amp;Variants!$F255)&amp;" — "&amp;Variants!$H255)</f>
        <v>Bird Letter Brooch — Alphabet Չ — turquoise</v>
      </c>
      <c r="B254" s="21" t="str">
        <f aca="false">IFERROR(IF(Variants!$B255="","",VLOOKUP(Variants!$B255,Designs!$A$3:$AP$165,9,FALSE())&amp;" Handmade in Armenia."),"")</f>
        <v>Bird letters are an ornamental medieval Armenian script where each letter is formed from stylised birds, used in illuminated manuscripts. Handmade in Armenia.</v>
      </c>
      <c r="C254" s="18" t="n">
        <f aca="false">IF(Variants!$J255="","",Variants!$J255)</f>
        <v>65</v>
      </c>
      <c r="D254" s="21" t="n">
        <f aca="false">IF(Variants!$O255="","",Variants!$O255)</f>
        <v>0</v>
      </c>
      <c r="E254" s="21" t="str">
        <f aca="false">Variants!$A255</f>
        <v>KARNI-BRCH-ALPHA-CHA-TURQUOISE</v>
      </c>
      <c r="F254" s="21" t="str">
        <f aca="false">IF(Variants!$E255="","",Variants!$E255&amp;", Armenian, handmade, enamel, "&amp;Variants!$D255)</f>
        <v>Alphabet, Armenian, handmade, enamel, Brooch</v>
      </c>
      <c r="G254" s="21" t="str">
        <f aca="false">IFERROR(VLOOKUP(Variants!$B255,Designs!$A$3:$AP$165,12,FALSE())&amp;", enamel","")</f>
        <v>925 Silver Gold-Plated, enamel</v>
      </c>
      <c r="H254" s="21" t="str">
        <f aca="false">IF(Variants!$B255="","","I did")</f>
        <v>I did</v>
      </c>
      <c r="I254" s="21" t="str">
        <f aca="false">IF(Variants!$B255="","","Made to order")</f>
        <v>Made to order</v>
      </c>
      <c r="J254" s="21" t="str">
        <f aca="false">IF(Variants!$D255="","",Variants!$D255)</f>
        <v>Brooch</v>
      </c>
      <c r="K254" s="21" t="str">
        <f aca="false">IF(Variants!$Y255="","",Variants!$Y255)</f>
        <v/>
      </c>
      <c r="L254" s="21" t="str">
        <f aca="false">IF(Variants!$H255="","",Variants!$H255)</f>
        <v>turquoise</v>
      </c>
      <c r="M254" s="21" t="str">
        <f aca="false">IF(Variants!$G255="","",Variants!$G255)</f>
        <v/>
      </c>
    </row>
    <row r="255" customFormat="false" ht="15.75" hidden="false" customHeight="true" outlineLevel="0" collapsed="false">
      <c r="A255" s="21" t="str">
        <f aca="false">IF(Variants!$B256="","",Variants!$C256&amp;" — "&amp;Variants!$E256&amp;IF(Variants!$F256=""," "," "&amp;Variants!$F256)&amp;" — "&amp;Variants!$H256)</f>
        <v>Bird Letter Brooch — Alphabet Պ — turquoise</v>
      </c>
      <c r="B255" s="21" t="str">
        <f aca="false">IFERROR(IF(Variants!$B256="","",VLOOKUP(Variants!$B256,Designs!$A$3:$AP$165,9,FALSE())&amp;" Handmade in Armenia."),"")</f>
        <v>Bird letters are an ornamental medieval Armenian script where each letter is formed from stylised birds, used in illuminated manuscripts. Handmade in Armenia.</v>
      </c>
      <c r="C255" s="18" t="n">
        <f aca="false">IF(Variants!$J256="","",Variants!$J256)</f>
        <v>65</v>
      </c>
      <c r="D255" s="21" t="n">
        <f aca="false">IF(Variants!$O256="","",Variants!$O256)</f>
        <v>0</v>
      </c>
      <c r="E255" s="21" t="str">
        <f aca="false">Variants!$A256</f>
        <v>KARNI-BRCH-ALPHA-PEH-TURQUOISE</v>
      </c>
      <c r="F255" s="21" t="str">
        <f aca="false">IF(Variants!$E256="","",Variants!$E256&amp;", Armenian, handmade, enamel, "&amp;Variants!$D256)</f>
        <v>Alphabet, Armenian, handmade, enamel, Brooch</v>
      </c>
      <c r="G255" s="21" t="str">
        <f aca="false">IFERROR(VLOOKUP(Variants!$B256,Designs!$A$3:$AP$165,12,FALSE())&amp;", enamel","")</f>
        <v>925 Silver Gold-Plated, enamel</v>
      </c>
      <c r="H255" s="21" t="str">
        <f aca="false">IF(Variants!$B256="","","I did")</f>
        <v>I did</v>
      </c>
      <c r="I255" s="21" t="str">
        <f aca="false">IF(Variants!$B256="","","Made to order")</f>
        <v>Made to order</v>
      </c>
      <c r="J255" s="21" t="str">
        <f aca="false">IF(Variants!$D256="","",Variants!$D256)</f>
        <v>Brooch</v>
      </c>
      <c r="K255" s="21" t="str">
        <f aca="false">IF(Variants!$Y256="","",Variants!$Y256)</f>
        <v/>
      </c>
      <c r="L255" s="21" t="str">
        <f aca="false">IF(Variants!$H256="","",Variants!$H256)</f>
        <v>turquoise</v>
      </c>
      <c r="M255" s="21" t="str">
        <f aca="false">IF(Variants!$G256="","",Variants!$G256)</f>
        <v/>
      </c>
    </row>
    <row r="256" customFormat="false" ht="15.75" hidden="false" customHeight="true" outlineLevel="0" collapsed="false">
      <c r="A256" s="21" t="str">
        <f aca="false">IF(Variants!$B257="","",Variants!$C257&amp;" — "&amp;Variants!$E257&amp;IF(Variants!$F257=""," "," "&amp;Variants!$F257)&amp;" — "&amp;Variants!$H257)</f>
        <v>Bird Letter Brooch — Alphabet Ջ — turquoise</v>
      </c>
      <c r="B256" s="21" t="str">
        <f aca="false">IFERROR(IF(Variants!$B257="","",VLOOKUP(Variants!$B257,Designs!$A$3:$AP$165,9,FALSE())&amp;" Handmade in Armenia."),"")</f>
        <v>Bird letters are an ornamental medieval Armenian script where each letter is formed from stylised birds, used in illuminated manuscripts. Handmade in Armenia.</v>
      </c>
      <c r="C256" s="18" t="n">
        <f aca="false">IF(Variants!$J257="","",Variants!$J257)</f>
        <v>65</v>
      </c>
      <c r="D256" s="21" t="n">
        <f aca="false">IF(Variants!$O257="","",Variants!$O257)</f>
        <v>0</v>
      </c>
      <c r="E256" s="21" t="str">
        <f aca="false">Variants!$A257</f>
        <v>KARNI-BRCH-ALPHA-JHEH-TURQUOISE</v>
      </c>
      <c r="F256" s="21" t="str">
        <f aca="false">IF(Variants!$E257="","",Variants!$E257&amp;", Armenian, handmade, enamel, "&amp;Variants!$D257)</f>
        <v>Alphabet, Armenian, handmade, enamel, Brooch</v>
      </c>
      <c r="G256" s="21" t="str">
        <f aca="false">IFERROR(VLOOKUP(Variants!$B257,Designs!$A$3:$AP$165,12,FALSE())&amp;", enamel","")</f>
        <v>925 Silver Gold-Plated, enamel</v>
      </c>
      <c r="H256" s="21" t="str">
        <f aca="false">IF(Variants!$B257="","","I did")</f>
        <v>I did</v>
      </c>
      <c r="I256" s="21" t="str">
        <f aca="false">IF(Variants!$B257="","","Made to order")</f>
        <v>Made to order</v>
      </c>
      <c r="J256" s="21" t="str">
        <f aca="false">IF(Variants!$D257="","",Variants!$D257)</f>
        <v>Brooch</v>
      </c>
      <c r="K256" s="21" t="str">
        <f aca="false">IF(Variants!$Y257="","",Variants!$Y257)</f>
        <v/>
      </c>
      <c r="L256" s="21" t="str">
        <f aca="false">IF(Variants!$H257="","",Variants!$H257)</f>
        <v>turquoise</v>
      </c>
      <c r="M256" s="21" t="str">
        <f aca="false">IF(Variants!$G257="","",Variants!$G257)</f>
        <v/>
      </c>
    </row>
    <row r="257" customFormat="false" ht="15.75" hidden="false" customHeight="true" outlineLevel="0" collapsed="false">
      <c r="A257" s="21" t="str">
        <f aca="false">IF(Variants!$B258="","",Variants!$C258&amp;" — "&amp;Variants!$E258&amp;IF(Variants!$F258=""," "," "&amp;Variants!$F258)&amp;" — "&amp;Variants!$H258)</f>
        <v>Bird Letter Brooch — Alphabet Ռ — turquoise</v>
      </c>
      <c r="B257" s="21" t="str">
        <f aca="false">IFERROR(IF(Variants!$B258="","",VLOOKUP(Variants!$B258,Designs!$A$3:$AP$165,9,FALSE())&amp;" Handmade in Armenia."),"")</f>
        <v>Bird letters are an ornamental medieval Armenian script where each letter is formed from stylised birds, used in illuminated manuscripts. Handmade in Armenia.</v>
      </c>
      <c r="C257" s="18" t="n">
        <f aca="false">IF(Variants!$J258="","",Variants!$J258)</f>
        <v>65</v>
      </c>
      <c r="D257" s="21" t="n">
        <f aca="false">IF(Variants!$O258="","",Variants!$O258)</f>
        <v>0</v>
      </c>
      <c r="E257" s="21" t="str">
        <f aca="false">Variants!$A258</f>
        <v>KARNI-BRCH-ALPHA-RA-TURQUOISE</v>
      </c>
      <c r="F257" s="21" t="str">
        <f aca="false">IF(Variants!$E258="","",Variants!$E258&amp;", Armenian, handmade, enamel, "&amp;Variants!$D258)</f>
        <v>Alphabet, Armenian, handmade, enamel, Brooch</v>
      </c>
      <c r="G257" s="21" t="str">
        <f aca="false">IFERROR(VLOOKUP(Variants!$B258,Designs!$A$3:$AP$165,12,FALSE())&amp;", enamel","")</f>
        <v>925 Silver Gold-Plated, enamel</v>
      </c>
      <c r="H257" s="21" t="str">
        <f aca="false">IF(Variants!$B258="","","I did")</f>
        <v>I did</v>
      </c>
      <c r="I257" s="21" t="str">
        <f aca="false">IF(Variants!$B258="","","Made to order")</f>
        <v>Made to order</v>
      </c>
      <c r="J257" s="21" t="str">
        <f aca="false">IF(Variants!$D258="","",Variants!$D258)</f>
        <v>Brooch</v>
      </c>
      <c r="K257" s="21" t="str">
        <f aca="false">IF(Variants!$Y258="","",Variants!$Y258)</f>
        <v/>
      </c>
      <c r="L257" s="21" t="str">
        <f aca="false">IF(Variants!$H258="","",Variants!$H258)</f>
        <v>turquoise</v>
      </c>
      <c r="M257" s="21" t="str">
        <f aca="false">IF(Variants!$G258="","",Variants!$G258)</f>
        <v/>
      </c>
    </row>
    <row r="258" customFormat="false" ht="15.75" hidden="false" customHeight="true" outlineLevel="0" collapsed="false">
      <c r="A258" s="21" t="str">
        <f aca="false">IF(Variants!$B259="","",Variants!$C259&amp;" — "&amp;Variants!$E259&amp;IF(Variants!$F259=""," "," "&amp;Variants!$F259)&amp;" — "&amp;Variants!$H259)</f>
        <v>Bird Letter Brooch — Alphabet Ս — turquoise</v>
      </c>
      <c r="B258" s="21" t="str">
        <f aca="false">IFERROR(IF(Variants!$B259="","",VLOOKUP(Variants!$B259,Designs!$A$3:$AP$165,9,FALSE())&amp;" Handmade in Armenia."),"")</f>
        <v>Bird letters are an ornamental medieval Armenian script where each letter is formed from stylised birds, used in illuminated manuscripts. Handmade in Armenia.</v>
      </c>
      <c r="C258" s="18" t="n">
        <f aca="false">IF(Variants!$J259="","",Variants!$J259)</f>
        <v>65</v>
      </c>
      <c r="D258" s="21" t="n">
        <f aca="false">IF(Variants!$O259="","",Variants!$O259)</f>
        <v>0</v>
      </c>
      <c r="E258" s="21" t="str">
        <f aca="false">Variants!$A259</f>
        <v>KARNI-BRCH-ALPHA-SEH-TURQUOISE</v>
      </c>
      <c r="F258" s="21" t="str">
        <f aca="false">IF(Variants!$E259="","",Variants!$E259&amp;", Armenian, handmade, enamel, "&amp;Variants!$D259)</f>
        <v>Alphabet, Armenian, handmade, enamel, Brooch</v>
      </c>
      <c r="G258" s="21" t="str">
        <f aca="false">IFERROR(VLOOKUP(Variants!$B259,Designs!$A$3:$AP$165,12,FALSE())&amp;", enamel","")</f>
        <v>925 Silver Gold-Plated, enamel</v>
      </c>
      <c r="H258" s="21" t="str">
        <f aca="false">IF(Variants!$B259="","","I did")</f>
        <v>I did</v>
      </c>
      <c r="I258" s="21" t="str">
        <f aca="false">IF(Variants!$B259="","","Made to order")</f>
        <v>Made to order</v>
      </c>
      <c r="J258" s="21" t="str">
        <f aca="false">IF(Variants!$D259="","",Variants!$D259)</f>
        <v>Brooch</v>
      </c>
      <c r="K258" s="21" t="str">
        <f aca="false">IF(Variants!$Y259="","",Variants!$Y259)</f>
        <v/>
      </c>
      <c r="L258" s="21" t="str">
        <f aca="false">IF(Variants!$H259="","",Variants!$H259)</f>
        <v>turquoise</v>
      </c>
      <c r="M258" s="21" t="str">
        <f aca="false">IF(Variants!$G259="","",Variants!$G259)</f>
        <v/>
      </c>
    </row>
    <row r="259" customFormat="false" ht="15.75" hidden="false" customHeight="true" outlineLevel="0" collapsed="false">
      <c r="A259" s="21" t="str">
        <f aca="false">IF(Variants!$B260="","",Variants!$C260&amp;" — "&amp;Variants!$E260&amp;IF(Variants!$F260=""," "," "&amp;Variants!$F260)&amp;" — "&amp;Variants!$H260)</f>
        <v>Bird Letter Brooch — Alphabet Վ — turquoise</v>
      </c>
      <c r="B259" s="21" t="str">
        <f aca="false">IFERROR(IF(Variants!$B260="","",VLOOKUP(Variants!$B260,Designs!$A$3:$AP$165,9,FALSE())&amp;" Handmade in Armenia."),"")</f>
        <v>Bird letters are an ornamental medieval Armenian script where each letter is formed from stylised birds, used in illuminated manuscripts. Handmade in Armenia.</v>
      </c>
      <c r="C259" s="18" t="n">
        <f aca="false">IF(Variants!$J260="","",Variants!$J260)</f>
        <v>65</v>
      </c>
      <c r="D259" s="21" t="n">
        <f aca="false">IF(Variants!$O260="","",Variants!$O260)</f>
        <v>0</v>
      </c>
      <c r="E259" s="21" t="str">
        <f aca="false">Variants!$A260</f>
        <v>KARNI-BRCH-ALPHA-VEV-TURQUOISE</v>
      </c>
      <c r="F259" s="21" t="str">
        <f aca="false">IF(Variants!$E260="","",Variants!$E260&amp;", Armenian, handmade, enamel, "&amp;Variants!$D260)</f>
        <v>Alphabet, Armenian, handmade, enamel, Brooch</v>
      </c>
      <c r="G259" s="21" t="str">
        <f aca="false">IFERROR(VLOOKUP(Variants!$B260,Designs!$A$3:$AP$165,12,FALSE())&amp;", enamel","")</f>
        <v>925 Silver Gold-Plated, enamel</v>
      </c>
      <c r="H259" s="21" t="str">
        <f aca="false">IF(Variants!$B260="","","I did")</f>
        <v>I did</v>
      </c>
      <c r="I259" s="21" t="str">
        <f aca="false">IF(Variants!$B260="","","Made to order")</f>
        <v>Made to order</v>
      </c>
      <c r="J259" s="21" t="str">
        <f aca="false">IF(Variants!$D260="","",Variants!$D260)</f>
        <v>Brooch</v>
      </c>
      <c r="K259" s="21" t="str">
        <f aca="false">IF(Variants!$Y260="","",Variants!$Y260)</f>
        <v/>
      </c>
      <c r="L259" s="21" t="str">
        <f aca="false">IF(Variants!$H260="","",Variants!$H260)</f>
        <v>turquoise</v>
      </c>
      <c r="M259" s="21" t="str">
        <f aca="false">IF(Variants!$G260="","",Variants!$G260)</f>
        <v/>
      </c>
    </row>
    <row r="260" customFormat="false" ht="15.75" hidden="false" customHeight="true" outlineLevel="0" collapsed="false">
      <c r="A260" s="21" t="str">
        <f aca="false">IF(Variants!$B261="","",Variants!$C261&amp;" — "&amp;Variants!$E261&amp;IF(Variants!$F261=""," "," "&amp;Variants!$F261)&amp;" — "&amp;Variants!$H261)</f>
        <v>Bird Letter Brooch — Alphabet Տ — turquoise</v>
      </c>
      <c r="B260" s="21" t="str">
        <f aca="false">IFERROR(IF(Variants!$B261="","",VLOOKUP(Variants!$B261,Designs!$A$3:$AP$165,9,FALSE())&amp;" Handmade in Armenia."),"")</f>
        <v>Bird letters are an ornamental medieval Armenian script where each letter is formed from stylised birds, used in illuminated manuscripts. Handmade in Armenia.</v>
      </c>
      <c r="C260" s="18" t="n">
        <f aca="false">IF(Variants!$J261="","",Variants!$J261)</f>
        <v>65</v>
      </c>
      <c r="D260" s="21" t="n">
        <f aca="false">IF(Variants!$O261="","",Variants!$O261)</f>
        <v>0</v>
      </c>
      <c r="E260" s="21" t="str">
        <f aca="false">Variants!$A261</f>
        <v>KARNI-BRCH-ALPHA-TYUN-TURQUOISE</v>
      </c>
      <c r="F260" s="21" t="str">
        <f aca="false">IF(Variants!$E261="","",Variants!$E261&amp;", Armenian, handmade, enamel, "&amp;Variants!$D261)</f>
        <v>Alphabet, Armenian, handmade, enamel, Brooch</v>
      </c>
      <c r="G260" s="21" t="str">
        <f aca="false">IFERROR(VLOOKUP(Variants!$B261,Designs!$A$3:$AP$165,12,FALSE())&amp;", enamel","")</f>
        <v>925 Silver Gold-Plated, enamel</v>
      </c>
      <c r="H260" s="21" t="str">
        <f aca="false">IF(Variants!$B261="","","I did")</f>
        <v>I did</v>
      </c>
      <c r="I260" s="21" t="str">
        <f aca="false">IF(Variants!$B261="","","Made to order")</f>
        <v>Made to order</v>
      </c>
      <c r="J260" s="21" t="str">
        <f aca="false">IF(Variants!$D261="","",Variants!$D261)</f>
        <v>Brooch</v>
      </c>
      <c r="K260" s="21" t="str">
        <f aca="false">IF(Variants!$Y261="","",Variants!$Y261)</f>
        <v/>
      </c>
      <c r="L260" s="21" t="str">
        <f aca="false">IF(Variants!$H261="","",Variants!$H261)</f>
        <v>turquoise</v>
      </c>
      <c r="M260" s="21" t="str">
        <f aca="false">IF(Variants!$G261="","",Variants!$G261)</f>
        <v/>
      </c>
    </row>
    <row r="261" customFormat="false" ht="15.75" hidden="false" customHeight="true" outlineLevel="0" collapsed="false">
      <c r="A261" s="21" t="str">
        <f aca="false">IF(Variants!$B262="","",Variants!$C262&amp;" — "&amp;Variants!$E262&amp;IF(Variants!$F262=""," "," "&amp;Variants!$F262)&amp;" — "&amp;Variants!$H262)</f>
        <v>Bird Letter Brooch — Alphabet Ր — turquoise</v>
      </c>
      <c r="B261" s="21" t="str">
        <f aca="false">IFERROR(IF(Variants!$B262="","",VLOOKUP(Variants!$B262,Designs!$A$3:$AP$165,9,FALSE())&amp;" Handmade in Armenia."),"")</f>
        <v>Bird letters are an ornamental medieval Armenian script where each letter is formed from stylised birds, used in illuminated manuscripts. Handmade in Armenia.</v>
      </c>
      <c r="C261" s="18" t="n">
        <f aca="false">IF(Variants!$J262="","",Variants!$J262)</f>
        <v>65</v>
      </c>
      <c r="D261" s="21" t="n">
        <f aca="false">IF(Variants!$O262="","",Variants!$O262)</f>
        <v>0</v>
      </c>
      <c r="E261" s="21" t="str">
        <f aca="false">Variants!$A262</f>
        <v>KARNI-BRCH-ALPHA-REH-TURQUOISE</v>
      </c>
      <c r="F261" s="21" t="str">
        <f aca="false">IF(Variants!$E262="","",Variants!$E262&amp;", Armenian, handmade, enamel, "&amp;Variants!$D262)</f>
        <v>Alphabet, Armenian, handmade, enamel, Brooch</v>
      </c>
      <c r="G261" s="21" t="str">
        <f aca="false">IFERROR(VLOOKUP(Variants!$B262,Designs!$A$3:$AP$165,12,FALSE())&amp;", enamel","")</f>
        <v>925 Silver Gold-Plated, enamel</v>
      </c>
      <c r="H261" s="21" t="str">
        <f aca="false">IF(Variants!$B262="","","I did")</f>
        <v>I did</v>
      </c>
      <c r="I261" s="21" t="str">
        <f aca="false">IF(Variants!$B262="","","Made to order")</f>
        <v>Made to order</v>
      </c>
      <c r="J261" s="21" t="str">
        <f aca="false">IF(Variants!$D262="","",Variants!$D262)</f>
        <v>Brooch</v>
      </c>
      <c r="K261" s="21" t="str">
        <f aca="false">IF(Variants!$Y262="","",Variants!$Y262)</f>
        <v/>
      </c>
      <c r="L261" s="21" t="str">
        <f aca="false">IF(Variants!$H262="","",Variants!$H262)</f>
        <v>turquoise</v>
      </c>
      <c r="M261" s="21" t="str">
        <f aca="false">IF(Variants!$G262="","",Variants!$G262)</f>
        <v/>
      </c>
    </row>
    <row r="262" customFormat="false" ht="15.75" hidden="false" customHeight="true" outlineLevel="0" collapsed="false">
      <c r="A262" s="21" t="str">
        <f aca="false">IF(Variants!$B263="","",Variants!$C263&amp;" — "&amp;Variants!$E263&amp;IF(Variants!$F263=""," "," "&amp;Variants!$F263)&amp;" — "&amp;Variants!$H263)</f>
        <v>Bird Letter Brooch — Alphabet Ց — turquoise</v>
      </c>
      <c r="B262" s="21" t="str">
        <f aca="false">IFERROR(IF(Variants!$B263="","",VLOOKUP(Variants!$B263,Designs!$A$3:$AP$165,9,FALSE())&amp;" Handmade in Armenia."),"")</f>
        <v>Bird letters are an ornamental medieval Armenian script where each letter is formed from stylised birds, used in illuminated manuscripts. Handmade in Armenia.</v>
      </c>
      <c r="C262" s="18" t="n">
        <f aca="false">IF(Variants!$J263="","",Variants!$J263)</f>
        <v>65</v>
      </c>
      <c r="D262" s="21" t="n">
        <f aca="false">IF(Variants!$O263="","",Variants!$O263)</f>
        <v>0</v>
      </c>
      <c r="E262" s="21" t="str">
        <f aca="false">Variants!$A263</f>
        <v>KARNI-BRCH-ALPHA-TSO-TURQUOISE</v>
      </c>
      <c r="F262" s="21" t="str">
        <f aca="false">IF(Variants!$E263="","",Variants!$E263&amp;", Armenian, handmade, enamel, "&amp;Variants!$D263)</f>
        <v>Alphabet, Armenian, handmade, enamel, Brooch</v>
      </c>
      <c r="G262" s="21" t="str">
        <f aca="false">IFERROR(VLOOKUP(Variants!$B263,Designs!$A$3:$AP$165,12,FALSE())&amp;", enamel","")</f>
        <v>925 Silver Gold-Plated, enamel</v>
      </c>
      <c r="H262" s="21" t="str">
        <f aca="false">IF(Variants!$B263="","","I did")</f>
        <v>I did</v>
      </c>
      <c r="I262" s="21" t="str">
        <f aca="false">IF(Variants!$B263="","","Made to order")</f>
        <v>Made to order</v>
      </c>
      <c r="J262" s="21" t="str">
        <f aca="false">IF(Variants!$D263="","",Variants!$D263)</f>
        <v>Brooch</v>
      </c>
      <c r="K262" s="21" t="str">
        <f aca="false">IF(Variants!$Y263="","",Variants!$Y263)</f>
        <v/>
      </c>
      <c r="L262" s="21" t="str">
        <f aca="false">IF(Variants!$H263="","",Variants!$H263)</f>
        <v>turquoise</v>
      </c>
      <c r="M262" s="21" t="str">
        <f aca="false">IF(Variants!$G263="","",Variants!$G263)</f>
        <v/>
      </c>
    </row>
    <row r="263" customFormat="false" ht="15.75" hidden="false" customHeight="true" outlineLevel="0" collapsed="false">
      <c r="A263" s="21" t="str">
        <f aca="false">IF(Variants!$B264="","",Variants!$C264&amp;" — "&amp;Variants!$E264&amp;IF(Variants!$F264=""," "," "&amp;Variants!$F264)&amp;" — "&amp;Variants!$H264)</f>
        <v>Bird Letter Brooch — Alphabet Ւ — turquoise</v>
      </c>
      <c r="B263" s="21" t="str">
        <f aca="false">IFERROR(IF(Variants!$B264="","",VLOOKUP(Variants!$B264,Designs!$A$3:$AP$165,9,FALSE())&amp;" Handmade in Armenia."),"")</f>
        <v>Bird letters are an ornamental medieval Armenian script where each letter is formed from stylised birds, used in illuminated manuscripts. Handmade in Armenia.</v>
      </c>
      <c r="C263" s="18" t="n">
        <f aca="false">IF(Variants!$J264="","",Variants!$J264)</f>
        <v>65</v>
      </c>
      <c r="D263" s="21" t="n">
        <f aca="false">IF(Variants!$O264="","",Variants!$O264)</f>
        <v>0</v>
      </c>
      <c r="E263" s="21" t="str">
        <f aca="false">Variants!$A264</f>
        <v>KARNI-BRCH-ALPHA-VYUN-TURQUOISE</v>
      </c>
      <c r="F263" s="21" t="str">
        <f aca="false">IF(Variants!$E264="","",Variants!$E264&amp;", Armenian, handmade, enamel, "&amp;Variants!$D264)</f>
        <v>Alphabet, Armenian, handmade, enamel, Brooch</v>
      </c>
      <c r="G263" s="21" t="str">
        <f aca="false">IFERROR(VLOOKUP(Variants!$B264,Designs!$A$3:$AP$165,12,FALSE())&amp;", enamel","")</f>
        <v>925 Silver Gold-Plated, enamel</v>
      </c>
      <c r="H263" s="21" t="str">
        <f aca="false">IF(Variants!$B264="","","I did")</f>
        <v>I did</v>
      </c>
      <c r="I263" s="21" t="str">
        <f aca="false">IF(Variants!$B264="","","Made to order")</f>
        <v>Made to order</v>
      </c>
      <c r="J263" s="21" t="str">
        <f aca="false">IF(Variants!$D264="","",Variants!$D264)</f>
        <v>Brooch</v>
      </c>
      <c r="K263" s="21" t="str">
        <f aca="false">IF(Variants!$Y264="","",Variants!$Y264)</f>
        <v/>
      </c>
      <c r="L263" s="21" t="str">
        <f aca="false">IF(Variants!$H264="","",Variants!$H264)</f>
        <v>turquoise</v>
      </c>
      <c r="M263" s="21" t="str">
        <f aca="false">IF(Variants!$G264="","",Variants!$G264)</f>
        <v/>
      </c>
    </row>
    <row r="264" customFormat="false" ht="15.75" hidden="false" customHeight="true" outlineLevel="0" collapsed="false">
      <c r="A264" s="21" t="str">
        <f aca="false">IF(Variants!$B265="","",Variants!$C265&amp;" — "&amp;Variants!$E265&amp;IF(Variants!$F265=""," "," "&amp;Variants!$F265)&amp;" — "&amp;Variants!$H265)</f>
        <v>Bird Letter Brooch — Alphabet Փ — turquoise</v>
      </c>
      <c r="B264" s="21" t="str">
        <f aca="false">IFERROR(IF(Variants!$B265="","",VLOOKUP(Variants!$B265,Designs!$A$3:$AP$165,9,FALSE())&amp;" Handmade in Armenia."),"")</f>
        <v>Bird letters are an ornamental medieval Armenian script where each letter is formed from stylised birds, used in illuminated manuscripts. Handmade in Armenia.</v>
      </c>
      <c r="C264" s="18" t="n">
        <f aca="false">IF(Variants!$J265="","",Variants!$J265)</f>
        <v>65</v>
      </c>
      <c r="D264" s="21" t="n">
        <f aca="false">IF(Variants!$O265="","",Variants!$O265)</f>
        <v>0</v>
      </c>
      <c r="E264" s="21" t="str">
        <f aca="false">Variants!$A265</f>
        <v>KARNI-BRCH-ALPHA-PYUR-TURQUOISE</v>
      </c>
      <c r="F264" s="21" t="str">
        <f aca="false">IF(Variants!$E265="","",Variants!$E265&amp;", Armenian, handmade, enamel, "&amp;Variants!$D265)</f>
        <v>Alphabet, Armenian, handmade, enamel, Brooch</v>
      </c>
      <c r="G264" s="21" t="str">
        <f aca="false">IFERROR(VLOOKUP(Variants!$B265,Designs!$A$3:$AP$165,12,FALSE())&amp;", enamel","")</f>
        <v>925 Silver Gold-Plated, enamel</v>
      </c>
      <c r="H264" s="21" t="str">
        <f aca="false">IF(Variants!$B265="","","I did")</f>
        <v>I did</v>
      </c>
      <c r="I264" s="21" t="str">
        <f aca="false">IF(Variants!$B265="","","Made to order")</f>
        <v>Made to order</v>
      </c>
      <c r="J264" s="21" t="str">
        <f aca="false">IF(Variants!$D265="","",Variants!$D265)</f>
        <v>Brooch</v>
      </c>
      <c r="K264" s="21" t="str">
        <f aca="false">IF(Variants!$Y265="","",Variants!$Y265)</f>
        <v/>
      </c>
      <c r="L264" s="21" t="str">
        <f aca="false">IF(Variants!$H265="","",Variants!$H265)</f>
        <v>turquoise</v>
      </c>
      <c r="M264" s="21" t="str">
        <f aca="false">IF(Variants!$G265="","",Variants!$G265)</f>
        <v/>
      </c>
    </row>
    <row r="265" customFormat="false" ht="15.75" hidden="false" customHeight="true" outlineLevel="0" collapsed="false">
      <c r="A265" s="21" t="str">
        <f aca="false">IF(Variants!$B266="","",Variants!$C266&amp;" — "&amp;Variants!$E266&amp;IF(Variants!$F266=""," "," "&amp;Variants!$F266)&amp;" — "&amp;Variants!$H266)</f>
        <v>Bird Letter Brooch — Alphabet Ք — turquoise</v>
      </c>
      <c r="B265" s="21" t="str">
        <f aca="false">IFERROR(IF(Variants!$B266="","",VLOOKUP(Variants!$B266,Designs!$A$3:$AP$165,9,FALSE())&amp;" Handmade in Armenia."),"")</f>
        <v>Bird letters are an ornamental medieval Armenian script where each letter is formed from stylised birds, used in illuminated manuscripts. Handmade in Armenia.</v>
      </c>
      <c r="C265" s="18" t="n">
        <f aca="false">IF(Variants!$J266="","",Variants!$J266)</f>
        <v>65</v>
      </c>
      <c r="D265" s="21" t="n">
        <f aca="false">IF(Variants!$O266="","",Variants!$O266)</f>
        <v>0</v>
      </c>
      <c r="E265" s="21" t="str">
        <f aca="false">Variants!$A266</f>
        <v>KARNI-BRCH-ALPHA-QEH-TURQUOISE</v>
      </c>
      <c r="F265" s="21" t="str">
        <f aca="false">IF(Variants!$E266="","",Variants!$E266&amp;", Armenian, handmade, enamel, "&amp;Variants!$D266)</f>
        <v>Alphabet, Armenian, handmade, enamel, Brooch</v>
      </c>
      <c r="G265" s="21" t="str">
        <f aca="false">IFERROR(VLOOKUP(Variants!$B266,Designs!$A$3:$AP$165,12,FALSE())&amp;", enamel","")</f>
        <v>925 Silver Gold-Plated, enamel</v>
      </c>
      <c r="H265" s="21" t="str">
        <f aca="false">IF(Variants!$B266="","","I did")</f>
        <v>I did</v>
      </c>
      <c r="I265" s="21" t="str">
        <f aca="false">IF(Variants!$B266="","","Made to order")</f>
        <v>Made to order</v>
      </c>
      <c r="J265" s="21" t="str">
        <f aca="false">IF(Variants!$D266="","",Variants!$D266)</f>
        <v>Brooch</v>
      </c>
      <c r="K265" s="21" t="str">
        <f aca="false">IF(Variants!$Y266="","",Variants!$Y266)</f>
        <v/>
      </c>
      <c r="L265" s="21" t="str">
        <f aca="false">IF(Variants!$H266="","",Variants!$H266)</f>
        <v>turquoise</v>
      </c>
      <c r="M265" s="21" t="str">
        <f aca="false">IF(Variants!$G266="","",Variants!$G266)</f>
        <v/>
      </c>
    </row>
    <row r="266" customFormat="false" ht="15.75" hidden="false" customHeight="true" outlineLevel="0" collapsed="false">
      <c r="A266" s="21" t="str">
        <f aca="false">IF(Variants!$B267="","",Variants!$C267&amp;" — "&amp;Variants!$E267&amp;IF(Variants!$F267=""," "," "&amp;Variants!$F267)&amp;" — "&amp;Variants!$H267)</f>
        <v>Bird Letter Brooch — Alphabet Օ — turquoise</v>
      </c>
      <c r="B266" s="21" t="str">
        <f aca="false">IFERROR(IF(Variants!$B267="","",VLOOKUP(Variants!$B267,Designs!$A$3:$AP$165,9,FALSE())&amp;" Handmade in Armenia."),"")</f>
        <v>Bird letters are an ornamental medieval Armenian script where each letter is formed from stylised birds, used in illuminated manuscripts. Handmade in Armenia.</v>
      </c>
      <c r="C266" s="18" t="n">
        <f aca="false">IF(Variants!$J267="","",Variants!$J267)</f>
        <v>65</v>
      </c>
      <c r="D266" s="21" t="n">
        <f aca="false">IF(Variants!$O267="","",Variants!$O267)</f>
        <v>0</v>
      </c>
      <c r="E266" s="21" t="str">
        <f aca="false">Variants!$A267</f>
        <v>KARNI-BRCH-ALPHA-OH-TURQUOISE</v>
      </c>
      <c r="F266" s="21" t="str">
        <f aca="false">IF(Variants!$E267="","",Variants!$E267&amp;", Armenian, handmade, enamel, "&amp;Variants!$D267)</f>
        <v>Alphabet, Armenian, handmade, enamel, Brooch</v>
      </c>
      <c r="G266" s="21" t="str">
        <f aca="false">IFERROR(VLOOKUP(Variants!$B267,Designs!$A$3:$AP$165,12,FALSE())&amp;", enamel","")</f>
        <v>925 Silver Gold-Plated, enamel</v>
      </c>
      <c r="H266" s="21" t="str">
        <f aca="false">IF(Variants!$B267="","","I did")</f>
        <v>I did</v>
      </c>
      <c r="I266" s="21" t="str">
        <f aca="false">IF(Variants!$B267="","","Made to order")</f>
        <v>Made to order</v>
      </c>
      <c r="J266" s="21" t="str">
        <f aca="false">IF(Variants!$D267="","",Variants!$D267)</f>
        <v>Brooch</v>
      </c>
      <c r="K266" s="21" t="str">
        <f aca="false">IF(Variants!$Y267="","",Variants!$Y267)</f>
        <v/>
      </c>
      <c r="L266" s="21" t="str">
        <f aca="false">IF(Variants!$H267="","",Variants!$H267)</f>
        <v>turquoise</v>
      </c>
      <c r="M266" s="21" t="str">
        <f aca="false">IF(Variants!$G267="","",Variants!$G267)</f>
        <v/>
      </c>
    </row>
    <row r="267" customFormat="false" ht="15.75" hidden="false" customHeight="true" outlineLevel="0" collapsed="false">
      <c r="A267" s="21" t="str">
        <f aca="false">IF(Variants!$B268="","",Variants!$C268&amp;" — "&amp;Variants!$E268&amp;IF(Variants!$F268=""," "," "&amp;Variants!$F268)&amp;" — "&amp;Variants!$H268)</f>
        <v>Bird Letter Brooch — Alphabet Ֆ — turquoise</v>
      </c>
      <c r="B267" s="21" t="str">
        <f aca="false">IFERROR(IF(Variants!$B268="","",VLOOKUP(Variants!$B268,Designs!$A$3:$AP$165,9,FALSE())&amp;" Handmade in Armenia."),"")</f>
        <v>Bird letters are an ornamental medieval Armenian script where each letter is formed from stylised birds, used in illuminated manuscripts. Handmade in Armenia.</v>
      </c>
      <c r="C267" s="18" t="n">
        <f aca="false">IF(Variants!$J268="","",Variants!$J268)</f>
        <v>65</v>
      </c>
      <c r="D267" s="21" t="n">
        <f aca="false">IF(Variants!$O268="","",Variants!$O268)</f>
        <v>0</v>
      </c>
      <c r="E267" s="21" t="str">
        <f aca="false">Variants!$A268</f>
        <v>KARNI-BRCH-ALPHA-FEH-TURQUOISE</v>
      </c>
      <c r="F267" s="21" t="str">
        <f aca="false">IF(Variants!$E268="","",Variants!$E268&amp;", Armenian, handmade, enamel, "&amp;Variants!$D268)</f>
        <v>Alphabet, Armenian, handmade, enamel, Brooch</v>
      </c>
      <c r="G267" s="21" t="str">
        <f aca="false">IFERROR(VLOOKUP(Variants!$B268,Designs!$A$3:$AP$165,12,FALSE())&amp;", enamel","")</f>
        <v>925 Silver Gold-Plated, enamel</v>
      </c>
      <c r="H267" s="21" t="str">
        <f aca="false">IF(Variants!$B268="","","I did")</f>
        <v>I did</v>
      </c>
      <c r="I267" s="21" t="str">
        <f aca="false">IF(Variants!$B268="","","Made to order")</f>
        <v>Made to order</v>
      </c>
      <c r="J267" s="21" t="str">
        <f aca="false">IF(Variants!$D268="","",Variants!$D268)</f>
        <v>Brooch</v>
      </c>
      <c r="K267" s="21" t="str">
        <f aca="false">IF(Variants!$Y268="","",Variants!$Y268)</f>
        <v/>
      </c>
      <c r="L267" s="21" t="str">
        <f aca="false">IF(Variants!$H268="","",Variants!$H268)</f>
        <v>turquoise</v>
      </c>
      <c r="M267" s="21" t="str">
        <f aca="false">IF(Variants!$G268="","",Variants!$G268)</f>
        <v/>
      </c>
    </row>
    <row r="268" customFormat="false" ht="15.75" hidden="false" customHeight="true" outlineLevel="0" collapsed="false">
      <c r="A268" s="21" t="str">
        <f aca="false">IF(Variants!$B269="","",Variants!$C269&amp;" — "&amp;Variants!$E269&amp;IF(Variants!$F269=""," "," "&amp;Variants!$F269)&amp;" — "&amp;Variants!$H269)</f>
        <v>Marash Earrings — Marash  — blue</v>
      </c>
      <c r="B268" s="21" t="str">
        <f aca="false">IFERROR(IF(Variants!$B269="","",VLOOKUP(Variants!$B269,Designs!$A$3:$AP$165,9,FALSE())&amp;" Handmade in Armenia."),"")</f>
        <v>Marash-work is a distinctive Armenian embroidery style from Cilician Marash, known for its interlaced geometric patterns. Handmade in Armenia.</v>
      </c>
      <c r="C268" s="18" t="n">
        <f aca="false">IF(Variants!$J269="","",Variants!$J269)</f>
        <v>33.8</v>
      </c>
      <c r="D268" s="21" t="n">
        <f aca="false">IF(Variants!$O269="","",Variants!$O269)</f>
        <v>0</v>
      </c>
      <c r="E268" s="21" t="str">
        <f aca="false">Variants!$A269</f>
        <v>KARNI-EARRNG-MARASH-S-BLUE</v>
      </c>
      <c r="F268" s="21" t="str">
        <f aca="false">IF(Variants!$E269="","",Variants!$E269&amp;", Armenian, handmade, enamel, "&amp;Variants!$D269)</f>
        <v>Marash, Armenian, handmade, enamel, Earring</v>
      </c>
      <c r="G268" s="21" t="str">
        <f aca="false">IFERROR(VLOOKUP(Variants!$B269,Designs!$A$3:$AP$165,12,FALSE())&amp;", enamel","")</f>
        <v>925 Silver Gold-Plated, enamel</v>
      </c>
      <c r="H268" s="21" t="str">
        <f aca="false">IF(Variants!$B269="","","I did")</f>
        <v>I did</v>
      </c>
      <c r="I268" s="21" t="str">
        <f aca="false">IF(Variants!$B269="","","Made to order")</f>
        <v>Made to order</v>
      </c>
      <c r="J268" s="21" t="str">
        <f aca="false">IF(Variants!$D269="","",Variants!$D269)</f>
        <v>Earring</v>
      </c>
      <c r="K268" s="21" t="str">
        <f aca="false">IF(Variants!$Y269="","",Variants!$Y269)</f>
        <v/>
      </c>
      <c r="L268" s="21" t="str">
        <f aca="false">IF(Variants!$H269="","",Variants!$H269)</f>
        <v>blue</v>
      </c>
      <c r="M268" s="21" t="str">
        <f aca="false">IF(Variants!$G269="","",Variants!$G269)</f>
        <v>small</v>
      </c>
    </row>
    <row r="269" customFormat="false" ht="15.75" hidden="false" customHeight="true" outlineLevel="0" collapsed="false">
      <c r="A269" s="21" t="str">
        <f aca="false">IF(Variants!$B270="","",Variants!$C270&amp;" — "&amp;Variants!$E270&amp;IF(Variants!$F270=""," "," "&amp;Variants!$F270)&amp;" — "&amp;Variants!$H270)</f>
        <v>Marash Earrings — Marash  — white</v>
      </c>
      <c r="B269" s="21" t="str">
        <f aca="false">IFERROR(IF(Variants!$B270="","",VLOOKUP(Variants!$B270,Designs!$A$3:$AP$165,9,FALSE())&amp;" Handmade in Armenia."),"")</f>
        <v>Marash-work is a distinctive Armenian embroidery style from Cilician Marash, known for its interlaced geometric patterns. Handmade in Armenia.</v>
      </c>
      <c r="C269" s="18" t="n">
        <f aca="false">IF(Variants!$J270="","",Variants!$J270)</f>
        <v>33.8</v>
      </c>
      <c r="D269" s="21" t="n">
        <f aca="false">IF(Variants!$O270="","",Variants!$O270)</f>
        <v>0</v>
      </c>
      <c r="E269" s="21" t="str">
        <f aca="false">Variants!$A270</f>
        <v>KARNI-EARRNG-MARASH-S-WHITE</v>
      </c>
      <c r="F269" s="21" t="str">
        <f aca="false">IF(Variants!$E270="","",Variants!$E270&amp;", Armenian, handmade, enamel, "&amp;Variants!$D270)</f>
        <v>Marash, Armenian, handmade, enamel, Earring</v>
      </c>
      <c r="G269" s="21" t="str">
        <f aca="false">IFERROR(VLOOKUP(Variants!$B270,Designs!$A$3:$AP$165,12,FALSE())&amp;", enamel","")</f>
        <v>925 Silver Gold-Plated, enamel</v>
      </c>
      <c r="H269" s="21" t="str">
        <f aca="false">IF(Variants!$B270="","","I did")</f>
        <v>I did</v>
      </c>
      <c r="I269" s="21" t="str">
        <f aca="false">IF(Variants!$B270="","","Made to order")</f>
        <v>Made to order</v>
      </c>
      <c r="J269" s="21" t="str">
        <f aca="false">IF(Variants!$D270="","",Variants!$D270)</f>
        <v>Earring</v>
      </c>
      <c r="K269" s="21" t="str">
        <f aca="false">IF(Variants!$Y270="","",Variants!$Y270)</f>
        <v/>
      </c>
      <c r="L269" s="21" t="str">
        <f aca="false">IF(Variants!$H270="","",Variants!$H270)</f>
        <v>white</v>
      </c>
      <c r="M269" s="21" t="str">
        <f aca="false">IF(Variants!$G270="","",Variants!$G270)</f>
        <v>small</v>
      </c>
    </row>
    <row r="270" customFormat="false" ht="15.75" hidden="false" customHeight="true" outlineLevel="0" collapsed="false">
      <c r="A270" s="21" t="str">
        <f aca="false">IF(Variants!$B271="","",Variants!$C271&amp;" — "&amp;Variants!$E271&amp;IF(Variants!$F271=""," "," "&amp;Variants!$F271)&amp;" — "&amp;Variants!$H271)</f>
        <v>Marash Earrings — Marash  — bordeaux</v>
      </c>
      <c r="B270" s="21" t="str">
        <f aca="false">IFERROR(IF(Variants!$B271="","",VLOOKUP(Variants!$B271,Designs!$A$3:$AP$165,9,FALSE())&amp;" Handmade in Armenia."),"")</f>
        <v>Marash-work is a distinctive Armenian embroidery style from Cilician Marash, known for its interlaced geometric patterns. Handmade in Armenia.</v>
      </c>
      <c r="C270" s="18" t="n">
        <f aca="false">IF(Variants!$J271="","",Variants!$J271)</f>
        <v>33.8</v>
      </c>
      <c r="D270" s="21" t="n">
        <f aca="false">IF(Variants!$O271="","",Variants!$O271)</f>
        <v>0</v>
      </c>
      <c r="E270" s="21" t="str">
        <f aca="false">Variants!$A271</f>
        <v>KARNI-EARRNG-MARASH-S-BORDEAUX</v>
      </c>
      <c r="F270" s="21" t="str">
        <f aca="false">IF(Variants!$E271="","",Variants!$E271&amp;", Armenian, handmade, enamel, "&amp;Variants!$D271)</f>
        <v>Marash, Armenian, handmade, enamel, Earring</v>
      </c>
      <c r="G270" s="21" t="str">
        <f aca="false">IFERROR(VLOOKUP(Variants!$B271,Designs!$A$3:$AP$165,12,FALSE())&amp;", enamel","")</f>
        <v>925 Silver Gold-Plated, enamel</v>
      </c>
      <c r="H270" s="21" t="str">
        <f aca="false">IF(Variants!$B271="","","I did")</f>
        <v>I did</v>
      </c>
      <c r="I270" s="21" t="str">
        <f aca="false">IF(Variants!$B271="","","Made to order")</f>
        <v>Made to order</v>
      </c>
      <c r="J270" s="21" t="str">
        <f aca="false">IF(Variants!$D271="","",Variants!$D271)</f>
        <v>Earring</v>
      </c>
      <c r="K270" s="21" t="str">
        <f aca="false">IF(Variants!$Y271="","",Variants!$Y271)</f>
        <v/>
      </c>
      <c r="L270" s="21" t="str">
        <f aca="false">IF(Variants!$H271="","",Variants!$H271)</f>
        <v>bordeaux</v>
      </c>
      <c r="M270" s="21" t="str">
        <f aca="false">IF(Variants!$G271="","",Variants!$G271)</f>
        <v>small</v>
      </c>
    </row>
    <row r="271" customFormat="false" ht="15.75" hidden="false" customHeight="true" outlineLevel="0" collapsed="false">
      <c r="A271" s="21" t="str">
        <f aca="false">IF(Variants!$B272="","",Variants!$C272&amp;" — "&amp;Variants!$E272&amp;IF(Variants!$F272=""," "," "&amp;Variants!$F272)&amp;" — "&amp;Variants!$H272)</f>
        <v>Marash Earrings — Marash  — turquoise</v>
      </c>
      <c r="B271" s="21" t="str">
        <f aca="false">IFERROR(IF(Variants!$B272="","",VLOOKUP(Variants!$B272,Designs!$A$3:$AP$165,9,FALSE())&amp;" Handmade in Armenia."),"")</f>
        <v>Marash-work is a distinctive Armenian embroidery style from Cilician Marash, known for its interlaced geometric patterns. Handmade in Armenia.</v>
      </c>
      <c r="C271" s="18" t="n">
        <f aca="false">IF(Variants!$J272="","",Variants!$J272)</f>
        <v>33.8</v>
      </c>
      <c r="D271" s="21" t="n">
        <f aca="false">IF(Variants!$O272="","",Variants!$O272)</f>
        <v>0</v>
      </c>
      <c r="E271" s="21" t="str">
        <f aca="false">Variants!$A272</f>
        <v>KARNI-EARRNG-MARASH-S-TURQUOISE</v>
      </c>
      <c r="F271" s="21" t="str">
        <f aca="false">IF(Variants!$E272="","",Variants!$E272&amp;", Armenian, handmade, enamel, "&amp;Variants!$D272)</f>
        <v>Marash, Armenian, handmade, enamel, Earring</v>
      </c>
      <c r="G271" s="21" t="str">
        <f aca="false">IFERROR(VLOOKUP(Variants!$B272,Designs!$A$3:$AP$165,12,FALSE())&amp;", enamel","")</f>
        <v>925 Silver Gold-Plated, enamel</v>
      </c>
      <c r="H271" s="21" t="str">
        <f aca="false">IF(Variants!$B272="","","I did")</f>
        <v>I did</v>
      </c>
      <c r="I271" s="21" t="str">
        <f aca="false">IF(Variants!$B272="","","Made to order")</f>
        <v>Made to order</v>
      </c>
      <c r="J271" s="21" t="str">
        <f aca="false">IF(Variants!$D272="","",Variants!$D272)</f>
        <v>Earring</v>
      </c>
      <c r="K271" s="21" t="str">
        <f aca="false">IF(Variants!$Y272="","",Variants!$Y272)</f>
        <v/>
      </c>
      <c r="L271" s="21" t="str">
        <f aca="false">IF(Variants!$H272="","",Variants!$H272)</f>
        <v>turquoise</v>
      </c>
      <c r="M271" s="21" t="str">
        <f aca="false">IF(Variants!$G272="","",Variants!$G272)</f>
        <v>small</v>
      </c>
    </row>
    <row r="272" customFormat="false" ht="15.75" hidden="false" customHeight="true" outlineLevel="0" collapsed="false">
      <c r="A272" s="21" t="str">
        <f aca="false">IF(Variants!$B273="","",Variants!$C273&amp;" — "&amp;Variants!$E273&amp;IF(Variants!$F273=""," "," "&amp;Variants!$F273)&amp;" — "&amp;Variants!$H273)</f>
        <v>Marash Earrings — Marash  — green</v>
      </c>
      <c r="B272" s="21" t="str">
        <f aca="false">IFERROR(IF(Variants!$B273="","",VLOOKUP(Variants!$B273,Designs!$A$3:$AP$165,9,FALSE())&amp;" Handmade in Armenia."),"")</f>
        <v>Marash-work is a distinctive Armenian embroidery style from Cilician Marash, known for its interlaced geometric patterns. Handmade in Armenia.</v>
      </c>
      <c r="C272" s="18" t="n">
        <f aca="false">IF(Variants!$J273="","",Variants!$J273)</f>
        <v>33.8</v>
      </c>
      <c r="D272" s="21" t="n">
        <f aca="false">IF(Variants!$O273="","",Variants!$O273)</f>
        <v>0</v>
      </c>
      <c r="E272" s="21" t="str">
        <f aca="false">Variants!$A273</f>
        <v>KARNI-EARRNG-MARASH-S-GREEN</v>
      </c>
      <c r="F272" s="21" t="str">
        <f aca="false">IF(Variants!$E273="","",Variants!$E273&amp;", Armenian, handmade, enamel, "&amp;Variants!$D273)</f>
        <v>Marash, Armenian, handmade, enamel, Earring</v>
      </c>
      <c r="G272" s="21" t="str">
        <f aca="false">IFERROR(VLOOKUP(Variants!$B273,Designs!$A$3:$AP$165,12,FALSE())&amp;", enamel","")</f>
        <v>925 Silver Gold-Plated, enamel</v>
      </c>
      <c r="H272" s="21" t="str">
        <f aca="false">IF(Variants!$B273="","","I did")</f>
        <v>I did</v>
      </c>
      <c r="I272" s="21" t="str">
        <f aca="false">IF(Variants!$B273="","","Made to order")</f>
        <v>Made to order</v>
      </c>
      <c r="J272" s="21" t="str">
        <f aca="false">IF(Variants!$D273="","",Variants!$D273)</f>
        <v>Earring</v>
      </c>
      <c r="K272" s="21" t="str">
        <f aca="false">IF(Variants!$Y273="","",Variants!$Y273)</f>
        <v/>
      </c>
      <c r="L272" s="21" t="str">
        <f aca="false">IF(Variants!$H273="","",Variants!$H273)</f>
        <v>green</v>
      </c>
      <c r="M272" s="21" t="str">
        <f aca="false">IF(Variants!$G273="","",Variants!$G273)</f>
        <v>small</v>
      </c>
    </row>
    <row r="273" customFormat="false" ht="15.75" hidden="false" customHeight="true" outlineLevel="0" collapsed="false">
      <c r="A273" s="21" t="str">
        <f aca="false">IF(Variants!$B274="","",Variants!$C274&amp;" — "&amp;Variants!$E274&amp;IF(Variants!$F274=""," "," "&amp;Variants!$F274)&amp;" — "&amp;Variants!$H274)</f>
        <v>Marash Earrings — Marash  — blue-white</v>
      </c>
      <c r="B273" s="21" t="str">
        <f aca="false">IFERROR(IF(Variants!$B274="","",VLOOKUP(Variants!$B274,Designs!$A$3:$AP$165,9,FALSE())&amp;" Handmade in Armenia."),"")</f>
        <v>Marash-work is a distinctive Armenian embroidery style from Cilician Marash, known for its interlaced geometric patterns. Handmade in Armenia.</v>
      </c>
      <c r="C273" s="18" t="n">
        <f aca="false">IF(Variants!$J274="","",Variants!$J274)</f>
        <v>70.2</v>
      </c>
      <c r="D273" s="21" t="n">
        <f aca="false">IF(Variants!$O274="","",Variants!$O274)</f>
        <v>0</v>
      </c>
      <c r="E273" s="21" t="str">
        <f aca="false">Variants!$A274</f>
        <v>KARNI-EARRNG-MARASH-M-BLUE-WHITE</v>
      </c>
      <c r="F273" s="21" t="str">
        <f aca="false">IF(Variants!$E274="","",Variants!$E274&amp;", Armenian, handmade, enamel, "&amp;Variants!$D274)</f>
        <v>Marash, Armenian, handmade, enamel, Earring</v>
      </c>
      <c r="G273" s="21" t="str">
        <f aca="false">IFERROR(VLOOKUP(Variants!$B274,Designs!$A$3:$AP$165,12,FALSE())&amp;", enamel","")</f>
        <v>925 Silver Gold-Plated, enamel</v>
      </c>
      <c r="H273" s="21" t="str">
        <f aca="false">IF(Variants!$B274="","","I did")</f>
        <v>I did</v>
      </c>
      <c r="I273" s="21" t="str">
        <f aca="false">IF(Variants!$B274="","","Made to order")</f>
        <v>Made to order</v>
      </c>
      <c r="J273" s="21" t="str">
        <f aca="false">IF(Variants!$D274="","",Variants!$D274)</f>
        <v>Earring</v>
      </c>
      <c r="K273" s="21" t="str">
        <f aca="false">IF(Variants!$Y274="","",Variants!$Y274)</f>
        <v/>
      </c>
      <c r="L273" s="21" t="str">
        <f aca="false">IF(Variants!$H274="","",Variants!$H274)</f>
        <v>blue-white</v>
      </c>
      <c r="M273" s="21" t="str">
        <f aca="false">IF(Variants!$G274="","",Variants!$G274)</f>
        <v>medium</v>
      </c>
    </row>
    <row r="274" customFormat="false" ht="15.75" hidden="false" customHeight="true" outlineLevel="0" collapsed="false">
      <c r="A274" s="21" t="str">
        <f aca="false">IF(Variants!$B275="","",Variants!$C275&amp;" — "&amp;Variants!$E275&amp;IF(Variants!$F275=""," "," "&amp;Variants!$F275)&amp;" — "&amp;Variants!$H275)</f>
        <v>Marash Earrings — Marash  — white-blue</v>
      </c>
      <c r="B274" s="21" t="str">
        <f aca="false">IFERROR(IF(Variants!$B275="","",VLOOKUP(Variants!$B275,Designs!$A$3:$AP$165,9,FALSE())&amp;" Handmade in Armenia."),"")</f>
        <v>Marash-work is a distinctive Armenian embroidery style from Cilician Marash, known for its interlaced geometric patterns. Handmade in Armenia.</v>
      </c>
      <c r="C274" s="18" t="n">
        <f aca="false">IF(Variants!$J275="","",Variants!$J275)</f>
        <v>70.2</v>
      </c>
      <c r="D274" s="21" t="n">
        <f aca="false">IF(Variants!$O275="","",Variants!$O275)</f>
        <v>0</v>
      </c>
      <c r="E274" s="21" t="str">
        <f aca="false">Variants!$A275</f>
        <v>KARNI-EARRNG-MARASH-M-WHITE-BLUE</v>
      </c>
      <c r="F274" s="21" t="str">
        <f aca="false">IF(Variants!$E275="","",Variants!$E275&amp;", Armenian, handmade, enamel, "&amp;Variants!$D275)</f>
        <v>Marash, Armenian, handmade, enamel, Earring</v>
      </c>
      <c r="G274" s="21" t="str">
        <f aca="false">IFERROR(VLOOKUP(Variants!$B275,Designs!$A$3:$AP$165,12,FALSE())&amp;", enamel","")</f>
        <v>925 Silver Gold-Plated, enamel</v>
      </c>
      <c r="H274" s="21" t="str">
        <f aca="false">IF(Variants!$B275="","","I did")</f>
        <v>I did</v>
      </c>
      <c r="I274" s="21" t="str">
        <f aca="false">IF(Variants!$B275="","","Made to order")</f>
        <v>Made to order</v>
      </c>
      <c r="J274" s="21" t="str">
        <f aca="false">IF(Variants!$D275="","",Variants!$D275)</f>
        <v>Earring</v>
      </c>
      <c r="K274" s="21" t="str">
        <f aca="false">IF(Variants!$Y275="","",Variants!$Y275)</f>
        <v/>
      </c>
      <c r="L274" s="21" t="str">
        <f aca="false">IF(Variants!$H275="","",Variants!$H275)</f>
        <v>white-blue</v>
      </c>
      <c r="M274" s="21" t="str">
        <f aca="false">IF(Variants!$G275="","",Variants!$G275)</f>
        <v>medium</v>
      </c>
    </row>
    <row r="275" customFormat="false" ht="15.75" hidden="false" customHeight="true" outlineLevel="0" collapsed="false">
      <c r="A275" s="21" t="str">
        <f aca="false">IF(Variants!$B276="","",Variants!$C276&amp;" — "&amp;Variants!$E276&amp;IF(Variants!$F276=""," "," "&amp;Variants!$F276)&amp;" — "&amp;Variants!$H276)</f>
        <v>Marash Earrings — Marash  — white-bordeaux</v>
      </c>
      <c r="B275" s="21" t="str">
        <f aca="false">IFERROR(IF(Variants!$B276="","",VLOOKUP(Variants!$B276,Designs!$A$3:$AP$165,9,FALSE())&amp;" Handmade in Armenia."),"")</f>
        <v>Marash-work is a distinctive Armenian embroidery style from Cilician Marash, known for its interlaced geometric patterns. Handmade in Armenia.</v>
      </c>
      <c r="C275" s="18" t="n">
        <f aca="false">IF(Variants!$J276="","",Variants!$J276)</f>
        <v>70.2</v>
      </c>
      <c r="D275" s="21" t="n">
        <f aca="false">IF(Variants!$O276="","",Variants!$O276)</f>
        <v>0</v>
      </c>
      <c r="E275" s="21" t="str">
        <f aca="false">Variants!$A276</f>
        <v>KARNI-EARRNG-MARASH-M-WHITE-BORDEAUX</v>
      </c>
      <c r="F275" s="21" t="str">
        <f aca="false">IF(Variants!$E276="","",Variants!$E276&amp;", Armenian, handmade, enamel, "&amp;Variants!$D276)</f>
        <v>Marash, Armenian, handmade, enamel, Earring</v>
      </c>
      <c r="G275" s="21" t="str">
        <f aca="false">IFERROR(VLOOKUP(Variants!$B276,Designs!$A$3:$AP$165,12,FALSE())&amp;", enamel","")</f>
        <v>925 Silver Gold-Plated, enamel</v>
      </c>
      <c r="H275" s="21" t="str">
        <f aca="false">IF(Variants!$B276="","","I did")</f>
        <v>I did</v>
      </c>
      <c r="I275" s="21" t="str">
        <f aca="false">IF(Variants!$B276="","","Made to order")</f>
        <v>Made to order</v>
      </c>
      <c r="J275" s="21" t="str">
        <f aca="false">IF(Variants!$D276="","",Variants!$D276)</f>
        <v>Earring</v>
      </c>
      <c r="K275" s="21" t="str">
        <f aca="false">IF(Variants!$Y276="","",Variants!$Y276)</f>
        <v/>
      </c>
      <c r="L275" s="21" t="str">
        <f aca="false">IF(Variants!$H276="","",Variants!$H276)</f>
        <v>white-bordeaux</v>
      </c>
      <c r="M275" s="21" t="str">
        <f aca="false">IF(Variants!$G276="","",Variants!$G276)</f>
        <v>medium</v>
      </c>
    </row>
    <row r="276" customFormat="false" ht="15.75" hidden="false" customHeight="true" outlineLevel="0" collapsed="false">
      <c r="A276" s="21" t="str">
        <f aca="false">IF(Variants!$B277="","",Variants!$C277&amp;" — "&amp;Variants!$E277&amp;IF(Variants!$F277=""," "," "&amp;Variants!$F277)&amp;" — "&amp;Variants!$H277)</f>
        <v>Marash Earrings — Marash  — turquoise-blue</v>
      </c>
      <c r="B276" s="21" t="str">
        <f aca="false">IFERROR(IF(Variants!$B277="","",VLOOKUP(Variants!$B277,Designs!$A$3:$AP$165,9,FALSE())&amp;" Handmade in Armenia."),"")</f>
        <v>Marash-work is a distinctive Armenian embroidery style from Cilician Marash, known for its interlaced geometric patterns. Handmade in Armenia.</v>
      </c>
      <c r="C276" s="18" t="n">
        <f aca="false">IF(Variants!$J277="","",Variants!$J277)</f>
        <v>70.2</v>
      </c>
      <c r="D276" s="21" t="n">
        <f aca="false">IF(Variants!$O277="","",Variants!$O277)</f>
        <v>0</v>
      </c>
      <c r="E276" s="21" t="str">
        <f aca="false">Variants!$A277</f>
        <v>KARNI-EARRNG-MARASH-M-TURQUOISE-BLUE</v>
      </c>
      <c r="F276" s="21" t="str">
        <f aca="false">IF(Variants!$E277="","",Variants!$E277&amp;", Armenian, handmade, enamel, "&amp;Variants!$D277)</f>
        <v>Marash, Armenian, handmade, enamel, Earring</v>
      </c>
      <c r="G276" s="21" t="str">
        <f aca="false">IFERROR(VLOOKUP(Variants!$B277,Designs!$A$3:$AP$165,12,FALSE())&amp;", enamel","")</f>
        <v>925 Silver Gold-Plated, enamel</v>
      </c>
      <c r="H276" s="21" t="str">
        <f aca="false">IF(Variants!$B277="","","I did")</f>
        <v>I did</v>
      </c>
      <c r="I276" s="21" t="str">
        <f aca="false">IF(Variants!$B277="","","Made to order")</f>
        <v>Made to order</v>
      </c>
      <c r="J276" s="21" t="str">
        <f aca="false">IF(Variants!$D277="","",Variants!$D277)</f>
        <v>Earring</v>
      </c>
      <c r="K276" s="21" t="str">
        <f aca="false">IF(Variants!$Y277="","",Variants!$Y277)</f>
        <v/>
      </c>
      <c r="L276" s="21" t="str">
        <f aca="false">IF(Variants!$H277="","",Variants!$H277)</f>
        <v>turquoise-blue</v>
      </c>
      <c r="M276" s="21" t="str">
        <f aca="false">IF(Variants!$G277="","",Variants!$G277)</f>
        <v>medium</v>
      </c>
    </row>
    <row r="277" customFormat="false" ht="15.75" hidden="false" customHeight="true" outlineLevel="0" collapsed="false">
      <c r="A277" s="21" t="str">
        <f aca="false">IF(Variants!$B278="","",Variants!$C278&amp;" — "&amp;Variants!$E278&amp;IF(Variants!$F278=""," "," "&amp;Variants!$F278)&amp;" — "&amp;Variants!$H278)</f>
        <v>Van Earrings — Van  — blue</v>
      </c>
      <c r="B277" s="21" t="str">
        <f aca="false">IFERROR(IF(Variants!$B278="","",VLOOKUP(Variants!$B278,Designs!$A$3:$AP$165,9,FALSE())&amp;" Handmade in Armenia."),"")</f>
        <v>Motifs from the Van/Vaspurakan region, echoing the ornament of the Lake Van heartland of historic Armenia. Handmade in Armenia.</v>
      </c>
      <c r="C277" s="18" t="n">
        <f aca="false">IF(Variants!$J278="","",Variants!$J278)</f>
        <v>33.8</v>
      </c>
      <c r="D277" s="21" t="n">
        <f aca="false">IF(Variants!$O278="","",Variants!$O278)</f>
        <v>0</v>
      </c>
      <c r="E277" s="21" t="str">
        <f aca="false">Variants!$A278</f>
        <v>KARNI-EARRNG-VAN-S-BLUE</v>
      </c>
      <c r="F277" s="21" t="str">
        <f aca="false">IF(Variants!$E278="","",Variants!$E278&amp;", Armenian, handmade, enamel, "&amp;Variants!$D278)</f>
        <v>Van, Armenian, handmade, enamel, Earring</v>
      </c>
      <c r="G277" s="21" t="str">
        <f aca="false">IFERROR(VLOOKUP(Variants!$B278,Designs!$A$3:$AP$165,12,FALSE())&amp;", enamel","")</f>
        <v>925 Silver Gold-Plated, enamel</v>
      </c>
      <c r="H277" s="21" t="str">
        <f aca="false">IF(Variants!$B278="","","I did")</f>
        <v>I did</v>
      </c>
      <c r="I277" s="21" t="str">
        <f aca="false">IF(Variants!$B278="","","Made to order")</f>
        <v>Made to order</v>
      </c>
      <c r="J277" s="21" t="str">
        <f aca="false">IF(Variants!$D278="","",Variants!$D278)</f>
        <v>Earring</v>
      </c>
      <c r="K277" s="21" t="str">
        <f aca="false">IF(Variants!$Y278="","",Variants!$Y278)</f>
        <v/>
      </c>
      <c r="L277" s="21" t="str">
        <f aca="false">IF(Variants!$H278="","",Variants!$H278)</f>
        <v>blue</v>
      </c>
      <c r="M277" s="21" t="str">
        <f aca="false">IF(Variants!$G278="","",Variants!$G278)</f>
        <v>small</v>
      </c>
    </row>
    <row r="278" customFormat="false" ht="15.75" hidden="false" customHeight="true" outlineLevel="0" collapsed="false">
      <c r="A278" s="21" t="str">
        <f aca="false">IF(Variants!$B279="","",Variants!$C279&amp;" — "&amp;Variants!$E279&amp;IF(Variants!$F279=""," "," "&amp;Variants!$F279)&amp;" — "&amp;Variants!$H279)</f>
        <v>Van Earrings — Van  — white</v>
      </c>
      <c r="B278" s="21" t="str">
        <f aca="false">IFERROR(IF(Variants!$B279="","",VLOOKUP(Variants!$B279,Designs!$A$3:$AP$165,9,FALSE())&amp;" Handmade in Armenia."),"")</f>
        <v>Motifs from the Van/Vaspurakan region, echoing the ornament of the Lake Van heartland of historic Armenia. Handmade in Armenia.</v>
      </c>
      <c r="C278" s="18" t="n">
        <f aca="false">IF(Variants!$J279="","",Variants!$J279)</f>
        <v>33.8</v>
      </c>
      <c r="D278" s="21" t="n">
        <f aca="false">IF(Variants!$O279="","",Variants!$O279)</f>
        <v>0</v>
      </c>
      <c r="E278" s="21" t="str">
        <f aca="false">Variants!$A279</f>
        <v>KARNI-EARRNG-VAN-S-WHITE</v>
      </c>
      <c r="F278" s="21" t="str">
        <f aca="false">IF(Variants!$E279="","",Variants!$E279&amp;", Armenian, handmade, enamel, "&amp;Variants!$D279)</f>
        <v>Van, Armenian, handmade, enamel, Earring</v>
      </c>
      <c r="G278" s="21" t="str">
        <f aca="false">IFERROR(VLOOKUP(Variants!$B279,Designs!$A$3:$AP$165,12,FALSE())&amp;", enamel","")</f>
        <v>925 Silver Gold-Plated, enamel</v>
      </c>
      <c r="H278" s="21" t="str">
        <f aca="false">IF(Variants!$B279="","","I did")</f>
        <v>I did</v>
      </c>
      <c r="I278" s="21" t="str">
        <f aca="false">IF(Variants!$B279="","","Made to order")</f>
        <v>Made to order</v>
      </c>
      <c r="J278" s="21" t="str">
        <f aca="false">IF(Variants!$D279="","",Variants!$D279)</f>
        <v>Earring</v>
      </c>
      <c r="K278" s="21" t="str">
        <f aca="false">IF(Variants!$Y279="","",Variants!$Y279)</f>
        <v/>
      </c>
      <c r="L278" s="21" t="str">
        <f aca="false">IF(Variants!$H279="","",Variants!$H279)</f>
        <v>white</v>
      </c>
      <c r="M278" s="21" t="str">
        <f aca="false">IF(Variants!$G279="","",Variants!$G279)</f>
        <v>small</v>
      </c>
    </row>
    <row r="279" customFormat="false" ht="15.75" hidden="false" customHeight="true" outlineLevel="0" collapsed="false">
      <c r="A279" s="21" t="str">
        <f aca="false">IF(Variants!$B280="","",Variants!$C280&amp;" — "&amp;Variants!$E280&amp;IF(Variants!$F280=""," "," "&amp;Variants!$F280)&amp;" — "&amp;Variants!$H280)</f>
        <v>Van Earrings — Van  — bordeaux</v>
      </c>
      <c r="B279" s="21" t="str">
        <f aca="false">IFERROR(IF(Variants!$B280="","",VLOOKUP(Variants!$B280,Designs!$A$3:$AP$165,9,FALSE())&amp;" Handmade in Armenia."),"")</f>
        <v>Motifs from the Van/Vaspurakan region, echoing the ornament of the Lake Van heartland of historic Armenia. Handmade in Armenia.</v>
      </c>
      <c r="C279" s="18" t="n">
        <f aca="false">IF(Variants!$J280="","",Variants!$J280)</f>
        <v>33.8</v>
      </c>
      <c r="D279" s="21" t="n">
        <f aca="false">IF(Variants!$O280="","",Variants!$O280)</f>
        <v>0</v>
      </c>
      <c r="E279" s="21" t="str">
        <f aca="false">Variants!$A280</f>
        <v>KARNI-EARRNG-VAN-S-BORDEAUX</v>
      </c>
      <c r="F279" s="21" t="str">
        <f aca="false">IF(Variants!$E280="","",Variants!$E280&amp;", Armenian, handmade, enamel, "&amp;Variants!$D280)</f>
        <v>Van, Armenian, handmade, enamel, Earring</v>
      </c>
      <c r="G279" s="21" t="str">
        <f aca="false">IFERROR(VLOOKUP(Variants!$B280,Designs!$A$3:$AP$165,12,FALSE())&amp;", enamel","")</f>
        <v>925 Silver Gold-Plated, enamel</v>
      </c>
      <c r="H279" s="21" t="str">
        <f aca="false">IF(Variants!$B280="","","I did")</f>
        <v>I did</v>
      </c>
      <c r="I279" s="21" t="str">
        <f aca="false">IF(Variants!$B280="","","Made to order")</f>
        <v>Made to order</v>
      </c>
      <c r="J279" s="21" t="str">
        <f aca="false">IF(Variants!$D280="","",Variants!$D280)</f>
        <v>Earring</v>
      </c>
      <c r="K279" s="21" t="str">
        <f aca="false">IF(Variants!$Y280="","",Variants!$Y280)</f>
        <v/>
      </c>
      <c r="L279" s="21" t="str">
        <f aca="false">IF(Variants!$H280="","",Variants!$H280)</f>
        <v>bordeaux</v>
      </c>
      <c r="M279" s="21" t="str">
        <f aca="false">IF(Variants!$G280="","",Variants!$G280)</f>
        <v>small</v>
      </c>
    </row>
    <row r="280" customFormat="false" ht="15.75" hidden="false" customHeight="true" outlineLevel="0" collapsed="false">
      <c r="A280" s="21" t="str">
        <f aca="false">IF(Variants!$B281="","",Variants!$C281&amp;" — "&amp;Variants!$E281&amp;IF(Variants!$F281=""," "," "&amp;Variants!$F281)&amp;" — "&amp;Variants!$H281)</f>
        <v>Van Earrings — Van  — turquoise</v>
      </c>
      <c r="B280" s="21" t="str">
        <f aca="false">IFERROR(IF(Variants!$B281="","",VLOOKUP(Variants!$B281,Designs!$A$3:$AP$165,9,FALSE())&amp;" Handmade in Armenia."),"")</f>
        <v>Motifs from the Van/Vaspurakan region, echoing the ornament of the Lake Van heartland of historic Armenia. Handmade in Armenia.</v>
      </c>
      <c r="C280" s="18" t="n">
        <f aca="false">IF(Variants!$J281="","",Variants!$J281)</f>
        <v>33.8</v>
      </c>
      <c r="D280" s="21" t="n">
        <f aca="false">IF(Variants!$O281="","",Variants!$O281)</f>
        <v>0</v>
      </c>
      <c r="E280" s="21" t="str">
        <f aca="false">Variants!$A281</f>
        <v>KARNI-EARRNG-VAN-S-TURQUOISE</v>
      </c>
      <c r="F280" s="21" t="str">
        <f aca="false">IF(Variants!$E281="","",Variants!$E281&amp;", Armenian, handmade, enamel, "&amp;Variants!$D281)</f>
        <v>Van, Armenian, handmade, enamel, Earring</v>
      </c>
      <c r="G280" s="21" t="str">
        <f aca="false">IFERROR(VLOOKUP(Variants!$B281,Designs!$A$3:$AP$165,12,FALSE())&amp;", enamel","")</f>
        <v>925 Silver Gold-Plated, enamel</v>
      </c>
      <c r="H280" s="21" t="str">
        <f aca="false">IF(Variants!$B281="","","I did")</f>
        <v>I did</v>
      </c>
      <c r="I280" s="21" t="str">
        <f aca="false">IF(Variants!$B281="","","Made to order")</f>
        <v>Made to order</v>
      </c>
      <c r="J280" s="21" t="str">
        <f aca="false">IF(Variants!$D281="","",Variants!$D281)</f>
        <v>Earring</v>
      </c>
      <c r="K280" s="21" t="str">
        <f aca="false">IF(Variants!$Y281="","",Variants!$Y281)</f>
        <v/>
      </c>
      <c r="L280" s="21" t="str">
        <f aca="false">IF(Variants!$H281="","",Variants!$H281)</f>
        <v>turquoise</v>
      </c>
      <c r="M280" s="21" t="str">
        <f aca="false">IF(Variants!$G281="","",Variants!$G281)</f>
        <v>small</v>
      </c>
    </row>
    <row r="281" customFormat="false" ht="15.75" hidden="false" customHeight="true" outlineLevel="0" collapsed="false">
      <c r="A281" s="21" t="str">
        <f aca="false">IF(Variants!$B282="","",Variants!$C282&amp;" — "&amp;Variants!$E282&amp;IF(Variants!$F282=""," "," "&amp;Variants!$F282)&amp;" — "&amp;Variants!$H282)</f>
        <v>Van Earrings — Van  — green</v>
      </c>
      <c r="B281" s="21" t="str">
        <f aca="false">IFERROR(IF(Variants!$B282="","",VLOOKUP(Variants!$B282,Designs!$A$3:$AP$165,9,FALSE())&amp;" Handmade in Armenia."),"")</f>
        <v>Motifs from the Van/Vaspurakan region, echoing the ornament of the Lake Van heartland of historic Armenia. Handmade in Armenia.</v>
      </c>
      <c r="C281" s="18" t="n">
        <f aca="false">IF(Variants!$J282="","",Variants!$J282)</f>
        <v>33.8</v>
      </c>
      <c r="D281" s="21" t="n">
        <f aca="false">IF(Variants!$O282="","",Variants!$O282)</f>
        <v>0</v>
      </c>
      <c r="E281" s="21" t="str">
        <f aca="false">Variants!$A282</f>
        <v>KARNI-EARRNG-VAN-S-GREEN</v>
      </c>
      <c r="F281" s="21" t="str">
        <f aca="false">IF(Variants!$E282="","",Variants!$E282&amp;", Armenian, handmade, enamel, "&amp;Variants!$D282)</f>
        <v>Van, Armenian, handmade, enamel, Earring</v>
      </c>
      <c r="G281" s="21" t="str">
        <f aca="false">IFERROR(VLOOKUP(Variants!$B282,Designs!$A$3:$AP$165,12,FALSE())&amp;", enamel","")</f>
        <v>925 Silver Gold-Plated, enamel</v>
      </c>
      <c r="H281" s="21" t="str">
        <f aca="false">IF(Variants!$B282="","","I did")</f>
        <v>I did</v>
      </c>
      <c r="I281" s="21" t="str">
        <f aca="false">IF(Variants!$B282="","","Made to order")</f>
        <v>Made to order</v>
      </c>
      <c r="J281" s="21" t="str">
        <f aca="false">IF(Variants!$D282="","",Variants!$D282)</f>
        <v>Earring</v>
      </c>
      <c r="K281" s="21" t="str">
        <f aca="false">IF(Variants!$Y282="","",Variants!$Y282)</f>
        <v/>
      </c>
      <c r="L281" s="21" t="str">
        <f aca="false">IF(Variants!$H282="","",Variants!$H282)</f>
        <v>green</v>
      </c>
      <c r="M281" s="21" t="str">
        <f aca="false">IF(Variants!$G282="","",Variants!$G282)</f>
        <v>small</v>
      </c>
    </row>
    <row r="282" customFormat="false" ht="15.75" hidden="false" customHeight="true" outlineLevel="0" collapsed="false">
      <c r="A282" s="21" t="str">
        <f aca="false">IF(Variants!$B283="","",Variants!$C283&amp;" — "&amp;Variants!$E283&amp;IF(Variants!$F283=""," "," "&amp;Variants!$F283)&amp;" — "&amp;Variants!$H283)</f>
        <v>Van Earrings — Van  — white</v>
      </c>
      <c r="B282" s="21" t="str">
        <f aca="false">IFERROR(IF(Variants!$B283="","",VLOOKUP(Variants!$B283,Designs!$A$3:$AP$165,9,FALSE())&amp;" Handmade in Armenia."),"")</f>
        <v>Motifs from the Van/Vaspurakan region, echoing the ornament of the Lake Van heartland of historic Armenia. Handmade in Armenia.</v>
      </c>
      <c r="C282" s="18" t="n">
        <f aca="false">IF(Variants!$J283="","",Variants!$J283)</f>
        <v>70.2</v>
      </c>
      <c r="D282" s="21" t="n">
        <f aca="false">IF(Variants!$O283="","",Variants!$O283)</f>
        <v>0</v>
      </c>
      <c r="E282" s="21" t="str">
        <f aca="false">Variants!$A283</f>
        <v>KARNI-EARRNG-VAN-M-WHITE</v>
      </c>
      <c r="F282" s="21" t="str">
        <f aca="false">IF(Variants!$E283="","",Variants!$E283&amp;", Armenian, handmade, enamel, "&amp;Variants!$D283)</f>
        <v>Van, Armenian, handmade, enamel, Earring</v>
      </c>
      <c r="G282" s="21" t="str">
        <f aca="false">IFERROR(VLOOKUP(Variants!$B283,Designs!$A$3:$AP$165,12,FALSE())&amp;", enamel","")</f>
        <v>925 Silver Gold-Plated, enamel</v>
      </c>
      <c r="H282" s="21" t="str">
        <f aca="false">IF(Variants!$B283="","","I did")</f>
        <v>I did</v>
      </c>
      <c r="I282" s="21" t="str">
        <f aca="false">IF(Variants!$B283="","","Made to order")</f>
        <v>Made to order</v>
      </c>
      <c r="J282" s="21" t="str">
        <f aca="false">IF(Variants!$D283="","",Variants!$D283)</f>
        <v>Earring</v>
      </c>
      <c r="K282" s="21" t="str">
        <f aca="false">IF(Variants!$Y283="","",Variants!$Y283)</f>
        <v/>
      </c>
      <c r="L282" s="21" t="str">
        <f aca="false">IF(Variants!$H283="","",Variants!$H283)</f>
        <v>white</v>
      </c>
      <c r="M282" s="21" t="str">
        <f aca="false">IF(Variants!$G283="","",Variants!$G283)</f>
        <v>medium</v>
      </c>
    </row>
    <row r="283" customFormat="false" ht="15.75" hidden="false" customHeight="true" outlineLevel="0" collapsed="false">
      <c r="A283" s="21" t="str">
        <f aca="false">IF(Variants!$B284="","",Variants!$C284&amp;" — "&amp;Variants!$E284&amp;IF(Variants!$F284=""," "," "&amp;Variants!$F284)&amp;" — "&amp;Variants!$H284)</f>
        <v>Van Earrings — Van  — turquoise</v>
      </c>
      <c r="B283" s="21" t="str">
        <f aca="false">IFERROR(IF(Variants!$B284="","",VLOOKUP(Variants!$B284,Designs!$A$3:$AP$165,9,FALSE())&amp;" Handmade in Armenia."),"")</f>
        <v>Motifs from the Van/Vaspurakan region, echoing the ornament of the Lake Van heartland of historic Armenia. Handmade in Armenia.</v>
      </c>
      <c r="C283" s="18" t="n">
        <f aca="false">IF(Variants!$J284="","",Variants!$J284)</f>
        <v>70.2</v>
      </c>
      <c r="D283" s="21" t="n">
        <f aca="false">IF(Variants!$O284="","",Variants!$O284)</f>
        <v>0</v>
      </c>
      <c r="E283" s="21" t="str">
        <f aca="false">Variants!$A284</f>
        <v>KARNI-EARRNG-VAN-M-TURQUOISE</v>
      </c>
      <c r="F283" s="21" t="str">
        <f aca="false">IF(Variants!$E284="","",Variants!$E284&amp;", Armenian, handmade, enamel, "&amp;Variants!$D284)</f>
        <v>Van, Armenian, handmade, enamel, Earring</v>
      </c>
      <c r="G283" s="21" t="str">
        <f aca="false">IFERROR(VLOOKUP(Variants!$B284,Designs!$A$3:$AP$165,12,FALSE())&amp;", enamel","")</f>
        <v>925 Silver Gold-Plated, enamel</v>
      </c>
      <c r="H283" s="21" t="str">
        <f aca="false">IF(Variants!$B284="","","I did")</f>
        <v>I did</v>
      </c>
      <c r="I283" s="21" t="str">
        <f aca="false">IF(Variants!$B284="","","Made to order")</f>
        <v>Made to order</v>
      </c>
      <c r="J283" s="21" t="str">
        <f aca="false">IF(Variants!$D284="","",Variants!$D284)</f>
        <v>Earring</v>
      </c>
      <c r="K283" s="21" t="str">
        <f aca="false">IF(Variants!$Y284="","",Variants!$Y284)</f>
        <v/>
      </c>
      <c r="L283" s="21" t="str">
        <f aca="false">IF(Variants!$H284="","",Variants!$H284)</f>
        <v>turquoise</v>
      </c>
      <c r="M283" s="21" t="str">
        <f aca="false">IF(Variants!$G284="","",Variants!$G284)</f>
        <v>medium</v>
      </c>
    </row>
    <row r="284" customFormat="false" ht="15.75" hidden="false" customHeight="true" outlineLevel="0" collapsed="false">
      <c r="A284" s="21" t="str">
        <f aca="false">IF(Variants!$B285="","",Variants!$C285&amp;" — "&amp;Variants!$E285&amp;IF(Variants!$F285=""," "," "&amp;Variants!$F285)&amp;" — "&amp;Variants!$H285)</f>
        <v>Van Earrings — Van  — camel</v>
      </c>
      <c r="B284" s="21" t="str">
        <f aca="false">IFERROR(IF(Variants!$B285="","",VLOOKUP(Variants!$B285,Designs!$A$3:$AP$165,9,FALSE())&amp;" Handmade in Armenia."),"")</f>
        <v>Motifs from the Van/Vaspurakan region, echoing the ornament of the Lake Van heartland of historic Armenia. Handmade in Armenia.</v>
      </c>
      <c r="C284" s="18" t="n">
        <f aca="false">IF(Variants!$J285="","",Variants!$J285)</f>
        <v>70.2</v>
      </c>
      <c r="D284" s="21" t="n">
        <f aca="false">IF(Variants!$O285="","",Variants!$O285)</f>
        <v>0</v>
      </c>
      <c r="E284" s="21" t="str">
        <f aca="false">Variants!$A285</f>
        <v>KARNI-EARRNG-VAN-M-CAMEL</v>
      </c>
      <c r="F284" s="21" t="str">
        <f aca="false">IF(Variants!$E285="","",Variants!$E285&amp;", Armenian, handmade, enamel, "&amp;Variants!$D285)</f>
        <v>Van, Armenian, handmade, enamel, Earring</v>
      </c>
      <c r="G284" s="21" t="str">
        <f aca="false">IFERROR(VLOOKUP(Variants!$B285,Designs!$A$3:$AP$165,12,FALSE())&amp;", enamel","")</f>
        <v>925 Silver Gold-Plated, enamel</v>
      </c>
      <c r="H284" s="21" t="str">
        <f aca="false">IF(Variants!$B285="","","I did")</f>
        <v>I did</v>
      </c>
      <c r="I284" s="21" t="str">
        <f aca="false">IF(Variants!$B285="","","Made to order")</f>
        <v>Made to order</v>
      </c>
      <c r="J284" s="21" t="str">
        <f aca="false">IF(Variants!$D285="","",Variants!$D285)</f>
        <v>Earring</v>
      </c>
      <c r="K284" s="21" t="str">
        <f aca="false">IF(Variants!$Y285="","",Variants!$Y285)</f>
        <v/>
      </c>
      <c r="L284" s="21" t="str">
        <f aca="false">IF(Variants!$H285="","",Variants!$H285)</f>
        <v>camel</v>
      </c>
      <c r="M284" s="21" t="str">
        <f aca="false">IF(Variants!$G285="","",Variants!$G285)</f>
        <v>medium</v>
      </c>
    </row>
    <row r="285" customFormat="false" ht="15.75" hidden="false" customHeight="true" outlineLevel="0" collapsed="false">
      <c r="A285" s="21" t="str">
        <f aca="false">IF(Variants!$B286="","",Variants!$C286&amp;" — "&amp;Variants!$E286&amp;IF(Variants!$F286=""," "," "&amp;Variants!$F286)&amp;" — "&amp;Variants!$H286)</f>
        <v>Van Earrings — Van  — blue</v>
      </c>
      <c r="B285" s="21" t="str">
        <f aca="false">IFERROR(IF(Variants!$B286="","",VLOOKUP(Variants!$B286,Designs!$A$3:$AP$165,9,FALSE())&amp;" Handmade in Armenia."),"")</f>
        <v>Motifs from the Van/Vaspurakan region, echoing the ornament of the Lake Van heartland of historic Armenia. Handmade in Armenia.</v>
      </c>
      <c r="C285" s="18" t="n">
        <f aca="false">IF(Variants!$J286="","",Variants!$J286)</f>
        <v>70.2</v>
      </c>
      <c r="D285" s="21" t="n">
        <f aca="false">IF(Variants!$O286="","",Variants!$O286)</f>
        <v>0</v>
      </c>
      <c r="E285" s="21" t="str">
        <f aca="false">Variants!$A286</f>
        <v>KARNI-EARRNG-VAN-M-BLUE</v>
      </c>
      <c r="F285" s="21" t="str">
        <f aca="false">IF(Variants!$E286="","",Variants!$E286&amp;", Armenian, handmade, enamel, "&amp;Variants!$D286)</f>
        <v>Van, Armenian, handmade, enamel, Earring</v>
      </c>
      <c r="G285" s="21" t="str">
        <f aca="false">IFERROR(VLOOKUP(Variants!$B286,Designs!$A$3:$AP$165,12,FALSE())&amp;", enamel","")</f>
        <v>925 Silver Gold-Plated, enamel</v>
      </c>
      <c r="H285" s="21" t="str">
        <f aca="false">IF(Variants!$B286="","","I did")</f>
        <v>I did</v>
      </c>
      <c r="I285" s="21" t="str">
        <f aca="false">IF(Variants!$B286="","","Made to order")</f>
        <v>Made to order</v>
      </c>
      <c r="J285" s="21" t="str">
        <f aca="false">IF(Variants!$D286="","",Variants!$D286)</f>
        <v>Earring</v>
      </c>
      <c r="K285" s="21" t="str">
        <f aca="false">IF(Variants!$Y286="","",Variants!$Y286)</f>
        <v/>
      </c>
      <c r="L285" s="21" t="str">
        <f aca="false">IF(Variants!$H286="","",Variants!$H286)</f>
        <v>blue</v>
      </c>
      <c r="M285" s="21" t="str">
        <f aca="false">IF(Variants!$G286="","",Variants!$G286)</f>
        <v>medium</v>
      </c>
    </row>
    <row r="286" customFormat="false" ht="15.75" hidden="false" customHeight="true" outlineLevel="0" collapsed="false">
      <c r="A286" s="21" t="str">
        <f aca="false">IF(Variants!$B287="","",Variants!$C287&amp;" — "&amp;Variants!$E287&amp;IF(Variants!$F287=""," "," "&amp;Variants!$F287)&amp;" — "&amp;Variants!$H287)</f>
        <v>Artsakhi Khachanakhsh Earrings — Artsakhi Khachanakhsh  — blue</v>
      </c>
      <c r="B286" s="21" t="str">
        <f aca="false">IFERROR(IF(Variants!$B287="","",VLOOKUP(Variants!$B287,Designs!$A$3:$AP$165,9,FALSE())&amp;" Handmade in Armenia."),"")</f>
        <v>Cross-ornament patterns from Artsakh, carrying the carved cross-stone heritage of the region. Handmade in Armenia.</v>
      </c>
      <c r="C286" s="18" t="n">
        <f aca="false">IF(Variants!$J287="","",Variants!$J287)</f>
        <v>33.8</v>
      </c>
      <c r="D286" s="21" t="n">
        <f aca="false">IF(Variants!$O287="","",Variants!$O287)</f>
        <v>0</v>
      </c>
      <c r="E286" s="21" t="str">
        <f aca="false">Variants!$A287</f>
        <v>KARNI-EARRNG-ARTSAKHKHACH-S-BLUE</v>
      </c>
      <c r="F286" s="21" t="str">
        <f aca="false">IF(Variants!$E287="","",Variants!$E287&amp;", Armenian, handmade, enamel, "&amp;Variants!$D287)</f>
        <v>Artsakhi Khachanakhsh, Armenian, handmade, enamel, Earring</v>
      </c>
      <c r="G286" s="21" t="str">
        <f aca="false">IFERROR(VLOOKUP(Variants!$B287,Designs!$A$3:$AP$165,12,FALSE())&amp;", enamel","")</f>
        <v>925 Silver Gold-Plated, enamel</v>
      </c>
      <c r="H286" s="21" t="str">
        <f aca="false">IF(Variants!$B287="","","I did")</f>
        <v>I did</v>
      </c>
      <c r="I286" s="21" t="str">
        <f aca="false">IF(Variants!$B287="","","Made to order")</f>
        <v>Made to order</v>
      </c>
      <c r="J286" s="21" t="str">
        <f aca="false">IF(Variants!$D287="","",Variants!$D287)</f>
        <v>Earring</v>
      </c>
      <c r="K286" s="21" t="str">
        <f aca="false">IF(Variants!$Y287="","",Variants!$Y287)</f>
        <v/>
      </c>
      <c r="L286" s="21" t="str">
        <f aca="false">IF(Variants!$H287="","",Variants!$H287)</f>
        <v>blue</v>
      </c>
      <c r="M286" s="21" t="str">
        <f aca="false">IF(Variants!$G287="","",Variants!$G287)</f>
        <v>small</v>
      </c>
    </row>
    <row r="287" customFormat="false" ht="15.75" hidden="false" customHeight="true" outlineLevel="0" collapsed="false">
      <c r="A287" s="21" t="str">
        <f aca="false">IF(Variants!$B288="","",Variants!$C288&amp;" — "&amp;Variants!$E288&amp;IF(Variants!$F288=""," "," "&amp;Variants!$F288)&amp;" — "&amp;Variants!$H288)</f>
        <v>Artsakhi Khachanakhsh Earrings — Artsakhi Khachanakhsh  — white red dot</v>
      </c>
      <c r="B287" s="21" t="str">
        <f aca="false">IFERROR(IF(Variants!$B288="","",VLOOKUP(Variants!$B288,Designs!$A$3:$AP$165,9,FALSE())&amp;" Handmade in Armenia."),"")</f>
        <v>Cross-ornament patterns from Artsakh, carrying the carved cross-stone heritage of the region. Handmade in Armenia.</v>
      </c>
      <c r="C287" s="18" t="n">
        <f aca="false">IF(Variants!$J288="","",Variants!$J288)</f>
        <v>33.8</v>
      </c>
      <c r="D287" s="21" t="n">
        <f aca="false">IF(Variants!$O288="","",Variants!$O288)</f>
        <v>0</v>
      </c>
      <c r="E287" s="21" t="str">
        <f aca="false">Variants!$A288</f>
        <v>KARNI-EARRNG-ARTSAKHKHACH-S-WHITE-RED-DOT</v>
      </c>
      <c r="F287" s="21" t="str">
        <f aca="false">IF(Variants!$E288="","",Variants!$E288&amp;", Armenian, handmade, enamel, "&amp;Variants!$D288)</f>
        <v>Artsakhi Khachanakhsh, Armenian, handmade, enamel, Earring</v>
      </c>
      <c r="G287" s="21" t="str">
        <f aca="false">IFERROR(VLOOKUP(Variants!$B288,Designs!$A$3:$AP$165,12,FALSE())&amp;", enamel","")</f>
        <v>925 Silver Gold-Plated, enamel</v>
      </c>
      <c r="H287" s="21" t="str">
        <f aca="false">IF(Variants!$B288="","","I did")</f>
        <v>I did</v>
      </c>
      <c r="I287" s="21" t="str">
        <f aca="false">IF(Variants!$B288="","","Made to order")</f>
        <v>Made to order</v>
      </c>
      <c r="J287" s="21" t="str">
        <f aca="false">IF(Variants!$D288="","",Variants!$D288)</f>
        <v>Earring</v>
      </c>
      <c r="K287" s="21" t="str">
        <f aca="false">IF(Variants!$Y288="","",Variants!$Y288)</f>
        <v/>
      </c>
      <c r="L287" s="21" t="str">
        <f aca="false">IF(Variants!$H288="","",Variants!$H288)</f>
        <v>white red dot</v>
      </c>
      <c r="M287" s="21" t="str">
        <f aca="false">IF(Variants!$G288="","",Variants!$G288)</f>
        <v>small</v>
      </c>
    </row>
    <row r="288" customFormat="false" ht="15.75" hidden="false" customHeight="true" outlineLevel="0" collapsed="false">
      <c r="A288" s="21" t="str">
        <f aca="false">IF(Variants!$B289="","",Variants!$C289&amp;" — "&amp;Variants!$E289&amp;IF(Variants!$F289=""," "," "&amp;Variants!$F289)&amp;" — "&amp;Variants!$H289)</f>
        <v>Artsakhi Khachanakhsh Earrings — Artsakhi Khachanakhsh  — white blue dot</v>
      </c>
      <c r="B288" s="21" t="str">
        <f aca="false">IFERROR(IF(Variants!$B289="","",VLOOKUP(Variants!$B289,Designs!$A$3:$AP$165,9,FALSE())&amp;" Handmade in Armenia."),"")</f>
        <v>Cross-ornament patterns from Artsakh, carrying the carved cross-stone heritage of the region. Handmade in Armenia.</v>
      </c>
      <c r="C288" s="18" t="n">
        <f aca="false">IF(Variants!$J289="","",Variants!$J289)</f>
        <v>33.8</v>
      </c>
      <c r="D288" s="21" t="n">
        <f aca="false">IF(Variants!$O289="","",Variants!$O289)</f>
        <v>0</v>
      </c>
      <c r="E288" s="21" t="str">
        <f aca="false">Variants!$A289</f>
        <v>KARNI-EARRNG-ARTSAKHKHACH-S-WHITE-BLUE-DOT</v>
      </c>
      <c r="F288" s="21" t="str">
        <f aca="false">IF(Variants!$E289="","",Variants!$E289&amp;", Armenian, handmade, enamel, "&amp;Variants!$D289)</f>
        <v>Artsakhi Khachanakhsh, Armenian, handmade, enamel, Earring</v>
      </c>
      <c r="G288" s="21" t="str">
        <f aca="false">IFERROR(VLOOKUP(Variants!$B289,Designs!$A$3:$AP$165,12,FALSE())&amp;", enamel","")</f>
        <v>925 Silver Gold-Plated, enamel</v>
      </c>
      <c r="H288" s="21" t="str">
        <f aca="false">IF(Variants!$B289="","","I did")</f>
        <v>I did</v>
      </c>
      <c r="I288" s="21" t="str">
        <f aca="false">IF(Variants!$B289="","","Made to order")</f>
        <v>Made to order</v>
      </c>
      <c r="J288" s="21" t="str">
        <f aca="false">IF(Variants!$D289="","",Variants!$D289)</f>
        <v>Earring</v>
      </c>
      <c r="K288" s="21" t="str">
        <f aca="false">IF(Variants!$Y289="","",Variants!$Y289)</f>
        <v/>
      </c>
      <c r="L288" s="21" t="str">
        <f aca="false">IF(Variants!$H289="","",Variants!$H289)</f>
        <v>white blue dot</v>
      </c>
      <c r="M288" s="21" t="str">
        <f aca="false">IF(Variants!$G289="","",Variants!$G289)</f>
        <v>small</v>
      </c>
    </row>
    <row r="289" customFormat="false" ht="15.75" hidden="false" customHeight="true" outlineLevel="0" collapsed="false">
      <c r="A289" s="21" t="str">
        <f aca="false">IF(Variants!$B290="","",Variants!$C290&amp;" — "&amp;Variants!$E290&amp;IF(Variants!$F290=""," "," "&amp;Variants!$F290)&amp;" — "&amp;Variants!$H290)</f>
        <v>Artsakhi Khachanakhsh Earrings — Artsakhi Khachanakhsh  — bordeaux</v>
      </c>
      <c r="B289" s="21" t="str">
        <f aca="false">IFERROR(IF(Variants!$B290="","",VLOOKUP(Variants!$B290,Designs!$A$3:$AP$165,9,FALSE())&amp;" Handmade in Armenia."),"")</f>
        <v>Cross-ornament patterns from Artsakh, carrying the carved cross-stone heritage of the region. Handmade in Armenia.</v>
      </c>
      <c r="C289" s="18" t="n">
        <f aca="false">IF(Variants!$J290="","",Variants!$J290)</f>
        <v>33.8</v>
      </c>
      <c r="D289" s="21" t="n">
        <f aca="false">IF(Variants!$O290="","",Variants!$O290)</f>
        <v>0</v>
      </c>
      <c r="E289" s="21" t="str">
        <f aca="false">Variants!$A290</f>
        <v>KARNI-EARRNG-ARTSAKHKHACH-S-BORDEAUX</v>
      </c>
      <c r="F289" s="21" t="str">
        <f aca="false">IF(Variants!$E290="","",Variants!$E290&amp;", Armenian, handmade, enamel, "&amp;Variants!$D290)</f>
        <v>Artsakhi Khachanakhsh, Armenian, handmade, enamel, Earring</v>
      </c>
      <c r="G289" s="21" t="str">
        <f aca="false">IFERROR(VLOOKUP(Variants!$B290,Designs!$A$3:$AP$165,12,FALSE())&amp;", enamel","")</f>
        <v>925 Silver Gold-Plated, enamel</v>
      </c>
      <c r="H289" s="21" t="str">
        <f aca="false">IF(Variants!$B290="","","I did")</f>
        <v>I did</v>
      </c>
      <c r="I289" s="21" t="str">
        <f aca="false">IF(Variants!$B290="","","Made to order")</f>
        <v>Made to order</v>
      </c>
      <c r="J289" s="21" t="str">
        <f aca="false">IF(Variants!$D290="","",Variants!$D290)</f>
        <v>Earring</v>
      </c>
      <c r="K289" s="21" t="str">
        <f aca="false">IF(Variants!$Y290="","",Variants!$Y290)</f>
        <v/>
      </c>
      <c r="L289" s="21" t="str">
        <f aca="false">IF(Variants!$H290="","",Variants!$H290)</f>
        <v>bordeaux</v>
      </c>
      <c r="M289" s="21" t="str">
        <f aca="false">IF(Variants!$G290="","",Variants!$G290)</f>
        <v>small</v>
      </c>
    </row>
    <row r="290" customFormat="false" ht="15.75" hidden="false" customHeight="true" outlineLevel="0" collapsed="false">
      <c r="A290" s="21" t="str">
        <f aca="false">IF(Variants!$B291="","",Variants!$C291&amp;" — "&amp;Variants!$E291&amp;IF(Variants!$F291=""," "," "&amp;Variants!$F291)&amp;" — "&amp;Variants!$H291)</f>
        <v>Artsakhi Khachanakhsh Earrings — Artsakhi Khachanakhsh  — turquoise</v>
      </c>
      <c r="B290" s="21" t="str">
        <f aca="false">IFERROR(IF(Variants!$B291="","",VLOOKUP(Variants!$B291,Designs!$A$3:$AP$165,9,FALSE())&amp;" Handmade in Armenia."),"")</f>
        <v>Cross-ornament patterns from Artsakh, carrying the carved cross-stone heritage of the region. Handmade in Armenia.</v>
      </c>
      <c r="C290" s="18" t="n">
        <f aca="false">IF(Variants!$J291="","",Variants!$J291)</f>
        <v>33.8</v>
      </c>
      <c r="D290" s="21" t="n">
        <f aca="false">IF(Variants!$O291="","",Variants!$O291)</f>
        <v>0</v>
      </c>
      <c r="E290" s="21" t="str">
        <f aca="false">Variants!$A291</f>
        <v>KARNI-EARRNG-ARTSAKHKHACH-S-TURQUOISE</v>
      </c>
      <c r="F290" s="21" t="str">
        <f aca="false">IF(Variants!$E291="","",Variants!$E291&amp;", Armenian, handmade, enamel, "&amp;Variants!$D291)</f>
        <v>Artsakhi Khachanakhsh, Armenian, handmade, enamel, Earring</v>
      </c>
      <c r="G290" s="21" t="str">
        <f aca="false">IFERROR(VLOOKUP(Variants!$B291,Designs!$A$3:$AP$165,12,FALSE())&amp;", enamel","")</f>
        <v>925 Silver Gold-Plated, enamel</v>
      </c>
      <c r="H290" s="21" t="str">
        <f aca="false">IF(Variants!$B291="","","I did")</f>
        <v>I did</v>
      </c>
      <c r="I290" s="21" t="str">
        <f aca="false">IF(Variants!$B291="","","Made to order")</f>
        <v>Made to order</v>
      </c>
      <c r="J290" s="21" t="str">
        <f aca="false">IF(Variants!$D291="","",Variants!$D291)</f>
        <v>Earring</v>
      </c>
      <c r="K290" s="21" t="str">
        <f aca="false">IF(Variants!$Y291="","",Variants!$Y291)</f>
        <v/>
      </c>
      <c r="L290" s="21" t="str">
        <f aca="false">IF(Variants!$H291="","",Variants!$H291)</f>
        <v>turquoise</v>
      </c>
      <c r="M290" s="21" t="str">
        <f aca="false">IF(Variants!$G291="","",Variants!$G291)</f>
        <v>small</v>
      </c>
    </row>
    <row r="291" customFormat="false" ht="15.75" hidden="false" customHeight="true" outlineLevel="0" collapsed="false">
      <c r="A291" s="21" t="str">
        <f aca="false">IF(Variants!$B292="","",Variants!$C292&amp;" — "&amp;Variants!$E292&amp;IF(Variants!$F292=""," "," "&amp;Variants!$F292)&amp;" — "&amp;Variants!$H292)</f>
        <v>Artsakhi Khachanakhsh Earrings — Artsakhi Khachanakhsh  — green</v>
      </c>
      <c r="B291" s="21" t="str">
        <f aca="false">IFERROR(IF(Variants!$B292="","",VLOOKUP(Variants!$B292,Designs!$A$3:$AP$165,9,FALSE())&amp;" Handmade in Armenia."),"")</f>
        <v>Cross-ornament patterns from Artsakh, carrying the carved cross-stone heritage of the region. Handmade in Armenia.</v>
      </c>
      <c r="C291" s="18" t="n">
        <f aca="false">IF(Variants!$J292="","",Variants!$J292)</f>
        <v>33.8</v>
      </c>
      <c r="D291" s="21" t="n">
        <f aca="false">IF(Variants!$O292="","",Variants!$O292)</f>
        <v>0</v>
      </c>
      <c r="E291" s="21" t="str">
        <f aca="false">Variants!$A292</f>
        <v>KARNI-EARRNG-ARTSAKHKHACH-S-GREEN</v>
      </c>
      <c r="F291" s="21" t="str">
        <f aca="false">IF(Variants!$E292="","",Variants!$E292&amp;", Armenian, handmade, enamel, "&amp;Variants!$D292)</f>
        <v>Artsakhi Khachanakhsh, Armenian, handmade, enamel, Earring</v>
      </c>
      <c r="G291" s="21" t="str">
        <f aca="false">IFERROR(VLOOKUP(Variants!$B292,Designs!$A$3:$AP$165,12,FALSE())&amp;", enamel","")</f>
        <v>925 Silver Gold-Plated, enamel</v>
      </c>
      <c r="H291" s="21" t="str">
        <f aca="false">IF(Variants!$B292="","","I did")</f>
        <v>I did</v>
      </c>
      <c r="I291" s="21" t="str">
        <f aca="false">IF(Variants!$B292="","","Made to order")</f>
        <v>Made to order</v>
      </c>
      <c r="J291" s="21" t="str">
        <f aca="false">IF(Variants!$D292="","",Variants!$D292)</f>
        <v>Earring</v>
      </c>
      <c r="K291" s="21" t="str">
        <f aca="false">IF(Variants!$Y292="","",Variants!$Y292)</f>
        <v/>
      </c>
      <c r="L291" s="21" t="str">
        <f aca="false">IF(Variants!$H292="","",Variants!$H292)</f>
        <v>green</v>
      </c>
      <c r="M291" s="21" t="str">
        <f aca="false">IF(Variants!$G292="","",Variants!$G292)</f>
        <v>small</v>
      </c>
    </row>
    <row r="292" customFormat="false" ht="15.75" hidden="false" customHeight="true" outlineLevel="0" collapsed="false">
      <c r="A292" s="21" t="str">
        <f aca="false">IF(Variants!$B293="","",Variants!$C293&amp;" — "&amp;Variants!$E293&amp;IF(Variants!$F293=""," "," "&amp;Variants!$F293)&amp;" — "&amp;Variants!$H293)</f>
        <v>Artsakhi Khachanakhsh Earrings — Artsakhi Khachanakhsh  — blue-white-red</v>
      </c>
      <c r="B292" s="21" t="str">
        <f aca="false">IFERROR(IF(Variants!$B293="","",VLOOKUP(Variants!$B293,Designs!$A$3:$AP$165,9,FALSE())&amp;" Handmade in Armenia."),"")</f>
        <v>Cross-ornament patterns from Artsakh, carrying the carved cross-stone heritage of the region. Handmade in Armenia.</v>
      </c>
      <c r="C292" s="18" t="n">
        <f aca="false">IF(Variants!$J293="","",Variants!$J293)</f>
        <v>70.2</v>
      </c>
      <c r="D292" s="21" t="n">
        <f aca="false">IF(Variants!$O293="","",Variants!$O293)</f>
        <v>0</v>
      </c>
      <c r="E292" s="21" t="str">
        <f aca="false">Variants!$A293</f>
        <v>KARNI-EARRNG-ARTSAKHKHACH-M-BLUE-WHITE-RED</v>
      </c>
      <c r="F292" s="21" t="str">
        <f aca="false">IF(Variants!$E293="","",Variants!$E293&amp;", Armenian, handmade, enamel, "&amp;Variants!$D293)</f>
        <v>Artsakhi Khachanakhsh, Armenian, handmade, enamel, Earring</v>
      </c>
      <c r="G292" s="21" t="str">
        <f aca="false">IFERROR(VLOOKUP(Variants!$B293,Designs!$A$3:$AP$165,12,FALSE())&amp;", enamel","")</f>
        <v>925 Silver Gold-Plated, enamel</v>
      </c>
      <c r="H292" s="21" t="str">
        <f aca="false">IF(Variants!$B293="","","I did")</f>
        <v>I did</v>
      </c>
      <c r="I292" s="21" t="str">
        <f aca="false">IF(Variants!$B293="","","Made to order")</f>
        <v>Made to order</v>
      </c>
      <c r="J292" s="21" t="str">
        <f aca="false">IF(Variants!$D293="","",Variants!$D293)</f>
        <v>Earring</v>
      </c>
      <c r="K292" s="21" t="str">
        <f aca="false">IF(Variants!$Y293="","",Variants!$Y293)</f>
        <v/>
      </c>
      <c r="L292" s="21" t="str">
        <f aca="false">IF(Variants!$H293="","",Variants!$H293)</f>
        <v>blue-white-red</v>
      </c>
      <c r="M292" s="21" t="str">
        <f aca="false">IF(Variants!$G293="","",Variants!$G293)</f>
        <v>medium</v>
      </c>
    </row>
    <row r="293" customFormat="false" ht="15.75" hidden="false" customHeight="true" outlineLevel="0" collapsed="false">
      <c r="A293" s="21" t="str">
        <f aca="false">IF(Variants!$B294="","",Variants!$C294&amp;" — "&amp;Variants!$E294&amp;IF(Variants!$F294=""," "," "&amp;Variants!$F294)&amp;" — "&amp;Variants!$H294)</f>
        <v>Artsakhi Khachanakhsh Earrings — Artsakhi Khachanakhsh  — turquoise-blue-white</v>
      </c>
      <c r="B293" s="21" t="str">
        <f aca="false">IFERROR(IF(Variants!$B294="","",VLOOKUP(Variants!$B294,Designs!$A$3:$AP$165,9,FALSE())&amp;" Handmade in Armenia."),"")</f>
        <v>Cross-ornament patterns from Artsakh, carrying the carved cross-stone heritage of the region. Handmade in Armenia.</v>
      </c>
      <c r="C293" s="18" t="n">
        <f aca="false">IF(Variants!$J294="","",Variants!$J294)</f>
        <v>70.2</v>
      </c>
      <c r="D293" s="21" t="n">
        <f aca="false">IF(Variants!$O294="","",Variants!$O294)</f>
        <v>0</v>
      </c>
      <c r="E293" s="21" t="str">
        <f aca="false">Variants!$A294</f>
        <v>KARNI-EARRNG-ARTSAKHKHACH-M-TURQUOISE-BLUE-WHITE</v>
      </c>
      <c r="F293" s="21" t="str">
        <f aca="false">IF(Variants!$E294="","",Variants!$E294&amp;", Armenian, handmade, enamel, "&amp;Variants!$D294)</f>
        <v>Artsakhi Khachanakhsh, Armenian, handmade, enamel, Earring</v>
      </c>
      <c r="G293" s="21" t="str">
        <f aca="false">IFERROR(VLOOKUP(Variants!$B294,Designs!$A$3:$AP$165,12,FALSE())&amp;", enamel","")</f>
        <v>925 Silver Gold-Plated, enamel</v>
      </c>
      <c r="H293" s="21" t="str">
        <f aca="false">IF(Variants!$B294="","","I did")</f>
        <v>I did</v>
      </c>
      <c r="I293" s="21" t="str">
        <f aca="false">IF(Variants!$B294="","","Made to order")</f>
        <v>Made to order</v>
      </c>
      <c r="J293" s="21" t="str">
        <f aca="false">IF(Variants!$D294="","",Variants!$D294)</f>
        <v>Earring</v>
      </c>
      <c r="K293" s="21" t="str">
        <f aca="false">IF(Variants!$Y294="","",Variants!$Y294)</f>
        <v/>
      </c>
      <c r="L293" s="21" t="str">
        <f aca="false">IF(Variants!$H294="","",Variants!$H294)</f>
        <v>turquoise-blue-white</v>
      </c>
      <c r="M293" s="21" t="str">
        <f aca="false">IF(Variants!$G294="","",Variants!$G294)</f>
        <v>medium</v>
      </c>
    </row>
    <row r="294" customFormat="false" ht="15.75" hidden="false" customHeight="true" outlineLevel="0" collapsed="false">
      <c r="A294" s="21" t="str">
        <f aca="false">IF(Variants!$B295="","",Variants!$C295&amp;" — "&amp;Variants!$E295&amp;IF(Variants!$F295=""," "," "&amp;Variants!$F295)&amp;" — "&amp;Variants!$H295)</f>
        <v>Artsakhi Khachanakhsh Earrings — Artsakhi Khachanakhsh  — white-bordeaux-blue</v>
      </c>
      <c r="B294" s="21" t="str">
        <f aca="false">IFERROR(IF(Variants!$B295="","",VLOOKUP(Variants!$B295,Designs!$A$3:$AP$165,9,FALSE())&amp;" Handmade in Armenia."),"")</f>
        <v>Cross-ornament patterns from Artsakh, carrying the carved cross-stone heritage of the region. Handmade in Armenia.</v>
      </c>
      <c r="C294" s="18" t="n">
        <f aca="false">IF(Variants!$J295="","",Variants!$J295)</f>
        <v>70.2</v>
      </c>
      <c r="D294" s="21" t="n">
        <f aca="false">IF(Variants!$O295="","",Variants!$O295)</f>
        <v>0</v>
      </c>
      <c r="E294" s="21" t="str">
        <f aca="false">Variants!$A295</f>
        <v>KARNI-EARRNG-ARTSAKHKHACH-M-WHITE-BORDEAUX-BLUE</v>
      </c>
      <c r="F294" s="21" t="str">
        <f aca="false">IF(Variants!$E295="","",Variants!$E295&amp;", Armenian, handmade, enamel, "&amp;Variants!$D295)</f>
        <v>Artsakhi Khachanakhsh, Armenian, handmade, enamel, Earring</v>
      </c>
      <c r="G294" s="21" t="str">
        <f aca="false">IFERROR(VLOOKUP(Variants!$B295,Designs!$A$3:$AP$165,12,FALSE())&amp;", enamel","")</f>
        <v>925 Silver Gold-Plated, enamel</v>
      </c>
      <c r="H294" s="21" t="str">
        <f aca="false">IF(Variants!$B295="","","I did")</f>
        <v>I did</v>
      </c>
      <c r="I294" s="21" t="str">
        <f aca="false">IF(Variants!$B295="","","Made to order")</f>
        <v>Made to order</v>
      </c>
      <c r="J294" s="21" t="str">
        <f aca="false">IF(Variants!$D295="","",Variants!$D295)</f>
        <v>Earring</v>
      </c>
      <c r="K294" s="21" t="str">
        <f aca="false">IF(Variants!$Y295="","",Variants!$Y295)</f>
        <v/>
      </c>
      <c r="L294" s="21" t="str">
        <f aca="false">IF(Variants!$H295="","",Variants!$H295)</f>
        <v>white-bordeaux-blue</v>
      </c>
      <c r="M294" s="21" t="str">
        <f aca="false">IF(Variants!$G295="","",Variants!$G295)</f>
        <v>medium</v>
      </c>
    </row>
    <row r="295" customFormat="false" ht="15.75" hidden="false" customHeight="true" outlineLevel="0" collapsed="false">
      <c r="A295" s="21" t="str">
        <f aca="false">IF(Variants!$B296="","",Variants!$C296&amp;" — "&amp;Variants!$E296&amp;IF(Variants!$F296=""," "," "&amp;Variants!$F296)&amp;" — "&amp;Variants!$H296)</f>
        <v>Artsakhi Khachanakhsh Earrings — Artsakhi Khachanakhsh  — blue-white-yellow</v>
      </c>
      <c r="B295" s="21" t="str">
        <f aca="false">IFERROR(IF(Variants!$B296="","",VLOOKUP(Variants!$B296,Designs!$A$3:$AP$165,9,FALSE())&amp;" Handmade in Armenia."),"")</f>
        <v>Cross-ornament patterns from Artsakh, carrying the carved cross-stone heritage of the region. Handmade in Armenia.</v>
      </c>
      <c r="C295" s="18" t="n">
        <f aca="false">IF(Variants!$J296="","",Variants!$J296)</f>
        <v>70.2</v>
      </c>
      <c r="D295" s="21" t="n">
        <f aca="false">IF(Variants!$O296="","",Variants!$O296)</f>
        <v>0</v>
      </c>
      <c r="E295" s="21" t="str">
        <f aca="false">Variants!$A296</f>
        <v>KARNI-EARRNG-ARTSAKHKHACH-M-BLUE-WHITE-YELLOW</v>
      </c>
      <c r="F295" s="21" t="str">
        <f aca="false">IF(Variants!$E296="","",Variants!$E296&amp;", Armenian, handmade, enamel, "&amp;Variants!$D296)</f>
        <v>Artsakhi Khachanakhsh, Armenian, handmade, enamel, Earring</v>
      </c>
      <c r="G295" s="21" t="str">
        <f aca="false">IFERROR(VLOOKUP(Variants!$B296,Designs!$A$3:$AP$165,12,FALSE())&amp;", enamel","")</f>
        <v>925 Silver Gold-Plated, enamel</v>
      </c>
      <c r="H295" s="21" t="str">
        <f aca="false">IF(Variants!$B296="","","I did")</f>
        <v>I did</v>
      </c>
      <c r="I295" s="21" t="str">
        <f aca="false">IF(Variants!$B296="","","Made to order")</f>
        <v>Made to order</v>
      </c>
      <c r="J295" s="21" t="str">
        <f aca="false">IF(Variants!$D296="","",Variants!$D296)</f>
        <v>Earring</v>
      </c>
      <c r="K295" s="21" t="str">
        <f aca="false">IF(Variants!$Y296="","",Variants!$Y296)</f>
        <v/>
      </c>
      <c r="L295" s="21" t="str">
        <f aca="false">IF(Variants!$H296="","",Variants!$H296)</f>
        <v>blue-white-yellow</v>
      </c>
      <c r="M295" s="21" t="str">
        <f aca="false">IF(Variants!$G296="","",Variants!$G296)</f>
        <v>medium</v>
      </c>
    </row>
    <row r="296" customFormat="false" ht="15.75" hidden="false" customHeight="true" outlineLevel="0" collapsed="false">
      <c r="A296" s="21" t="str">
        <f aca="false">IF(Variants!$B297="","",Variants!$C297&amp;" — "&amp;Variants!$E297&amp;IF(Variants!$F297=""," "," "&amp;Variants!$F297)&amp;" — "&amp;Variants!$H297)</f>
        <v>Vishab Earrings — Vishab  — blue</v>
      </c>
      <c r="B296" s="21" t="str">
        <f aca="false">IFERROR(IF(Variants!$B297="","",VLOOKUP(Variants!$B297,Designs!$A$3:$AP$165,9,FALSE())&amp;" Handmade in Armenia."),"")</f>
        <v>Vishaps are ancient Armenian dragon-stones (vishapakar) found in the highlands, among the oldest carved monuments in the region. Handmade in Armenia.</v>
      </c>
      <c r="C296" s="18" t="n">
        <f aca="false">IF(Variants!$J297="","",Variants!$J297)</f>
        <v>33.8</v>
      </c>
      <c r="D296" s="21" t="n">
        <f aca="false">IF(Variants!$O297="","",Variants!$O297)</f>
        <v>0</v>
      </c>
      <c r="E296" s="21" t="str">
        <f aca="false">Variants!$A297</f>
        <v>KARNI-EARRNG-VISHAB-S-BLUE</v>
      </c>
      <c r="F296" s="21" t="str">
        <f aca="false">IF(Variants!$E297="","",Variants!$E297&amp;", Armenian, handmade, enamel, "&amp;Variants!$D297)</f>
        <v>Vishab, Armenian, handmade, enamel, Earring</v>
      </c>
      <c r="G296" s="21" t="str">
        <f aca="false">IFERROR(VLOOKUP(Variants!$B297,Designs!$A$3:$AP$165,12,FALSE())&amp;", enamel","")</f>
        <v>925 Silver Gold-Plated, enamel</v>
      </c>
      <c r="H296" s="21" t="str">
        <f aca="false">IF(Variants!$B297="","","I did")</f>
        <v>I did</v>
      </c>
      <c r="I296" s="21" t="str">
        <f aca="false">IF(Variants!$B297="","","Made to order")</f>
        <v>Made to order</v>
      </c>
      <c r="J296" s="21" t="str">
        <f aca="false">IF(Variants!$D297="","",Variants!$D297)</f>
        <v>Earring</v>
      </c>
      <c r="K296" s="21" t="str">
        <f aca="false">IF(Variants!$Y297="","",Variants!$Y297)</f>
        <v/>
      </c>
      <c r="L296" s="21" t="str">
        <f aca="false">IF(Variants!$H297="","",Variants!$H297)</f>
        <v>blue</v>
      </c>
      <c r="M296" s="21" t="str">
        <f aca="false">IF(Variants!$G297="","",Variants!$G297)</f>
        <v>small</v>
      </c>
    </row>
    <row r="297" customFormat="false" ht="15.75" hidden="false" customHeight="true" outlineLevel="0" collapsed="false">
      <c r="A297" s="21" t="str">
        <f aca="false">IF(Variants!$B298="","",Variants!$C298&amp;" — "&amp;Variants!$E298&amp;IF(Variants!$F298=""," "," "&amp;Variants!$F298)&amp;" — "&amp;Variants!$H298)</f>
        <v>Vishab Earrings — Vishab  — white</v>
      </c>
      <c r="B297" s="21" t="str">
        <f aca="false">IFERROR(IF(Variants!$B298="","",VLOOKUP(Variants!$B298,Designs!$A$3:$AP$165,9,FALSE())&amp;" Handmade in Armenia."),"")</f>
        <v>Vishaps are ancient Armenian dragon-stones (vishapakar) found in the highlands, among the oldest carved monuments in the region. Handmade in Armenia.</v>
      </c>
      <c r="C297" s="18" t="n">
        <f aca="false">IF(Variants!$J298="","",Variants!$J298)</f>
        <v>33.8</v>
      </c>
      <c r="D297" s="21" t="n">
        <f aca="false">IF(Variants!$O298="","",Variants!$O298)</f>
        <v>0</v>
      </c>
      <c r="E297" s="21" t="str">
        <f aca="false">Variants!$A298</f>
        <v>KARNI-EARRNG-VISHAB-S-WHITE</v>
      </c>
      <c r="F297" s="21" t="str">
        <f aca="false">IF(Variants!$E298="","",Variants!$E298&amp;", Armenian, handmade, enamel, "&amp;Variants!$D298)</f>
        <v>Vishab, Armenian, handmade, enamel, Earring</v>
      </c>
      <c r="G297" s="21" t="str">
        <f aca="false">IFERROR(VLOOKUP(Variants!$B298,Designs!$A$3:$AP$165,12,FALSE())&amp;", enamel","")</f>
        <v>925 Silver Gold-Plated, enamel</v>
      </c>
      <c r="H297" s="21" t="str">
        <f aca="false">IF(Variants!$B298="","","I did")</f>
        <v>I did</v>
      </c>
      <c r="I297" s="21" t="str">
        <f aca="false">IF(Variants!$B298="","","Made to order")</f>
        <v>Made to order</v>
      </c>
      <c r="J297" s="21" t="str">
        <f aca="false">IF(Variants!$D298="","",Variants!$D298)</f>
        <v>Earring</v>
      </c>
      <c r="K297" s="21" t="str">
        <f aca="false">IF(Variants!$Y298="","",Variants!$Y298)</f>
        <v/>
      </c>
      <c r="L297" s="21" t="str">
        <f aca="false">IF(Variants!$H298="","",Variants!$H298)</f>
        <v>white</v>
      </c>
      <c r="M297" s="21" t="str">
        <f aca="false">IF(Variants!$G298="","",Variants!$G298)</f>
        <v>small</v>
      </c>
    </row>
    <row r="298" customFormat="false" ht="15.75" hidden="false" customHeight="true" outlineLevel="0" collapsed="false">
      <c r="A298" s="21" t="str">
        <f aca="false">IF(Variants!$B299="","",Variants!$C299&amp;" — "&amp;Variants!$E299&amp;IF(Variants!$F299=""," "," "&amp;Variants!$F299)&amp;" — "&amp;Variants!$H299)</f>
        <v>Vishab Earrings — Vishab  — bordeaux</v>
      </c>
      <c r="B298" s="21" t="str">
        <f aca="false">IFERROR(IF(Variants!$B299="","",VLOOKUP(Variants!$B299,Designs!$A$3:$AP$165,9,FALSE())&amp;" Handmade in Armenia."),"")</f>
        <v>Vishaps are ancient Armenian dragon-stones (vishapakar) found in the highlands, among the oldest carved monuments in the region. Handmade in Armenia.</v>
      </c>
      <c r="C298" s="18" t="n">
        <f aca="false">IF(Variants!$J299="","",Variants!$J299)</f>
        <v>33.8</v>
      </c>
      <c r="D298" s="21" t="n">
        <f aca="false">IF(Variants!$O299="","",Variants!$O299)</f>
        <v>0</v>
      </c>
      <c r="E298" s="21" t="str">
        <f aca="false">Variants!$A299</f>
        <v>KARNI-EARRNG-VISHAB-S-BORDEAUX</v>
      </c>
      <c r="F298" s="21" t="str">
        <f aca="false">IF(Variants!$E299="","",Variants!$E299&amp;", Armenian, handmade, enamel, "&amp;Variants!$D299)</f>
        <v>Vishab, Armenian, handmade, enamel, Earring</v>
      </c>
      <c r="G298" s="21" t="str">
        <f aca="false">IFERROR(VLOOKUP(Variants!$B299,Designs!$A$3:$AP$165,12,FALSE())&amp;", enamel","")</f>
        <v>925 Silver Gold-Plated, enamel</v>
      </c>
      <c r="H298" s="21" t="str">
        <f aca="false">IF(Variants!$B299="","","I did")</f>
        <v>I did</v>
      </c>
      <c r="I298" s="21" t="str">
        <f aca="false">IF(Variants!$B299="","","Made to order")</f>
        <v>Made to order</v>
      </c>
      <c r="J298" s="21" t="str">
        <f aca="false">IF(Variants!$D299="","",Variants!$D299)</f>
        <v>Earring</v>
      </c>
      <c r="K298" s="21" t="str">
        <f aca="false">IF(Variants!$Y299="","",Variants!$Y299)</f>
        <v/>
      </c>
      <c r="L298" s="21" t="str">
        <f aca="false">IF(Variants!$H299="","",Variants!$H299)</f>
        <v>bordeaux</v>
      </c>
      <c r="M298" s="21" t="str">
        <f aca="false">IF(Variants!$G299="","",Variants!$G299)</f>
        <v>small</v>
      </c>
    </row>
    <row r="299" customFormat="false" ht="15.75" hidden="false" customHeight="true" outlineLevel="0" collapsed="false">
      <c r="A299" s="21" t="str">
        <f aca="false">IF(Variants!$B300="","",Variants!$C300&amp;" — "&amp;Variants!$E300&amp;IF(Variants!$F300=""," "," "&amp;Variants!$F300)&amp;" — "&amp;Variants!$H300)</f>
        <v>Vishab Earrings — Vishab  — turquoise</v>
      </c>
      <c r="B299" s="21" t="str">
        <f aca="false">IFERROR(IF(Variants!$B300="","",VLOOKUP(Variants!$B300,Designs!$A$3:$AP$165,9,FALSE())&amp;" Handmade in Armenia."),"")</f>
        <v>Vishaps are ancient Armenian dragon-stones (vishapakar) found in the highlands, among the oldest carved monuments in the region. Handmade in Armenia.</v>
      </c>
      <c r="C299" s="18" t="n">
        <f aca="false">IF(Variants!$J300="","",Variants!$J300)</f>
        <v>33.8</v>
      </c>
      <c r="D299" s="21" t="n">
        <f aca="false">IF(Variants!$O300="","",Variants!$O300)</f>
        <v>0</v>
      </c>
      <c r="E299" s="21" t="str">
        <f aca="false">Variants!$A300</f>
        <v>KARNI-EARRNG-VISHAB-S-TURQUOISE</v>
      </c>
      <c r="F299" s="21" t="str">
        <f aca="false">IF(Variants!$E300="","",Variants!$E300&amp;", Armenian, handmade, enamel, "&amp;Variants!$D300)</f>
        <v>Vishab, Armenian, handmade, enamel, Earring</v>
      </c>
      <c r="G299" s="21" t="str">
        <f aca="false">IFERROR(VLOOKUP(Variants!$B300,Designs!$A$3:$AP$165,12,FALSE())&amp;", enamel","")</f>
        <v>925 Silver Gold-Plated, enamel</v>
      </c>
      <c r="H299" s="21" t="str">
        <f aca="false">IF(Variants!$B300="","","I did")</f>
        <v>I did</v>
      </c>
      <c r="I299" s="21" t="str">
        <f aca="false">IF(Variants!$B300="","","Made to order")</f>
        <v>Made to order</v>
      </c>
      <c r="J299" s="21" t="str">
        <f aca="false">IF(Variants!$D300="","",Variants!$D300)</f>
        <v>Earring</v>
      </c>
      <c r="K299" s="21" t="str">
        <f aca="false">IF(Variants!$Y300="","",Variants!$Y300)</f>
        <v/>
      </c>
      <c r="L299" s="21" t="str">
        <f aca="false">IF(Variants!$H300="","",Variants!$H300)</f>
        <v>turquoise</v>
      </c>
      <c r="M299" s="21" t="str">
        <f aca="false">IF(Variants!$G300="","",Variants!$G300)</f>
        <v>small</v>
      </c>
    </row>
    <row r="300" customFormat="false" ht="15.75" hidden="false" customHeight="true" outlineLevel="0" collapsed="false">
      <c r="A300" s="21" t="str">
        <f aca="false">IF(Variants!$B301="","",Variants!$C301&amp;" — "&amp;Variants!$E301&amp;IF(Variants!$F301=""," "," "&amp;Variants!$F301)&amp;" — "&amp;Variants!$H301)</f>
        <v>Vishab Earrings — Vishab  — green</v>
      </c>
      <c r="B300" s="21" t="str">
        <f aca="false">IFERROR(IF(Variants!$B301="","",VLOOKUP(Variants!$B301,Designs!$A$3:$AP$165,9,FALSE())&amp;" Handmade in Armenia."),"")</f>
        <v>Vishaps are ancient Armenian dragon-stones (vishapakar) found in the highlands, among the oldest carved monuments in the region. Handmade in Armenia.</v>
      </c>
      <c r="C300" s="18" t="n">
        <f aca="false">IF(Variants!$J301="","",Variants!$J301)</f>
        <v>33.8</v>
      </c>
      <c r="D300" s="21" t="n">
        <f aca="false">IF(Variants!$O301="","",Variants!$O301)</f>
        <v>0</v>
      </c>
      <c r="E300" s="21" t="str">
        <f aca="false">Variants!$A301</f>
        <v>KARNI-EARRNG-VISHAB-S-GREEN</v>
      </c>
      <c r="F300" s="21" t="str">
        <f aca="false">IF(Variants!$E301="","",Variants!$E301&amp;", Armenian, handmade, enamel, "&amp;Variants!$D301)</f>
        <v>Vishab, Armenian, handmade, enamel, Earring</v>
      </c>
      <c r="G300" s="21" t="str">
        <f aca="false">IFERROR(VLOOKUP(Variants!$B301,Designs!$A$3:$AP$165,12,FALSE())&amp;", enamel","")</f>
        <v>925 Silver Gold-Plated, enamel</v>
      </c>
      <c r="H300" s="21" t="str">
        <f aca="false">IF(Variants!$B301="","","I did")</f>
        <v>I did</v>
      </c>
      <c r="I300" s="21" t="str">
        <f aca="false">IF(Variants!$B301="","","Made to order")</f>
        <v>Made to order</v>
      </c>
      <c r="J300" s="21" t="str">
        <f aca="false">IF(Variants!$D301="","",Variants!$D301)</f>
        <v>Earring</v>
      </c>
      <c r="K300" s="21" t="str">
        <f aca="false">IF(Variants!$Y301="","",Variants!$Y301)</f>
        <v/>
      </c>
      <c r="L300" s="21" t="str">
        <f aca="false">IF(Variants!$H301="","",Variants!$H301)</f>
        <v>green</v>
      </c>
      <c r="M300" s="21" t="str">
        <f aca="false">IF(Variants!$G301="","",Variants!$G301)</f>
        <v>small</v>
      </c>
    </row>
    <row r="301" customFormat="false" ht="15.75" hidden="false" customHeight="true" outlineLevel="0" collapsed="false">
      <c r="A301" s="21" t="str">
        <f aca="false">IF(Variants!$B302="","",Variants!$C302&amp;" — "&amp;Variants!$E302&amp;IF(Variants!$F302=""," "," "&amp;Variants!$F302)&amp;" — "&amp;Variants!$H302)</f>
        <v>Vishab Earrings — Vishab  — white-blue</v>
      </c>
      <c r="B301" s="21" t="str">
        <f aca="false">IFERROR(IF(Variants!$B302="","",VLOOKUP(Variants!$B302,Designs!$A$3:$AP$165,9,FALSE())&amp;" Handmade in Armenia."),"")</f>
        <v>Vishaps are ancient Armenian dragon-stones (vishapakar) found in the highlands, among the oldest carved monuments in the region. Handmade in Armenia.</v>
      </c>
      <c r="C301" s="18" t="n">
        <f aca="false">IF(Variants!$J302="","",Variants!$J302)</f>
        <v>70.2</v>
      </c>
      <c r="D301" s="21" t="n">
        <f aca="false">IF(Variants!$O302="","",Variants!$O302)</f>
        <v>0</v>
      </c>
      <c r="E301" s="21" t="str">
        <f aca="false">Variants!$A302</f>
        <v>KARNI-EARRNG-VISHAB-M-WHITE-BLUE</v>
      </c>
      <c r="F301" s="21" t="str">
        <f aca="false">IF(Variants!$E302="","",Variants!$E302&amp;", Armenian, handmade, enamel, "&amp;Variants!$D302)</f>
        <v>Vishab, Armenian, handmade, enamel, Earring</v>
      </c>
      <c r="G301" s="21" t="str">
        <f aca="false">IFERROR(VLOOKUP(Variants!$B302,Designs!$A$3:$AP$165,12,FALSE())&amp;", enamel","")</f>
        <v>925 Silver Gold-Plated, enamel</v>
      </c>
      <c r="H301" s="21" t="str">
        <f aca="false">IF(Variants!$B302="","","I did")</f>
        <v>I did</v>
      </c>
      <c r="I301" s="21" t="str">
        <f aca="false">IF(Variants!$B302="","","Made to order")</f>
        <v>Made to order</v>
      </c>
      <c r="J301" s="21" t="str">
        <f aca="false">IF(Variants!$D302="","",Variants!$D302)</f>
        <v>Earring</v>
      </c>
      <c r="K301" s="21" t="str">
        <f aca="false">IF(Variants!$Y302="","",Variants!$Y302)</f>
        <v/>
      </c>
      <c r="L301" s="21" t="str">
        <f aca="false">IF(Variants!$H302="","",Variants!$H302)</f>
        <v>white-blue</v>
      </c>
      <c r="M301" s="21" t="str">
        <f aca="false">IF(Variants!$G302="","",Variants!$G302)</f>
        <v>medium</v>
      </c>
    </row>
    <row r="302" customFormat="false" ht="15.75" hidden="false" customHeight="true" outlineLevel="0" collapsed="false">
      <c r="A302" s="21" t="str">
        <f aca="false">IF(Variants!$B303="","",Variants!$C303&amp;" — "&amp;Variants!$E303&amp;IF(Variants!$F303=""," "," "&amp;Variants!$F303)&amp;" — "&amp;Variants!$H303)</f>
        <v>Vishab Earrings — Vishab  — white-bordeaux</v>
      </c>
      <c r="B302" s="21" t="str">
        <f aca="false">IFERROR(IF(Variants!$B303="","",VLOOKUP(Variants!$B303,Designs!$A$3:$AP$165,9,FALSE())&amp;" Handmade in Armenia."),"")</f>
        <v>Vishaps are ancient Armenian dragon-stones (vishapakar) found in the highlands, among the oldest carved monuments in the region. Handmade in Armenia.</v>
      </c>
      <c r="C302" s="18" t="n">
        <f aca="false">IF(Variants!$J303="","",Variants!$J303)</f>
        <v>70.2</v>
      </c>
      <c r="D302" s="21" t="n">
        <f aca="false">IF(Variants!$O303="","",Variants!$O303)</f>
        <v>0</v>
      </c>
      <c r="E302" s="21" t="str">
        <f aca="false">Variants!$A303</f>
        <v>KARNI-EARRNG-VISHAB-M-WHITE-BORDEAUX</v>
      </c>
      <c r="F302" s="21" t="str">
        <f aca="false">IF(Variants!$E303="","",Variants!$E303&amp;", Armenian, handmade, enamel, "&amp;Variants!$D303)</f>
        <v>Vishab, Armenian, handmade, enamel, Earring</v>
      </c>
      <c r="G302" s="21" t="str">
        <f aca="false">IFERROR(VLOOKUP(Variants!$B303,Designs!$A$3:$AP$165,12,FALSE())&amp;", enamel","")</f>
        <v>925 Silver Gold-Plated, enamel</v>
      </c>
      <c r="H302" s="21" t="str">
        <f aca="false">IF(Variants!$B303="","","I did")</f>
        <v>I did</v>
      </c>
      <c r="I302" s="21" t="str">
        <f aca="false">IF(Variants!$B303="","","Made to order")</f>
        <v>Made to order</v>
      </c>
      <c r="J302" s="21" t="str">
        <f aca="false">IF(Variants!$D303="","",Variants!$D303)</f>
        <v>Earring</v>
      </c>
      <c r="K302" s="21" t="str">
        <f aca="false">IF(Variants!$Y303="","",Variants!$Y303)</f>
        <v/>
      </c>
      <c r="L302" s="21" t="str">
        <f aca="false">IF(Variants!$H303="","",Variants!$H303)</f>
        <v>white-bordeaux</v>
      </c>
      <c r="M302" s="21" t="str">
        <f aca="false">IF(Variants!$G303="","",Variants!$G303)</f>
        <v>medium</v>
      </c>
    </row>
    <row r="303" customFormat="false" ht="15.75" hidden="false" customHeight="true" outlineLevel="0" collapsed="false">
      <c r="A303" s="21" t="str">
        <f aca="false">IF(Variants!$B304="","",Variants!$C304&amp;" — "&amp;Variants!$E304&amp;IF(Variants!$F304=""," "," "&amp;Variants!$F304)&amp;" — "&amp;Variants!$H304)</f>
        <v>Vishab Earrings — Vishab  — turquoise-blue</v>
      </c>
      <c r="B303" s="21" t="str">
        <f aca="false">IFERROR(IF(Variants!$B304="","",VLOOKUP(Variants!$B304,Designs!$A$3:$AP$165,9,FALSE())&amp;" Handmade in Armenia."),"")</f>
        <v>Vishaps are ancient Armenian dragon-stones (vishapakar) found in the highlands, among the oldest carved monuments in the region. Handmade in Armenia.</v>
      </c>
      <c r="C303" s="18" t="n">
        <f aca="false">IF(Variants!$J304="","",Variants!$J304)</f>
        <v>70.2</v>
      </c>
      <c r="D303" s="21" t="n">
        <f aca="false">IF(Variants!$O304="","",Variants!$O304)</f>
        <v>0</v>
      </c>
      <c r="E303" s="21" t="str">
        <f aca="false">Variants!$A304</f>
        <v>KARNI-EARRNG-VISHAB-M-TURQUOISE-BLUE</v>
      </c>
      <c r="F303" s="21" t="str">
        <f aca="false">IF(Variants!$E304="","",Variants!$E304&amp;", Armenian, handmade, enamel, "&amp;Variants!$D304)</f>
        <v>Vishab, Armenian, handmade, enamel, Earring</v>
      </c>
      <c r="G303" s="21" t="str">
        <f aca="false">IFERROR(VLOOKUP(Variants!$B304,Designs!$A$3:$AP$165,12,FALSE())&amp;", enamel","")</f>
        <v>925 Silver Gold-Plated, enamel</v>
      </c>
      <c r="H303" s="21" t="str">
        <f aca="false">IF(Variants!$B304="","","I did")</f>
        <v>I did</v>
      </c>
      <c r="I303" s="21" t="str">
        <f aca="false">IF(Variants!$B304="","","Made to order")</f>
        <v>Made to order</v>
      </c>
      <c r="J303" s="21" t="str">
        <f aca="false">IF(Variants!$D304="","",Variants!$D304)</f>
        <v>Earring</v>
      </c>
      <c r="K303" s="21" t="str">
        <f aca="false">IF(Variants!$Y304="","",Variants!$Y304)</f>
        <v/>
      </c>
      <c r="L303" s="21" t="str">
        <f aca="false">IF(Variants!$H304="","",Variants!$H304)</f>
        <v>turquoise-blue</v>
      </c>
      <c r="M303" s="21" t="str">
        <f aca="false">IF(Variants!$G304="","",Variants!$G304)</f>
        <v>medium</v>
      </c>
    </row>
    <row r="304" customFormat="false" ht="15.75" hidden="false" customHeight="true" outlineLevel="0" collapsed="false">
      <c r="A304" s="21" t="str">
        <f aca="false">IF(Variants!$B305="","",Variants!$C305&amp;" — "&amp;Variants!$E305&amp;IF(Variants!$F305=""," "," "&amp;Variants!$F305)&amp;" — "&amp;Variants!$H305)</f>
        <v>Vishab Earrings — Vishab  — blue-red</v>
      </c>
      <c r="B304" s="21" t="str">
        <f aca="false">IFERROR(IF(Variants!$B305="","",VLOOKUP(Variants!$B305,Designs!$A$3:$AP$165,9,FALSE())&amp;" Handmade in Armenia."),"")</f>
        <v>Vishaps are ancient Armenian dragon-stones (vishapakar) found in the highlands, among the oldest carved monuments in the region. Handmade in Armenia.</v>
      </c>
      <c r="C304" s="18" t="n">
        <f aca="false">IF(Variants!$J305="","",Variants!$J305)</f>
        <v>70.2</v>
      </c>
      <c r="D304" s="21" t="n">
        <f aca="false">IF(Variants!$O305="","",Variants!$O305)</f>
        <v>0</v>
      </c>
      <c r="E304" s="21" t="str">
        <f aca="false">Variants!$A305</f>
        <v>KARNI-EARRNG-VISHAB-M-BLUE-RED</v>
      </c>
      <c r="F304" s="21" t="str">
        <f aca="false">IF(Variants!$E305="","",Variants!$E305&amp;", Armenian, handmade, enamel, "&amp;Variants!$D305)</f>
        <v>Vishab, Armenian, handmade, enamel, Earring</v>
      </c>
      <c r="G304" s="21" t="str">
        <f aca="false">IFERROR(VLOOKUP(Variants!$B305,Designs!$A$3:$AP$165,12,FALSE())&amp;", enamel","")</f>
        <v>925 Silver Gold-Plated, enamel</v>
      </c>
      <c r="H304" s="21" t="str">
        <f aca="false">IF(Variants!$B305="","","I did")</f>
        <v>I did</v>
      </c>
      <c r="I304" s="21" t="str">
        <f aca="false">IF(Variants!$B305="","","Made to order")</f>
        <v>Made to order</v>
      </c>
      <c r="J304" s="21" t="str">
        <f aca="false">IF(Variants!$D305="","",Variants!$D305)</f>
        <v>Earring</v>
      </c>
      <c r="K304" s="21" t="str">
        <f aca="false">IF(Variants!$Y305="","",Variants!$Y305)</f>
        <v/>
      </c>
      <c r="L304" s="21" t="str">
        <f aca="false">IF(Variants!$H305="","",Variants!$H305)</f>
        <v>blue-red</v>
      </c>
      <c r="M304" s="21" t="str">
        <f aca="false">IF(Variants!$G305="","",Variants!$G305)</f>
        <v>medium</v>
      </c>
    </row>
    <row r="305" customFormat="false" ht="15.75" hidden="false" customHeight="true" outlineLevel="0" collapsed="false">
      <c r="A305" s="21" t="str">
        <f aca="false">IF(Variants!$B306="","",Variants!$C306&amp;" — "&amp;Variants!$E306&amp;IF(Variants!$F306=""," "," "&amp;Variants!$F306)&amp;" — "&amp;Variants!$H306)</f>
        <v>Արեւագորգի Վիշապ — Vishab Arevagorg  — blue</v>
      </c>
      <c r="B305" s="21" t="str">
        <f aca="false">IFERROR(IF(Variants!$B306="","",VLOOKUP(Variants!$B306,Designs!$A$3:$AP$165,9,FALSE())&amp;" Handmade in Armenia."),"")</f>
        <v>Combines the vishap (dragon) motif with the arevagorg (sun-carpet) — an Armenian solar ornament symbolising life and eternity. Handmade in Armenia.</v>
      </c>
      <c r="C305" s="18" t="n">
        <f aca="false">IF(Variants!$J306="","",Variants!$J306)</f>
        <v>33.8</v>
      </c>
      <c r="D305" s="21" t="n">
        <f aca="false">IF(Variants!$O306="","",Variants!$O306)</f>
        <v>0</v>
      </c>
      <c r="E305" s="21" t="str">
        <f aca="false">Variants!$A306</f>
        <v>KARNI-EARRNG-VISHABAREVAGORG-S-BLUE</v>
      </c>
      <c r="F305" s="21" t="str">
        <f aca="false">IF(Variants!$E306="","",Variants!$E306&amp;", Armenian, handmade, enamel, "&amp;Variants!$D306)</f>
        <v>Vishab Arevagorg, Armenian, handmade, enamel, Earring</v>
      </c>
      <c r="G305" s="21" t="str">
        <f aca="false">IFERROR(VLOOKUP(Variants!$B306,Designs!$A$3:$AP$165,12,FALSE())&amp;", enamel","")</f>
        <v>925 Silver Gold-Plated, enamel</v>
      </c>
      <c r="H305" s="21" t="str">
        <f aca="false">IF(Variants!$B306="","","I did")</f>
        <v>I did</v>
      </c>
      <c r="I305" s="21" t="str">
        <f aca="false">IF(Variants!$B306="","","Made to order")</f>
        <v>Made to order</v>
      </c>
      <c r="J305" s="21" t="str">
        <f aca="false">IF(Variants!$D306="","",Variants!$D306)</f>
        <v>Earring</v>
      </c>
      <c r="K305" s="21" t="str">
        <f aca="false">IF(Variants!$Y306="","",Variants!$Y306)</f>
        <v/>
      </c>
      <c r="L305" s="21" t="str">
        <f aca="false">IF(Variants!$H306="","",Variants!$H306)</f>
        <v>blue</v>
      </c>
      <c r="M305" s="21" t="str">
        <f aca="false">IF(Variants!$G306="","",Variants!$G306)</f>
        <v>small</v>
      </c>
    </row>
    <row r="306" customFormat="false" ht="15.75" hidden="false" customHeight="true" outlineLevel="0" collapsed="false">
      <c r="A306" s="21" t="str">
        <f aca="false">IF(Variants!$B307="","",Variants!$C307&amp;" — "&amp;Variants!$E307&amp;IF(Variants!$F307=""," "," "&amp;Variants!$F307)&amp;" — "&amp;Variants!$H307)</f>
        <v>Արեւագորգի Վիշապ — Vishab Arevagorg  — white</v>
      </c>
      <c r="B306" s="21" t="str">
        <f aca="false">IFERROR(IF(Variants!$B307="","",VLOOKUP(Variants!$B307,Designs!$A$3:$AP$165,9,FALSE())&amp;" Handmade in Armenia."),"")</f>
        <v>Combines the vishap (dragon) motif with the arevagorg (sun-carpet) — an Armenian solar ornament symbolising life and eternity. Handmade in Armenia.</v>
      </c>
      <c r="C306" s="18" t="n">
        <f aca="false">IF(Variants!$J307="","",Variants!$J307)</f>
        <v>33.8</v>
      </c>
      <c r="D306" s="21" t="n">
        <f aca="false">IF(Variants!$O307="","",Variants!$O307)</f>
        <v>0</v>
      </c>
      <c r="E306" s="21" t="str">
        <f aca="false">Variants!$A307</f>
        <v>KARNI-EARRNG-VISHABAREVAGORG-S-WHITE</v>
      </c>
      <c r="F306" s="21" t="str">
        <f aca="false">IF(Variants!$E307="","",Variants!$E307&amp;", Armenian, handmade, enamel, "&amp;Variants!$D307)</f>
        <v>Vishab Arevagorg, Armenian, handmade, enamel, Earring</v>
      </c>
      <c r="G306" s="21" t="str">
        <f aca="false">IFERROR(VLOOKUP(Variants!$B307,Designs!$A$3:$AP$165,12,FALSE())&amp;", enamel","")</f>
        <v>925 Silver Gold-Plated, enamel</v>
      </c>
      <c r="H306" s="21" t="str">
        <f aca="false">IF(Variants!$B307="","","I did")</f>
        <v>I did</v>
      </c>
      <c r="I306" s="21" t="str">
        <f aca="false">IF(Variants!$B307="","","Made to order")</f>
        <v>Made to order</v>
      </c>
      <c r="J306" s="21" t="str">
        <f aca="false">IF(Variants!$D307="","",Variants!$D307)</f>
        <v>Earring</v>
      </c>
      <c r="K306" s="21" t="str">
        <f aca="false">IF(Variants!$Y307="","",Variants!$Y307)</f>
        <v/>
      </c>
      <c r="L306" s="21" t="str">
        <f aca="false">IF(Variants!$H307="","",Variants!$H307)</f>
        <v>white</v>
      </c>
      <c r="M306" s="21" t="str">
        <f aca="false">IF(Variants!$G307="","",Variants!$G307)</f>
        <v>small</v>
      </c>
    </row>
    <row r="307" customFormat="false" ht="15.75" hidden="false" customHeight="true" outlineLevel="0" collapsed="false">
      <c r="A307" s="21" t="str">
        <f aca="false">IF(Variants!$B308="","",Variants!$C308&amp;" — "&amp;Variants!$E308&amp;IF(Variants!$F308=""," "," "&amp;Variants!$F308)&amp;" — "&amp;Variants!$H308)</f>
        <v>Արեւագորգի Վիշապ — Vishab Arevagorg  — bordeaux</v>
      </c>
      <c r="B307" s="21" t="str">
        <f aca="false">IFERROR(IF(Variants!$B308="","",VLOOKUP(Variants!$B308,Designs!$A$3:$AP$165,9,FALSE())&amp;" Handmade in Armenia."),"")</f>
        <v>Combines the vishap (dragon) motif with the arevagorg (sun-carpet) — an Armenian solar ornament symbolising life and eternity. Handmade in Armenia.</v>
      </c>
      <c r="C307" s="18" t="n">
        <f aca="false">IF(Variants!$J308="","",Variants!$J308)</f>
        <v>33.8</v>
      </c>
      <c r="D307" s="21" t="n">
        <f aca="false">IF(Variants!$O308="","",Variants!$O308)</f>
        <v>0</v>
      </c>
      <c r="E307" s="21" t="str">
        <f aca="false">Variants!$A308</f>
        <v>KARNI-EARRNG-VISHABAREVAGORG-S-BORDEAUX</v>
      </c>
      <c r="F307" s="21" t="str">
        <f aca="false">IF(Variants!$E308="","",Variants!$E308&amp;", Armenian, handmade, enamel, "&amp;Variants!$D308)</f>
        <v>Vishab Arevagorg, Armenian, handmade, enamel, Earring</v>
      </c>
      <c r="G307" s="21" t="str">
        <f aca="false">IFERROR(VLOOKUP(Variants!$B308,Designs!$A$3:$AP$165,12,FALSE())&amp;", enamel","")</f>
        <v>925 Silver Gold-Plated, enamel</v>
      </c>
      <c r="H307" s="21" t="str">
        <f aca="false">IF(Variants!$B308="","","I did")</f>
        <v>I did</v>
      </c>
      <c r="I307" s="21" t="str">
        <f aca="false">IF(Variants!$B308="","","Made to order")</f>
        <v>Made to order</v>
      </c>
      <c r="J307" s="21" t="str">
        <f aca="false">IF(Variants!$D308="","",Variants!$D308)</f>
        <v>Earring</v>
      </c>
      <c r="K307" s="21" t="str">
        <f aca="false">IF(Variants!$Y308="","",Variants!$Y308)</f>
        <v/>
      </c>
      <c r="L307" s="21" t="str">
        <f aca="false">IF(Variants!$H308="","",Variants!$H308)</f>
        <v>bordeaux</v>
      </c>
      <c r="M307" s="21" t="str">
        <f aca="false">IF(Variants!$G308="","",Variants!$G308)</f>
        <v>small</v>
      </c>
    </row>
    <row r="308" customFormat="false" ht="15.75" hidden="false" customHeight="true" outlineLevel="0" collapsed="false">
      <c r="A308" s="21" t="str">
        <f aca="false">IF(Variants!$B309="","",Variants!$C309&amp;" — "&amp;Variants!$E309&amp;IF(Variants!$F309=""," "," "&amp;Variants!$F309)&amp;" — "&amp;Variants!$H309)</f>
        <v>Արեւագորգի Վիշապ — Vishab Arevagorg  — turquoise</v>
      </c>
      <c r="B308" s="21" t="str">
        <f aca="false">IFERROR(IF(Variants!$B309="","",VLOOKUP(Variants!$B309,Designs!$A$3:$AP$165,9,FALSE())&amp;" Handmade in Armenia."),"")</f>
        <v>Combines the vishap (dragon) motif with the arevagorg (sun-carpet) — an Armenian solar ornament symbolising life and eternity. Handmade in Armenia.</v>
      </c>
      <c r="C308" s="18" t="n">
        <f aca="false">IF(Variants!$J309="","",Variants!$J309)</f>
        <v>33.8</v>
      </c>
      <c r="D308" s="21" t="n">
        <f aca="false">IF(Variants!$O309="","",Variants!$O309)</f>
        <v>0</v>
      </c>
      <c r="E308" s="21" t="str">
        <f aca="false">Variants!$A309</f>
        <v>KARNI-EARRNG-VISHABAREVAGORG-S-TURQUOISE</v>
      </c>
      <c r="F308" s="21" t="str">
        <f aca="false">IF(Variants!$E309="","",Variants!$E309&amp;", Armenian, handmade, enamel, "&amp;Variants!$D309)</f>
        <v>Vishab Arevagorg, Armenian, handmade, enamel, Earring</v>
      </c>
      <c r="G308" s="21" t="str">
        <f aca="false">IFERROR(VLOOKUP(Variants!$B309,Designs!$A$3:$AP$165,12,FALSE())&amp;", enamel","")</f>
        <v>925 Silver Gold-Plated, enamel</v>
      </c>
      <c r="H308" s="21" t="str">
        <f aca="false">IF(Variants!$B309="","","I did")</f>
        <v>I did</v>
      </c>
      <c r="I308" s="21" t="str">
        <f aca="false">IF(Variants!$B309="","","Made to order")</f>
        <v>Made to order</v>
      </c>
      <c r="J308" s="21" t="str">
        <f aca="false">IF(Variants!$D309="","",Variants!$D309)</f>
        <v>Earring</v>
      </c>
      <c r="K308" s="21" t="str">
        <f aca="false">IF(Variants!$Y309="","",Variants!$Y309)</f>
        <v/>
      </c>
      <c r="L308" s="21" t="str">
        <f aca="false">IF(Variants!$H309="","",Variants!$H309)</f>
        <v>turquoise</v>
      </c>
      <c r="M308" s="21" t="str">
        <f aca="false">IF(Variants!$G309="","",Variants!$G309)</f>
        <v>small</v>
      </c>
    </row>
    <row r="309" customFormat="false" ht="15.75" hidden="false" customHeight="true" outlineLevel="0" collapsed="false">
      <c r="A309" s="21" t="str">
        <f aca="false">IF(Variants!$B310="","",Variants!$C310&amp;" — "&amp;Variants!$E310&amp;IF(Variants!$F310=""," "," "&amp;Variants!$F310)&amp;" — "&amp;Variants!$H310)</f>
        <v>Արեւագորգի Վիշապ — Vishab Arevagorg  — green</v>
      </c>
      <c r="B309" s="21" t="str">
        <f aca="false">IFERROR(IF(Variants!$B310="","",VLOOKUP(Variants!$B310,Designs!$A$3:$AP$165,9,FALSE())&amp;" Handmade in Armenia."),"")</f>
        <v>Combines the vishap (dragon) motif with the arevagorg (sun-carpet) — an Armenian solar ornament symbolising life and eternity. Handmade in Armenia.</v>
      </c>
      <c r="C309" s="18" t="n">
        <f aca="false">IF(Variants!$J310="","",Variants!$J310)</f>
        <v>33.8</v>
      </c>
      <c r="D309" s="21" t="n">
        <f aca="false">IF(Variants!$O310="","",Variants!$O310)</f>
        <v>0</v>
      </c>
      <c r="E309" s="21" t="str">
        <f aca="false">Variants!$A310</f>
        <v>KARNI-EARRNG-VISHABAREVAGORG-S-GREEN</v>
      </c>
      <c r="F309" s="21" t="str">
        <f aca="false">IF(Variants!$E310="","",Variants!$E310&amp;", Armenian, handmade, enamel, "&amp;Variants!$D310)</f>
        <v>Vishab Arevagorg, Armenian, handmade, enamel, Earring</v>
      </c>
      <c r="G309" s="21" t="str">
        <f aca="false">IFERROR(VLOOKUP(Variants!$B310,Designs!$A$3:$AP$165,12,FALSE())&amp;", enamel","")</f>
        <v>925 Silver Gold-Plated, enamel</v>
      </c>
      <c r="H309" s="21" t="str">
        <f aca="false">IF(Variants!$B310="","","I did")</f>
        <v>I did</v>
      </c>
      <c r="I309" s="21" t="str">
        <f aca="false">IF(Variants!$B310="","","Made to order")</f>
        <v>Made to order</v>
      </c>
      <c r="J309" s="21" t="str">
        <f aca="false">IF(Variants!$D310="","",Variants!$D310)</f>
        <v>Earring</v>
      </c>
      <c r="K309" s="21" t="str">
        <f aca="false">IF(Variants!$Y310="","",Variants!$Y310)</f>
        <v/>
      </c>
      <c r="L309" s="21" t="str">
        <f aca="false">IF(Variants!$H310="","",Variants!$H310)</f>
        <v>green</v>
      </c>
      <c r="M309" s="21" t="str">
        <f aca="false">IF(Variants!$G310="","",Variants!$G310)</f>
        <v>small</v>
      </c>
    </row>
    <row r="310" customFormat="false" ht="15.75" hidden="false" customHeight="true" outlineLevel="0" collapsed="false">
      <c r="A310" s="21" t="str">
        <f aca="false">IF(Variants!$B311="","",Variants!$C311&amp;" — "&amp;Variants!$E311&amp;IF(Variants!$F311=""," "," "&amp;Variants!$F311)&amp;" — "&amp;Variants!$H311)</f>
        <v>Արեւագորգի Վիշապ — Vishab Arevagorg  — white-blue-yellow</v>
      </c>
      <c r="B310" s="21" t="str">
        <f aca="false">IFERROR(IF(Variants!$B311="","",VLOOKUP(Variants!$B311,Designs!$A$3:$AP$165,9,FALSE())&amp;" Handmade in Armenia."),"")</f>
        <v>Combines the vishap (dragon) motif with the arevagorg (sun-carpet) — an Armenian solar ornament symbolising life and eternity. Handmade in Armenia.</v>
      </c>
      <c r="C310" s="18" t="n">
        <f aca="false">IF(Variants!$J311="","",Variants!$J311)</f>
        <v>70.2</v>
      </c>
      <c r="D310" s="21" t="n">
        <f aca="false">IF(Variants!$O311="","",Variants!$O311)</f>
        <v>0</v>
      </c>
      <c r="E310" s="21" t="str">
        <f aca="false">Variants!$A311</f>
        <v>KARNI-EARRNG-VISHABAREVAGORG-M-WHITE-BLUE-YELLOW</v>
      </c>
      <c r="F310" s="21" t="str">
        <f aca="false">IF(Variants!$E311="","",Variants!$E311&amp;", Armenian, handmade, enamel, "&amp;Variants!$D311)</f>
        <v>Vishab Arevagorg, Armenian, handmade, enamel, Earring</v>
      </c>
      <c r="G310" s="21" t="str">
        <f aca="false">IFERROR(VLOOKUP(Variants!$B311,Designs!$A$3:$AP$165,12,FALSE())&amp;", enamel","")</f>
        <v>925 Silver Gold-Plated, enamel</v>
      </c>
      <c r="H310" s="21" t="str">
        <f aca="false">IF(Variants!$B311="","","I did")</f>
        <v>I did</v>
      </c>
      <c r="I310" s="21" t="str">
        <f aca="false">IF(Variants!$B311="","","Made to order")</f>
        <v>Made to order</v>
      </c>
      <c r="J310" s="21" t="str">
        <f aca="false">IF(Variants!$D311="","",Variants!$D311)</f>
        <v>Earring</v>
      </c>
      <c r="K310" s="21" t="str">
        <f aca="false">IF(Variants!$Y311="","",Variants!$Y311)</f>
        <v/>
      </c>
      <c r="L310" s="21" t="str">
        <f aca="false">IF(Variants!$H311="","",Variants!$H311)</f>
        <v>white-blue-yellow</v>
      </c>
      <c r="M310" s="21" t="str">
        <f aca="false">IF(Variants!$G311="","",Variants!$G311)</f>
        <v>medium</v>
      </c>
    </row>
    <row r="311" customFormat="false" ht="15.75" hidden="false" customHeight="true" outlineLevel="0" collapsed="false">
      <c r="A311" s="21" t="str">
        <f aca="false">IF(Variants!$B312="","",Variants!$C312&amp;" — "&amp;Variants!$E312&amp;IF(Variants!$F312=""," "," "&amp;Variants!$F312)&amp;" — "&amp;Variants!$H312)</f>
        <v>Արեւագորգի Վիշապ — Vishab Arevagorg  — white-bordeaux-green</v>
      </c>
      <c r="B311" s="21" t="str">
        <f aca="false">IFERROR(IF(Variants!$B312="","",VLOOKUP(Variants!$B312,Designs!$A$3:$AP$165,9,FALSE())&amp;" Handmade in Armenia."),"")</f>
        <v>Combines the vishap (dragon) motif with the arevagorg (sun-carpet) — an Armenian solar ornament symbolising life and eternity. Handmade in Armenia.</v>
      </c>
      <c r="C311" s="18" t="n">
        <f aca="false">IF(Variants!$J312="","",Variants!$J312)</f>
        <v>70.2</v>
      </c>
      <c r="D311" s="21" t="n">
        <f aca="false">IF(Variants!$O312="","",Variants!$O312)</f>
        <v>0</v>
      </c>
      <c r="E311" s="21" t="str">
        <f aca="false">Variants!$A312</f>
        <v>KARNI-EARRNG-VISHABAREVAGORG-M-WHITE-BORDEAUX-GREEN</v>
      </c>
      <c r="F311" s="21" t="str">
        <f aca="false">IF(Variants!$E312="","",Variants!$E312&amp;", Armenian, handmade, enamel, "&amp;Variants!$D312)</f>
        <v>Vishab Arevagorg, Armenian, handmade, enamel, Earring</v>
      </c>
      <c r="G311" s="21" t="str">
        <f aca="false">IFERROR(VLOOKUP(Variants!$B312,Designs!$A$3:$AP$165,12,FALSE())&amp;", enamel","")</f>
        <v>925 Silver Gold-Plated, enamel</v>
      </c>
      <c r="H311" s="21" t="str">
        <f aca="false">IF(Variants!$B312="","","I did")</f>
        <v>I did</v>
      </c>
      <c r="I311" s="21" t="str">
        <f aca="false">IF(Variants!$B312="","","Made to order")</f>
        <v>Made to order</v>
      </c>
      <c r="J311" s="21" t="str">
        <f aca="false">IF(Variants!$D312="","",Variants!$D312)</f>
        <v>Earring</v>
      </c>
      <c r="K311" s="21" t="str">
        <f aca="false">IF(Variants!$Y312="","",Variants!$Y312)</f>
        <v/>
      </c>
      <c r="L311" s="21" t="str">
        <f aca="false">IF(Variants!$H312="","",Variants!$H312)</f>
        <v>white-bordeaux-green</v>
      </c>
      <c r="M311" s="21" t="str">
        <f aca="false">IF(Variants!$G312="","",Variants!$G312)</f>
        <v>medium</v>
      </c>
    </row>
    <row r="312" customFormat="false" ht="15.75" hidden="false" customHeight="true" outlineLevel="0" collapsed="false">
      <c r="A312" s="21" t="str">
        <f aca="false">IF(Variants!$B313="","",Variants!$C313&amp;" — "&amp;Variants!$E313&amp;IF(Variants!$F313=""," "," "&amp;Variants!$F313)&amp;" — "&amp;Variants!$H313)</f>
        <v>Արեւագորգի Վիշապ — Vishab Arevagorg  — blue-bordeaux-white</v>
      </c>
      <c r="B312" s="21" t="str">
        <f aca="false">IFERROR(IF(Variants!$B313="","",VLOOKUP(Variants!$B313,Designs!$A$3:$AP$165,9,FALSE())&amp;" Handmade in Armenia."),"")</f>
        <v>Combines the vishap (dragon) motif with the arevagorg (sun-carpet) — an Armenian solar ornament symbolising life and eternity. Handmade in Armenia.</v>
      </c>
      <c r="C312" s="18" t="n">
        <f aca="false">IF(Variants!$J313="","",Variants!$J313)</f>
        <v>70.2</v>
      </c>
      <c r="D312" s="21" t="n">
        <f aca="false">IF(Variants!$O313="","",Variants!$O313)</f>
        <v>0</v>
      </c>
      <c r="E312" s="21" t="str">
        <f aca="false">Variants!$A313</f>
        <v>KARNI-EARRNG-VISHABAREVAGORG-M-BLUE-BORDEAUX-WHITE</v>
      </c>
      <c r="F312" s="21" t="str">
        <f aca="false">IF(Variants!$E313="","",Variants!$E313&amp;", Armenian, handmade, enamel, "&amp;Variants!$D313)</f>
        <v>Vishab Arevagorg, Armenian, handmade, enamel, Earring</v>
      </c>
      <c r="G312" s="21" t="str">
        <f aca="false">IFERROR(VLOOKUP(Variants!$B313,Designs!$A$3:$AP$165,12,FALSE())&amp;", enamel","")</f>
        <v>925 Silver Gold-Plated, enamel</v>
      </c>
      <c r="H312" s="21" t="str">
        <f aca="false">IF(Variants!$B313="","","I did")</f>
        <v>I did</v>
      </c>
      <c r="I312" s="21" t="str">
        <f aca="false">IF(Variants!$B313="","","Made to order")</f>
        <v>Made to order</v>
      </c>
      <c r="J312" s="21" t="str">
        <f aca="false">IF(Variants!$D313="","",Variants!$D313)</f>
        <v>Earring</v>
      </c>
      <c r="K312" s="21" t="str">
        <f aca="false">IF(Variants!$Y313="","",Variants!$Y313)</f>
        <v/>
      </c>
      <c r="L312" s="21" t="str">
        <f aca="false">IF(Variants!$H313="","",Variants!$H313)</f>
        <v>blue-bordeaux-white</v>
      </c>
      <c r="M312" s="21" t="str">
        <f aca="false">IF(Variants!$G313="","",Variants!$G313)</f>
        <v>medium</v>
      </c>
    </row>
    <row r="313" customFormat="false" ht="15.75" hidden="false" customHeight="true" outlineLevel="0" collapsed="false">
      <c r="A313" s="21" t="str">
        <f aca="false">IF(Variants!$B314="","",Variants!$C314&amp;" — "&amp;Variants!$E314&amp;IF(Variants!$F314=""," "," "&amp;Variants!$F314)&amp;" — "&amp;Variants!$H314)</f>
        <v>Արեւագորգի Վիշապ — Vishab Arevagorg  — white-blue-red</v>
      </c>
      <c r="B313" s="21" t="str">
        <f aca="false">IFERROR(IF(Variants!$B314="","",VLOOKUP(Variants!$B314,Designs!$A$3:$AP$165,9,FALSE())&amp;" Handmade in Armenia."),"")</f>
        <v>Combines the vishap (dragon) motif with the arevagorg (sun-carpet) — an Armenian solar ornament symbolising life and eternity. Handmade in Armenia.</v>
      </c>
      <c r="C313" s="18" t="n">
        <f aca="false">IF(Variants!$J314="","",Variants!$J314)</f>
        <v>70.2</v>
      </c>
      <c r="D313" s="21" t="n">
        <f aca="false">IF(Variants!$O314="","",Variants!$O314)</f>
        <v>0</v>
      </c>
      <c r="E313" s="21" t="str">
        <f aca="false">Variants!$A314</f>
        <v>KARNI-EARRNG-VISHABAREVAGORG-M-WHITE-BLUE-RED</v>
      </c>
      <c r="F313" s="21" t="str">
        <f aca="false">IF(Variants!$E314="","",Variants!$E314&amp;", Armenian, handmade, enamel, "&amp;Variants!$D314)</f>
        <v>Vishab Arevagorg, Armenian, handmade, enamel, Earring</v>
      </c>
      <c r="G313" s="21" t="str">
        <f aca="false">IFERROR(VLOOKUP(Variants!$B314,Designs!$A$3:$AP$165,12,FALSE())&amp;", enamel","")</f>
        <v>925 Silver Gold-Plated, enamel</v>
      </c>
      <c r="H313" s="21" t="str">
        <f aca="false">IF(Variants!$B314="","","I did")</f>
        <v>I did</v>
      </c>
      <c r="I313" s="21" t="str">
        <f aca="false">IF(Variants!$B314="","","Made to order")</f>
        <v>Made to order</v>
      </c>
      <c r="J313" s="21" t="str">
        <f aca="false">IF(Variants!$D314="","",Variants!$D314)</f>
        <v>Earring</v>
      </c>
      <c r="K313" s="21" t="str">
        <f aca="false">IF(Variants!$Y314="","",Variants!$Y314)</f>
        <v/>
      </c>
      <c r="L313" s="21" t="str">
        <f aca="false">IF(Variants!$H314="","",Variants!$H314)</f>
        <v>white-blue-red</v>
      </c>
      <c r="M313" s="21" t="str">
        <f aca="false">IF(Variants!$G314="","",Variants!$G314)</f>
        <v>medium</v>
      </c>
    </row>
    <row r="314" customFormat="false" ht="15.75" hidden="false" customHeight="true" outlineLevel="0" collapsed="false">
      <c r="A314" s="21" t="str">
        <f aca="false">IF(Variants!$B315="","",Variants!$C315&amp;" — "&amp;Variants!$E315&amp;IF(Variants!$F315=""," "," "&amp;Variants!$F315)&amp;" — "&amp;Variants!$H315)</f>
        <v>Marash Earrings (2 pcs) — Marash  — blue-white</v>
      </c>
      <c r="B314" s="21" t="str">
        <f aca="false">IFERROR(IF(Variants!$B315="","",VLOOKUP(Variants!$B315,Designs!$A$3:$AP$165,9,FALSE())&amp;" Handmade in Armenia."),"")</f>
        <v>Marash-work is a distinctive Armenian embroidery style from Cilician Marash, known for its interlaced geometric patterns. Handmade in Armenia.</v>
      </c>
      <c r="C314" s="18" t="n">
        <f aca="false">IF(Variants!$J315="","",Variants!$J315)</f>
        <v>93.6</v>
      </c>
      <c r="D314" s="21" t="n">
        <f aca="false">IF(Variants!$O315="","",Variants!$O315)</f>
        <v>0</v>
      </c>
      <c r="E314" s="21" t="str">
        <f aca="false">Variants!$A315</f>
        <v>KARNI-EARRNG2-MARASH-BLUE-WHITE</v>
      </c>
      <c r="F314" s="21" t="str">
        <f aca="false">IF(Variants!$E315="","",Variants!$E315&amp;", Armenian, handmade, enamel, "&amp;Variants!$D315)</f>
        <v>Marash, Armenian, handmade, enamel, earrings 2 pcs.</v>
      </c>
      <c r="G314" s="21" t="str">
        <f aca="false">IFERROR(VLOOKUP(Variants!$B315,Designs!$A$3:$AP$165,12,FALSE())&amp;", enamel","")</f>
        <v>925 Silver Gold-Plated, enamel</v>
      </c>
      <c r="H314" s="21" t="str">
        <f aca="false">IF(Variants!$B315="","","I did")</f>
        <v>I did</v>
      </c>
      <c r="I314" s="21" t="str">
        <f aca="false">IF(Variants!$B315="","","Made to order")</f>
        <v>Made to order</v>
      </c>
      <c r="J314" s="21" t="str">
        <f aca="false">IF(Variants!$D315="","",Variants!$D315)</f>
        <v>earrings 2 pcs.</v>
      </c>
      <c r="K314" s="21" t="str">
        <f aca="false">IF(Variants!$Y315="","",Variants!$Y315)</f>
        <v/>
      </c>
      <c r="L314" s="21" t="str">
        <f aca="false">IF(Variants!$H315="","",Variants!$H315)</f>
        <v>blue-white</v>
      </c>
      <c r="M314" s="21" t="str">
        <f aca="false">IF(Variants!$G315="","",Variants!$G315)</f>
        <v/>
      </c>
    </row>
    <row r="315" customFormat="false" ht="15.75" hidden="false" customHeight="true" outlineLevel="0" collapsed="false">
      <c r="A315" s="21" t="str">
        <f aca="false">IF(Variants!$B316="","",Variants!$C316&amp;" — "&amp;Variants!$E316&amp;IF(Variants!$F316=""," "," "&amp;Variants!$F316)&amp;" — "&amp;Variants!$H316)</f>
        <v>Marash Earrings (2 pcs) — Marash  — white-blue</v>
      </c>
      <c r="B315" s="21" t="str">
        <f aca="false">IFERROR(IF(Variants!$B316="","",VLOOKUP(Variants!$B316,Designs!$A$3:$AP$165,9,FALSE())&amp;" Handmade in Armenia."),"")</f>
        <v>Marash-work is a distinctive Armenian embroidery style from Cilician Marash, known for its interlaced geometric patterns. Handmade in Armenia.</v>
      </c>
      <c r="C315" s="18" t="n">
        <f aca="false">IF(Variants!$J316="","",Variants!$J316)</f>
        <v>93.6</v>
      </c>
      <c r="D315" s="21" t="n">
        <f aca="false">IF(Variants!$O316="","",Variants!$O316)</f>
        <v>0</v>
      </c>
      <c r="E315" s="21" t="str">
        <f aca="false">Variants!$A316</f>
        <v>KARNI-EARRNG2-MARASH-WHITE-BLUE</v>
      </c>
      <c r="F315" s="21" t="str">
        <f aca="false">IF(Variants!$E316="","",Variants!$E316&amp;", Armenian, handmade, enamel, "&amp;Variants!$D316)</f>
        <v>Marash, Armenian, handmade, enamel, earrings 2 pcs.</v>
      </c>
      <c r="G315" s="21" t="str">
        <f aca="false">IFERROR(VLOOKUP(Variants!$B316,Designs!$A$3:$AP$165,12,FALSE())&amp;", enamel","")</f>
        <v>925 Silver Gold-Plated, enamel</v>
      </c>
      <c r="H315" s="21" t="str">
        <f aca="false">IF(Variants!$B316="","","I did")</f>
        <v>I did</v>
      </c>
      <c r="I315" s="21" t="str">
        <f aca="false">IF(Variants!$B316="","","Made to order")</f>
        <v>Made to order</v>
      </c>
      <c r="J315" s="21" t="str">
        <f aca="false">IF(Variants!$D316="","",Variants!$D316)</f>
        <v>earrings 2 pcs.</v>
      </c>
      <c r="K315" s="21" t="str">
        <f aca="false">IF(Variants!$Y316="","",Variants!$Y316)</f>
        <v/>
      </c>
      <c r="L315" s="21" t="str">
        <f aca="false">IF(Variants!$H316="","",Variants!$H316)</f>
        <v>white-blue</v>
      </c>
      <c r="M315" s="21" t="str">
        <f aca="false">IF(Variants!$G316="","",Variants!$G316)</f>
        <v/>
      </c>
    </row>
    <row r="316" customFormat="false" ht="15.75" hidden="false" customHeight="true" outlineLevel="0" collapsed="false">
      <c r="A316" s="21" t="str">
        <f aca="false">IF(Variants!$B317="","",Variants!$C317&amp;" — "&amp;Variants!$E317&amp;IF(Variants!$F317=""," "," "&amp;Variants!$F317)&amp;" — "&amp;Variants!$H317)</f>
        <v>Marash Earrings (2 pcs) — Marash  — white-bordeaux</v>
      </c>
      <c r="B316" s="21" t="str">
        <f aca="false">IFERROR(IF(Variants!$B317="","",VLOOKUP(Variants!$B317,Designs!$A$3:$AP$165,9,FALSE())&amp;" Handmade in Armenia."),"")</f>
        <v>Marash-work is a distinctive Armenian embroidery style from Cilician Marash, known for its interlaced geometric patterns. Handmade in Armenia.</v>
      </c>
      <c r="C316" s="18" t="n">
        <f aca="false">IF(Variants!$J317="","",Variants!$J317)</f>
        <v>93.6</v>
      </c>
      <c r="D316" s="21" t="n">
        <f aca="false">IF(Variants!$O317="","",Variants!$O317)</f>
        <v>0</v>
      </c>
      <c r="E316" s="21" t="str">
        <f aca="false">Variants!$A317</f>
        <v>KARNI-EARRNG2-MARASH-WHITE-BORDEAUX</v>
      </c>
      <c r="F316" s="21" t="str">
        <f aca="false">IF(Variants!$E317="","",Variants!$E317&amp;", Armenian, handmade, enamel, "&amp;Variants!$D317)</f>
        <v>Marash, Armenian, handmade, enamel, earrings 2 pcs.</v>
      </c>
      <c r="G316" s="21" t="str">
        <f aca="false">IFERROR(VLOOKUP(Variants!$B317,Designs!$A$3:$AP$165,12,FALSE())&amp;", enamel","")</f>
        <v>925 Silver Gold-Plated, enamel</v>
      </c>
      <c r="H316" s="21" t="str">
        <f aca="false">IF(Variants!$B317="","","I did")</f>
        <v>I did</v>
      </c>
      <c r="I316" s="21" t="str">
        <f aca="false">IF(Variants!$B317="","","Made to order")</f>
        <v>Made to order</v>
      </c>
      <c r="J316" s="21" t="str">
        <f aca="false">IF(Variants!$D317="","",Variants!$D317)</f>
        <v>earrings 2 pcs.</v>
      </c>
      <c r="K316" s="21" t="str">
        <f aca="false">IF(Variants!$Y317="","",Variants!$Y317)</f>
        <v/>
      </c>
      <c r="L316" s="21" t="str">
        <f aca="false">IF(Variants!$H317="","",Variants!$H317)</f>
        <v>white-bordeaux</v>
      </c>
      <c r="M316" s="21" t="str">
        <f aca="false">IF(Variants!$G317="","",Variants!$G317)</f>
        <v/>
      </c>
    </row>
    <row r="317" customFormat="false" ht="15.75" hidden="false" customHeight="true" outlineLevel="0" collapsed="false">
      <c r="A317" s="21" t="str">
        <f aca="false">IF(Variants!$B318="","",Variants!$C318&amp;" — "&amp;Variants!$E318&amp;IF(Variants!$F318=""," "," "&amp;Variants!$F318)&amp;" — "&amp;Variants!$H318)</f>
        <v>Marash Earrings (2 pcs) — Marash  — turquoise-blue</v>
      </c>
      <c r="B317" s="21" t="str">
        <f aca="false">IFERROR(IF(Variants!$B318="","",VLOOKUP(Variants!$B318,Designs!$A$3:$AP$165,9,FALSE())&amp;" Handmade in Armenia."),"")</f>
        <v>Marash-work is a distinctive Armenian embroidery style from Cilician Marash, known for its interlaced geometric patterns. Handmade in Armenia.</v>
      </c>
      <c r="C317" s="18" t="n">
        <f aca="false">IF(Variants!$J318="","",Variants!$J318)</f>
        <v>93.6</v>
      </c>
      <c r="D317" s="21" t="n">
        <f aca="false">IF(Variants!$O318="","",Variants!$O318)</f>
        <v>0</v>
      </c>
      <c r="E317" s="21" t="str">
        <f aca="false">Variants!$A318</f>
        <v>KARNI-EARRNG2-MARASH-TURQUOISE-BLUE</v>
      </c>
      <c r="F317" s="21" t="str">
        <f aca="false">IF(Variants!$E318="","",Variants!$E318&amp;", Armenian, handmade, enamel, "&amp;Variants!$D318)</f>
        <v>Marash, Armenian, handmade, enamel, earrings 2 pcs.</v>
      </c>
      <c r="G317" s="21" t="str">
        <f aca="false">IFERROR(VLOOKUP(Variants!$B318,Designs!$A$3:$AP$165,12,FALSE())&amp;", enamel","")</f>
        <v>925 Silver Gold-Plated, enamel</v>
      </c>
      <c r="H317" s="21" t="str">
        <f aca="false">IF(Variants!$B318="","","I did")</f>
        <v>I did</v>
      </c>
      <c r="I317" s="21" t="str">
        <f aca="false">IF(Variants!$B318="","","Made to order")</f>
        <v>Made to order</v>
      </c>
      <c r="J317" s="21" t="str">
        <f aca="false">IF(Variants!$D318="","",Variants!$D318)</f>
        <v>earrings 2 pcs.</v>
      </c>
      <c r="K317" s="21" t="str">
        <f aca="false">IF(Variants!$Y318="","",Variants!$Y318)</f>
        <v/>
      </c>
      <c r="L317" s="21" t="str">
        <f aca="false">IF(Variants!$H318="","",Variants!$H318)</f>
        <v>turquoise-blue</v>
      </c>
      <c r="M317" s="21" t="str">
        <f aca="false">IF(Variants!$G318="","",Variants!$G318)</f>
        <v/>
      </c>
    </row>
    <row r="318" customFormat="false" ht="15.75" hidden="false" customHeight="true" outlineLevel="0" collapsed="false">
      <c r="A318" s="21" t="str">
        <f aca="false">IF(Variants!$B319="","",Variants!$C319&amp;" — "&amp;Variants!$E319&amp;IF(Variants!$F319=""," "," "&amp;Variants!$F319)&amp;" — "&amp;Variants!$H319)</f>
        <v>Vishab Earrings (2 pcs) — Vishab  — blue-white</v>
      </c>
      <c r="B318" s="21" t="str">
        <f aca="false">IFERROR(IF(Variants!$B319="","",VLOOKUP(Variants!$B319,Designs!$A$3:$AP$165,9,FALSE())&amp;" Handmade in Armenia."),"")</f>
        <v>Vishaps are ancient Armenian dragon-stones (vishapakar) found in the highlands, among the oldest carved monuments in the region. Handmade in Armenia.</v>
      </c>
      <c r="C318" s="18" t="n">
        <f aca="false">IF(Variants!$J319="","",Variants!$J319)</f>
        <v>93.6</v>
      </c>
      <c r="D318" s="21" t="n">
        <f aca="false">IF(Variants!$O319="","",Variants!$O319)</f>
        <v>0</v>
      </c>
      <c r="E318" s="21" t="str">
        <f aca="false">Variants!$A319</f>
        <v>KARNI-EARRNG2-VISHAB-BLUE-WHITE</v>
      </c>
      <c r="F318" s="21" t="str">
        <f aca="false">IF(Variants!$E319="","",Variants!$E319&amp;", Armenian, handmade, enamel, "&amp;Variants!$D319)</f>
        <v>Vishab, Armenian, handmade, enamel, earrings 2 pcs.</v>
      </c>
      <c r="G318" s="21" t="str">
        <f aca="false">IFERROR(VLOOKUP(Variants!$B319,Designs!$A$3:$AP$165,12,FALSE())&amp;", enamel","")</f>
        <v>925 Silver Gold-Plated, enamel</v>
      </c>
      <c r="H318" s="21" t="str">
        <f aca="false">IF(Variants!$B319="","","I did")</f>
        <v>I did</v>
      </c>
      <c r="I318" s="21" t="str">
        <f aca="false">IF(Variants!$B319="","","Made to order")</f>
        <v>Made to order</v>
      </c>
      <c r="J318" s="21" t="str">
        <f aca="false">IF(Variants!$D319="","",Variants!$D319)</f>
        <v>earrings 2 pcs.</v>
      </c>
      <c r="K318" s="21" t="str">
        <f aca="false">IF(Variants!$Y319="","",Variants!$Y319)</f>
        <v/>
      </c>
      <c r="L318" s="21" t="str">
        <f aca="false">IF(Variants!$H319="","",Variants!$H319)</f>
        <v>blue-white</v>
      </c>
      <c r="M318" s="21" t="str">
        <f aca="false">IF(Variants!$G319="","",Variants!$G319)</f>
        <v/>
      </c>
    </row>
    <row r="319" customFormat="false" ht="15.75" hidden="false" customHeight="true" outlineLevel="0" collapsed="false">
      <c r="A319" s="21" t="str">
        <f aca="false">IF(Variants!$B320="","",Variants!$C320&amp;" — "&amp;Variants!$E320&amp;IF(Variants!$F320=""," "," "&amp;Variants!$F320)&amp;" — "&amp;Variants!$H320)</f>
        <v>Vishab Earrings (2 pcs) — Vishab  — blue-red</v>
      </c>
      <c r="B319" s="21" t="str">
        <f aca="false">IFERROR(IF(Variants!$B320="","",VLOOKUP(Variants!$B320,Designs!$A$3:$AP$165,9,FALSE())&amp;" Handmade in Armenia."),"")</f>
        <v>Vishaps are ancient Armenian dragon-stones (vishapakar) found in the highlands, among the oldest carved monuments in the region. Handmade in Armenia.</v>
      </c>
      <c r="C319" s="18" t="n">
        <f aca="false">IF(Variants!$J320="","",Variants!$J320)</f>
        <v>93.6</v>
      </c>
      <c r="D319" s="21" t="n">
        <f aca="false">IF(Variants!$O320="","",Variants!$O320)</f>
        <v>0</v>
      </c>
      <c r="E319" s="21" t="str">
        <f aca="false">Variants!$A320</f>
        <v>KARNI-EARRNG2-VISHAB-BLUE-RED</v>
      </c>
      <c r="F319" s="21" t="str">
        <f aca="false">IF(Variants!$E320="","",Variants!$E320&amp;", Armenian, handmade, enamel, "&amp;Variants!$D320)</f>
        <v>Vishab, Armenian, handmade, enamel, earrings 2 pcs.</v>
      </c>
      <c r="G319" s="21" t="str">
        <f aca="false">IFERROR(VLOOKUP(Variants!$B320,Designs!$A$3:$AP$165,12,FALSE())&amp;", enamel","")</f>
        <v>925 Silver Gold-Plated, enamel</v>
      </c>
      <c r="H319" s="21" t="str">
        <f aca="false">IF(Variants!$B320="","","I did")</f>
        <v>I did</v>
      </c>
      <c r="I319" s="21" t="str">
        <f aca="false">IF(Variants!$B320="","","Made to order")</f>
        <v>Made to order</v>
      </c>
      <c r="J319" s="21" t="str">
        <f aca="false">IF(Variants!$D320="","",Variants!$D320)</f>
        <v>earrings 2 pcs.</v>
      </c>
      <c r="K319" s="21" t="str">
        <f aca="false">IF(Variants!$Y320="","",Variants!$Y320)</f>
        <v/>
      </c>
      <c r="L319" s="21" t="str">
        <f aca="false">IF(Variants!$H320="","",Variants!$H320)</f>
        <v>blue-red</v>
      </c>
      <c r="M319" s="21" t="str">
        <f aca="false">IF(Variants!$G320="","",Variants!$G320)</f>
        <v/>
      </c>
    </row>
    <row r="320" customFormat="false" ht="15.75" hidden="false" customHeight="true" outlineLevel="0" collapsed="false">
      <c r="A320" s="21" t="str">
        <f aca="false">IF(Variants!$B321="","",Variants!$C321&amp;" — "&amp;Variants!$E321&amp;IF(Variants!$F321=""," "," "&amp;Variants!$F321)&amp;" — "&amp;Variants!$H321)</f>
        <v>Vishab Earrings (2 pcs) — Vishab  — white-bordeaux</v>
      </c>
      <c r="B320" s="21" t="str">
        <f aca="false">IFERROR(IF(Variants!$B321="","",VLOOKUP(Variants!$B321,Designs!$A$3:$AP$165,9,FALSE())&amp;" Handmade in Armenia."),"")</f>
        <v>Vishaps are ancient Armenian dragon-stones (vishapakar) found in the highlands, among the oldest carved monuments in the region. Handmade in Armenia.</v>
      </c>
      <c r="C320" s="18" t="n">
        <f aca="false">IF(Variants!$J321="","",Variants!$J321)</f>
        <v>93.6</v>
      </c>
      <c r="D320" s="21" t="n">
        <f aca="false">IF(Variants!$O321="","",Variants!$O321)</f>
        <v>0</v>
      </c>
      <c r="E320" s="21" t="str">
        <f aca="false">Variants!$A321</f>
        <v>KARNI-EARRNG2-VISHAB-WHITE-BORDEAUX</v>
      </c>
      <c r="F320" s="21" t="str">
        <f aca="false">IF(Variants!$E321="","",Variants!$E321&amp;", Armenian, handmade, enamel, "&amp;Variants!$D321)</f>
        <v>Vishab, Armenian, handmade, enamel, earrings 2 pcs.</v>
      </c>
      <c r="G320" s="21" t="str">
        <f aca="false">IFERROR(VLOOKUP(Variants!$B321,Designs!$A$3:$AP$165,12,FALSE())&amp;", enamel","")</f>
        <v>925 Silver Gold-Plated, enamel</v>
      </c>
      <c r="H320" s="21" t="str">
        <f aca="false">IF(Variants!$B321="","","I did")</f>
        <v>I did</v>
      </c>
      <c r="I320" s="21" t="str">
        <f aca="false">IF(Variants!$B321="","","Made to order")</f>
        <v>Made to order</v>
      </c>
      <c r="J320" s="21" t="str">
        <f aca="false">IF(Variants!$D321="","",Variants!$D321)</f>
        <v>earrings 2 pcs.</v>
      </c>
      <c r="K320" s="21" t="str">
        <f aca="false">IF(Variants!$Y321="","",Variants!$Y321)</f>
        <v/>
      </c>
      <c r="L320" s="21" t="str">
        <f aca="false">IF(Variants!$H321="","",Variants!$H321)</f>
        <v>white-bordeaux</v>
      </c>
      <c r="M320" s="21" t="str">
        <f aca="false">IF(Variants!$G321="","",Variants!$G321)</f>
        <v/>
      </c>
    </row>
    <row r="321" customFormat="false" ht="15.75" hidden="false" customHeight="true" outlineLevel="0" collapsed="false">
      <c r="A321" s="21" t="str">
        <f aca="false">IF(Variants!$B322="","",Variants!$C322&amp;" — "&amp;Variants!$E322&amp;IF(Variants!$F322=""," "," "&amp;Variants!$F322)&amp;" — "&amp;Variants!$H322)</f>
        <v>Vishab Earrings (2 pcs) — Vishab  — turquoise-blue</v>
      </c>
      <c r="B321" s="21" t="str">
        <f aca="false">IFERROR(IF(Variants!$B322="","",VLOOKUP(Variants!$B322,Designs!$A$3:$AP$165,9,FALSE())&amp;" Handmade in Armenia."),"")</f>
        <v>Vishaps are ancient Armenian dragon-stones (vishapakar) found in the highlands, among the oldest carved monuments in the region. Handmade in Armenia.</v>
      </c>
      <c r="C321" s="18" t="n">
        <f aca="false">IF(Variants!$J322="","",Variants!$J322)</f>
        <v>93.6</v>
      </c>
      <c r="D321" s="21" t="n">
        <f aca="false">IF(Variants!$O322="","",Variants!$O322)</f>
        <v>0</v>
      </c>
      <c r="E321" s="21" t="str">
        <f aca="false">Variants!$A322</f>
        <v>KARNI-EARRNG2-VISHAB-TURQUOISE-BLUE</v>
      </c>
      <c r="F321" s="21" t="str">
        <f aca="false">IF(Variants!$E322="","",Variants!$E322&amp;", Armenian, handmade, enamel, "&amp;Variants!$D322)</f>
        <v>Vishab, Armenian, handmade, enamel, earrings 2 pcs.</v>
      </c>
      <c r="G321" s="21" t="str">
        <f aca="false">IFERROR(VLOOKUP(Variants!$B322,Designs!$A$3:$AP$165,12,FALSE())&amp;", enamel","")</f>
        <v>925 Silver Gold-Plated, enamel</v>
      </c>
      <c r="H321" s="21" t="str">
        <f aca="false">IF(Variants!$B322="","","I did")</f>
        <v>I did</v>
      </c>
      <c r="I321" s="21" t="str">
        <f aca="false">IF(Variants!$B322="","","Made to order")</f>
        <v>Made to order</v>
      </c>
      <c r="J321" s="21" t="str">
        <f aca="false">IF(Variants!$D322="","",Variants!$D322)</f>
        <v>earrings 2 pcs.</v>
      </c>
      <c r="K321" s="21" t="str">
        <f aca="false">IF(Variants!$Y322="","",Variants!$Y322)</f>
        <v/>
      </c>
      <c r="L321" s="21" t="str">
        <f aca="false">IF(Variants!$H322="","",Variants!$H322)</f>
        <v>turquoise-blue</v>
      </c>
      <c r="M321" s="21" t="str">
        <f aca="false">IF(Variants!$G322="","",Variants!$G322)</f>
        <v/>
      </c>
    </row>
    <row r="322" customFormat="false" ht="15.75" hidden="false" customHeight="true" outlineLevel="0" collapsed="false">
      <c r="A322" s="21" t="str">
        <f aca="false">IF(Variants!$B323="","",Variants!$C323&amp;" — "&amp;Variants!$E323&amp;IF(Variants!$F323=""," "," "&amp;Variants!$F323)&amp;" — "&amp;Variants!$H323)</f>
        <v>Van Earrings (2 pcs) — Van  — white</v>
      </c>
      <c r="B322" s="21" t="str">
        <f aca="false">IFERROR(IF(Variants!$B323="","",VLOOKUP(Variants!$B323,Designs!$A$3:$AP$165,9,FALSE())&amp;" Handmade in Armenia."),"")</f>
        <v>Motifs from the Van/Vaspurakan region, echoing the ornament of the Lake Van heartland of historic Armenia. Handmade in Armenia.</v>
      </c>
      <c r="C322" s="18" t="n">
        <f aca="false">IF(Variants!$J323="","",Variants!$J323)</f>
        <v>93.6</v>
      </c>
      <c r="D322" s="21" t="n">
        <f aca="false">IF(Variants!$O323="","",Variants!$O323)</f>
        <v>0</v>
      </c>
      <c r="E322" s="21" t="str">
        <f aca="false">Variants!$A323</f>
        <v>KARNI-EARRNG2-VAN-WHITE</v>
      </c>
      <c r="F322" s="21" t="str">
        <f aca="false">IF(Variants!$E323="","",Variants!$E323&amp;", Armenian, handmade, enamel, "&amp;Variants!$D323)</f>
        <v>Van, Armenian, handmade, enamel, earrings 2 pcs.</v>
      </c>
      <c r="G322" s="21" t="str">
        <f aca="false">IFERROR(VLOOKUP(Variants!$B323,Designs!$A$3:$AP$165,12,FALSE())&amp;", enamel","")</f>
        <v>925 Silver Gold-Plated, enamel</v>
      </c>
      <c r="H322" s="21" t="str">
        <f aca="false">IF(Variants!$B323="","","I did")</f>
        <v>I did</v>
      </c>
      <c r="I322" s="21" t="str">
        <f aca="false">IF(Variants!$B323="","","Made to order")</f>
        <v>Made to order</v>
      </c>
      <c r="J322" s="21" t="str">
        <f aca="false">IF(Variants!$D323="","",Variants!$D323)</f>
        <v>earrings 2 pcs.</v>
      </c>
      <c r="K322" s="21" t="str">
        <f aca="false">IF(Variants!$Y323="","",Variants!$Y323)</f>
        <v/>
      </c>
      <c r="L322" s="21" t="str">
        <f aca="false">IF(Variants!$H323="","",Variants!$H323)</f>
        <v>white</v>
      </c>
      <c r="M322" s="21" t="str">
        <f aca="false">IF(Variants!$G323="","",Variants!$G323)</f>
        <v/>
      </c>
    </row>
    <row r="323" customFormat="false" ht="15.75" hidden="false" customHeight="true" outlineLevel="0" collapsed="false">
      <c r="A323" s="21" t="str">
        <f aca="false">IF(Variants!$B324="","",Variants!$C324&amp;" — "&amp;Variants!$E324&amp;IF(Variants!$F324=""," "," "&amp;Variants!$F324)&amp;" — "&amp;Variants!$H324)</f>
        <v>Van Earrings (2 pcs) — Van  — blue</v>
      </c>
      <c r="B323" s="21" t="str">
        <f aca="false">IFERROR(IF(Variants!$B324="","",VLOOKUP(Variants!$B324,Designs!$A$3:$AP$165,9,FALSE())&amp;" Handmade in Armenia."),"")</f>
        <v>Motifs from the Van/Vaspurakan region, echoing the ornament of the Lake Van heartland of historic Armenia. Handmade in Armenia.</v>
      </c>
      <c r="C323" s="18" t="n">
        <f aca="false">IF(Variants!$J324="","",Variants!$J324)</f>
        <v>93.6</v>
      </c>
      <c r="D323" s="21" t="n">
        <f aca="false">IF(Variants!$O324="","",Variants!$O324)</f>
        <v>0</v>
      </c>
      <c r="E323" s="21" t="str">
        <f aca="false">Variants!$A324</f>
        <v>KARNI-EARRNG2-VAN-BLUE</v>
      </c>
      <c r="F323" s="21" t="str">
        <f aca="false">IF(Variants!$E324="","",Variants!$E324&amp;", Armenian, handmade, enamel, "&amp;Variants!$D324)</f>
        <v>Van, Armenian, handmade, enamel, earrings 2 pcs.</v>
      </c>
      <c r="G323" s="21" t="str">
        <f aca="false">IFERROR(VLOOKUP(Variants!$B324,Designs!$A$3:$AP$165,12,FALSE())&amp;", enamel","")</f>
        <v>925 Silver Gold-Plated, enamel</v>
      </c>
      <c r="H323" s="21" t="str">
        <f aca="false">IF(Variants!$B324="","","I did")</f>
        <v>I did</v>
      </c>
      <c r="I323" s="21" t="str">
        <f aca="false">IF(Variants!$B324="","","Made to order")</f>
        <v>Made to order</v>
      </c>
      <c r="J323" s="21" t="str">
        <f aca="false">IF(Variants!$D324="","",Variants!$D324)</f>
        <v>earrings 2 pcs.</v>
      </c>
      <c r="K323" s="21" t="str">
        <f aca="false">IF(Variants!$Y324="","",Variants!$Y324)</f>
        <v/>
      </c>
      <c r="L323" s="21" t="str">
        <f aca="false">IF(Variants!$H324="","",Variants!$H324)</f>
        <v>blue</v>
      </c>
      <c r="M323" s="21" t="str">
        <f aca="false">IF(Variants!$G324="","",Variants!$G324)</f>
        <v/>
      </c>
    </row>
    <row r="324" customFormat="false" ht="15.75" hidden="false" customHeight="true" outlineLevel="0" collapsed="false">
      <c r="A324" s="21" t="str">
        <f aca="false">IF(Variants!$B325="","",Variants!$C325&amp;" — "&amp;Variants!$E325&amp;IF(Variants!$F325=""," "," "&amp;Variants!$F325)&amp;" — "&amp;Variants!$H325)</f>
        <v>Van Earrings (2 pcs) — Van  — camel</v>
      </c>
      <c r="B324" s="21" t="str">
        <f aca="false">IFERROR(IF(Variants!$B325="","",VLOOKUP(Variants!$B325,Designs!$A$3:$AP$165,9,FALSE())&amp;" Handmade in Armenia."),"")</f>
        <v>Motifs from the Van/Vaspurakan region, echoing the ornament of the Lake Van heartland of historic Armenia. Handmade in Armenia.</v>
      </c>
      <c r="C324" s="18" t="n">
        <f aca="false">IF(Variants!$J325="","",Variants!$J325)</f>
        <v>93.6</v>
      </c>
      <c r="D324" s="21" t="n">
        <f aca="false">IF(Variants!$O325="","",Variants!$O325)</f>
        <v>0</v>
      </c>
      <c r="E324" s="21" t="str">
        <f aca="false">Variants!$A325</f>
        <v>KARNI-EARRNG2-VAN-CAMEL</v>
      </c>
      <c r="F324" s="21" t="str">
        <f aca="false">IF(Variants!$E325="","",Variants!$E325&amp;", Armenian, handmade, enamel, "&amp;Variants!$D325)</f>
        <v>Van, Armenian, handmade, enamel, earrings 2 pcs.</v>
      </c>
      <c r="G324" s="21" t="str">
        <f aca="false">IFERROR(VLOOKUP(Variants!$B325,Designs!$A$3:$AP$165,12,FALSE())&amp;", enamel","")</f>
        <v>925 Silver Gold-Plated, enamel</v>
      </c>
      <c r="H324" s="21" t="str">
        <f aca="false">IF(Variants!$B325="","","I did")</f>
        <v>I did</v>
      </c>
      <c r="I324" s="21" t="str">
        <f aca="false">IF(Variants!$B325="","","Made to order")</f>
        <v>Made to order</v>
      </c>
      <c r="J324" s="21" t="str">
        <f aca="false">IF(Variants!$D325="","",Variants!$D325)</f>
        <v>earrings 2 pcs.</v>
      </c>
      <c r="K324" s="21" t="str">
        <f aca="false">IF(Variants!$Y325="","",Variants!$Y325)</f>
        <v/>
      </c>
      <c r="L324" s="21" t="str">
        <f aca="false">IF(Variants!$H325="","",Variants!$H325)</f>
        <v>camel</v>
      </c>
      <c r="M324" s="21" t="str">
        <f aca="false">IF(Variants!$G325="","",Variants!$G325)</f>
        <v/>
      </c>
    </row>
    <row r="325" customFormat="false" ht="15.75" hidden="false" customHeight="true" outlineLevel="0" collapsed="false">
      <c r="A325" s="21" t="str">
        <f aca="false">IF(Variants!$B326="","",Variants!$C326&amp;" — "&amp;Variants!$E326&amp;IF(Variants!$F326=""," "," "&amp;Variants!$F326)&amp;" — "&amp;Variants!$H326)</f>
        <v>Van Earrings (2 pcs) — Van  — turquoise</v>
      </c>
      <c r="B325" s="21" t="str">
        <f aca="false">IFERROR(IF(Variants!$B326="","",VLOOKUP(Variants!$B326,Designs!$A$3:$AP$165,9,FALSE())&amp;" Handmade in Armenia."),"")</f>
        <v>Motifs from the Van/Vaspurakan region, echoing the ornament of the Lake Van heartland of historic Armenia. Handmade in Armenia.</v>
      </c>
      <c r="C325" s="18" t="n">
        <f aca="false">IF(Variants!$J326="","",Variants!$J326)</f>
        <v>93.6</v>
      </c>
      <c r="D325" s="21" t="n">
        <f aca="false">IF(Variants!$O326="","",Variants!$O326)</f>
        <v>0</v>
      </c>
      <c r="E325" s="21" t="str">
        <f aca="false">Variants!$A326</f>
        <v>KARNI-EARRNG2-VAN-TURQUOISE</v>
      </c>
      <c r="F325" s="21" t="str">
        <f aca="false">IF(Variants!$E326="","",Variants!$E326&amp;", Armenian, handmade, enamel, "&amp;Variants!$D326)</f>
        <v>Van, Armenian, handmade, enamel, earrings 2 pcs.</v>
      </c>
      <c r="G325" s="21" t="str">
        <f aca="false">IFERROR(VLOOKUP(Variants!$B326,Designs!$A$3:$AP$165,12,FALSE())&amp;", enamel","")</f>
        <v>925 Silver Gold-Plated, enamel</v>
      </c>
      <c r="H325" s="21" t="str">
        <f aca="false">IF(Variants!$B326="","","I did")</f>
        <v>I did</v>
      </c>
      <c r="I325" s="21" t="str">
        <f aca="false">IF(Variants!$B326="","","Made to order")</f>
        <v>Made to order</v>
      </c>
      <c r="J325" s="21" t="str">
        <f aca="false">IF(Variants!$D326="","",Variants!$D326)</f>
        <v>earrings 2 pcs.</v>
      </c>
      <c r="K325" s="21" t="str">
        <f aca="false">IF(Variants!$Y326="","",Variants!$Y326)</f>
        <v/>
      </c>
      <c r="L325" s="21" t="str">
        <f aca="false">IF(Variants!$H326="","",Variants!$H326)</f>
        <v>turquoise</v>
      </c>
      <c r="M325" s="21" t="str">
        <f aca="false">IF(Variants!$G326="","",Variants!$G326)</f>
        <v/>
      </c>
    </row>
    <row r="326" customFormat="false" ht="15.75" hidden="false" customHeight="true" outlineLevel="0" collapsed="false">
      <c r="A326" s="21" t="str">
        <f aca="false">IF(Variants!$B327="","",Variants!$C327&amp;" — "&amp;Variants!$E327&amp;IF(Variants!$F327=""," "," "&amp;Variants!$F327)&amp;" — "&amp;Variants!$H327)</f>
        <v>Artsakhi Khachanakhsh Earrings (2 pcs) — Artsakhi Khachanakhsh  — blue-bordeaux</v>
      </c>
      <c r="B326" s="21" t="str">
        <f aca="false">IFERROR(IF(Variants!$B327="","",VLOOKUP(Variants!$B327,Designs!$A$3:$AP$165,9,FALSE())&amp;" Handmade in Armenia."),"")</f>
        <v>Cross-ornament patterns from Artsakh, carrying the carved cross-stone heritage of the region. Handmade in Armenia.</v>
      </c>
      <c r="C326" s="18" t="n">
        <f aca="false">IF(Variants!$J327="","",Variants!$J327)</f>
        <v>93.6</v>
      </c>
      <c r="D326" s="21" t="n">
        <f aca="false">IF(Variants!$O327="","",Variants!$O327)</f>
        <v>0</v>
      </c>
      <c r="E326" s="21" t="str">
        <f aca="false">Variants!$A327</f>
        <v>KARNI-EARRNG2-ARTSAKHIKHACHANAKHSH-BLUE-BORDEAUX</v>
      </c>
      <c r="F326" s="21" t="str">
        <f aca="false">IF(Variants!$E327="","",Variants!$E327&amp;", Armenian, handmade, enamel, "&amp;Variants!$D327)</f>
        <v>Artsakhi Khachanakhsh, Armenian, handmade, enamel, earrings 2 pcs.</v>
      </c>
      <c r="G326" s="21" t="str">
        <f aca="false">IFERROR(VLOOKUP(Variants!$B327,Designs!$A$3:$AP$165,12,FALSE())&amp;", enamel","")</f>
        <v>925 Silver Gold-Plated, enamel</v>
      </c>
      <c r="H326" s="21" t="str">
        <f aca="false">IF(Variants!$B327="","","I did")</f>
        <v>I did</v>
      </c>
      <c r="I326" s="21" t="str">
        <f aca="false">IF(Variants!$B327="","","Made to order")</f>
        <v>Made to order</v>
      </c>
      <c r="J326" s="21" t="str">
        <f aca="false">IF(Variants!$D327="","",Variants!$D327)</f>
        <v>earrings 2 pcs.</v>
      </c>
      <c r="K326" s="21" t="str">
        <f aca="false">IF(Variants!$Y327="","",Variants!$Y327)</f>
        <v/>
      </c>
      <c r="L326" s="21" t="str">
        <f aca="false">IF(Variants!$H327="","",Variants!$H327)</f>
        <v>blue-bordeaux</v>
      </c>
      <c r="M326" s="21" t="str">
        <f aca="false">IF(Variants!$G327="","",Variants!$G327)</f>
        <v/>
      </c>
    </row>
    <row r="327" customFormat="false" ht="15.75" hidden="false" customHeight="true" outlineLevel="0" collapsed="false">
      <c r="A327" s="21" t="str">
        <f aca="false">IF(Variants!$B328="","",Variants!$C328&amp;" — "&amp;Variants!$E328&amp;IF(Variants!$F328=""," "," "&amp;Variants!$F328)&amp;" — "&amp;Variants!$H328)</f>
        <v>Արեւագորգի Վիշապ — Vishab Arevagorg  — white-blue-yellow</v>
      </c>
      <c r="B327" s="21" t="str">
        <f aca="false">IFERROR(IF(Variants!$B328="","",VLOOKUP(Variants!$B328,Designs!$A$3:$AP$165,9,FALSE())&amp;" Handmade in Armenia."),"")</f>
        <v>Combines the vishap (dragon) motif with the arevagorg (sun-carpet) — an Armenian solar ornament symbolising life and eternity. Handmade in Armenia.</v>
      </c>
      <c r="C327" s="18" t="n">
        <f aca="false">IF(Variants!$J328="","",Variants!$J328)</f>
        <v>93.6</v>
      </c>
      <c r="D327" s="21" t="n">
        <f aca="false">IF(Variants!$O328="","",Variants!$O328)</f>
        <v>0</v>
      </c>
      <c r="E327" s="21" t="str">
        <f aca="false">Variants!$A328</f>
        <v>KARNI-EARRNG2-VISHABAREVAGORG-WHITE-BLUE-YELLOW</v>
      </c>
      <c r="F327" s="21" t="str">
        <f aca="false">IF(Variants!$E328="","",Variants!$E328&amp;", Armenian, handmade, enamel, "&amp;Variants!$D328)</f>
        <v>Vishab Arevagorg, Armenian, handmade, enamel, earrings 2 pcs.</v>
      </c>
      <c r="G327" s="21" t="str">
        <f aca="false">IFERROR(VLOOKUP(Variants!$B328,Designs!$A$3:$AP$165,12,FALSE())&amp;", enamel","")</f>
        <v>925 Silver Gold-Plated, enamel</v>
      </c>
      <c r="H327" s="21" t="str">
        <f aca="false">IF(Variants!$B328="","","I did")</f>
        <v>I did</v>
      </c>
      <c r="I327" s="21" t="str">
        <f aca="false">IF(Variants!$B328="","","Made to order")</f>
        <v>Made to order</v>
      </c>
      <c r="J327" s="21" t="str">
        <f aca="false">IF(Variants!$D328="","",Variants!$D328)</f>
        <v>earrings 2 pcs.</v>
      </c>
      <c r="K327" s="21" t="str">
        <f aca="false">IF(Variants!$Y328="","",Variants!$Y328)</f>
        <v/>
      </c>
      <c r="L327" s="21" t="str">
        <f aca="false">IF(Variants!$H328="","",Variants!$H328)</f>
        <v>white-blue-yellow</v>
      </c>
      <c r="M327" s="21" t="str">
        <f aca="false">IF(Variants!$G328="","",Variants!$G328)</f>
        <v/>
      </c>
    </row>
    <row r="328" customFormat="false" ht="15.75" hidden="false" customHeight="true" outlineLevel="0" collapsed="false">
      <c r="A328" s="21" t="str">
        <f aca="false">IF(Variants!$B329="","",Variants!$C329&amp;" — "&amp;Variants!$E329&amp;IF(Variants!$F329=""," "," "&amp;Variants!$F329)&amp;" — "&amp;Variants!$H329)</f>
        <v>Արեւագորգի Վիշապ — Vishab Arevagorg  — white-blue-red</v>
      </c>
      <c r="B328" s="21" t="str">
        <f aca="false">IFERROR(IF(Variants!$B329="","",VLOOKUP(Variants!$B329,Designs!$A$3:$AP$165,9,FALSE())&amp;" Handmade in Armenia."),"")</f>
        <v>Combines the vishap (dragon) motif with the arevagorg (sun-carpet) — an Armenian solar ornament symbolising life and eternity. Handmade in Armenia.</v>
      </c>
      <c r="C328" s="18" t="n">
        <f aca="false">IF(Variants!$J329="","",Variants!$J329)</f>
        <v>93.6</v>
      </c>
      <c r="D328" s="21" t="n">
        <f aca="false">IF(Variants!$O329="","",Variants!$O329)</f>
        <v>0</v>
      </c>
      <c r="E328" s="21" t="str">
        <f aca="false">Variants!$A329</f>
        <v>KARNI-EARRNG2-VISHABAREVAGORG-WHITE-BLUE-RED</v>
      </c>
      <c r="F328" s="21" t="str">
        <f aca="false">IF(Variants!$E329="","",Variants!$E329&amp;", Armenian, handmade, enamel, "&amp;Variants!$D329)</f>
        <v>Vishab Arevagorg, Armenian, handmade, enamel, earrings 2 pcs.</v>
      </c>
      <c r="G328" s="21" t="str">
        <f aca="false">IFERROR(VLOOKUP(Variants!$B329,Designs!$A$3:$AP$165,12,FALSE())&amp;", enamel","")</f>
        <v>925 Silver Gold-Plated, enamel</v>
      </c>
      <c r="H328" s="21" t="str">
        <f aca="false">IF(Variants!$B329="","","I did")</f>
        <v>I did</v>
      </c>
      <c r="I328" s="21" t="str">
        <f aca="false">IF(Variants!$B329="","","Made to order")</f>
        <v>Made to order</v>
      </c>
      <c r="J328" s="21" t="str">
        <f aca="false">IF(Variants!$D329="","",Variants!$D329)</f>
        <v>earrings 2 pcs.</v>
      </c>
      <c r="K328" s="21" t="str">
        <f aca="false">IF(Variants!$Y329="","",Variants!$Y329)</f>
        <v/>
      </c>
      <c r="L328" s="21" t="str">
        <f aca="false">IF(Variants!$H329="","",Variants!$H329)</f>
        <v>white-blue-red</v>
      </c>
      <c r="M328" s="21" t="str">
        <f aca="false">IF(Variants!$G329="","",Variants!$G329)</f>
        <v/>
      </c>
    </row>
    <row r="329" customFormat="false" ht="15.75" hidden="false" customHeight="true" outlineLevel="0" collapsed="false">
      <c r="A329" s="21" t="str">
        <f aca="false">IF(Variants!$B330="","",Variants!$C330&amp;" — "&amp;Variants!$E330&amp;IF(Variants!$F330=""," "," "&amp;Variants!$F330)&amp;" — "&amp;Variants!$H330)</f>
        <v>Արեւագորգի Վիշապ — Vishab Arevagorg  — white-bordeaux-green</v>
      </c>
      <c r="B329" s="21" t="str">
        <f aca="false">IFERROR(IF(Variants!$B330="","",VLOOKUP(Variants!$B330,Designs!$A$3:$AP$165,9,FALSE())&amp;" Handmade in Armenia."),"")</f>
        <v>Combines the vishap (dragon) motif with the arevagorg (sun-carpet) — an Armenian solar ornament symbolising life and eternity. Handmade in Armenia.</v>
      </c>
      <c r="C329" s="18" t="n">
        <f aca="false">IF(Variants!$J330="","",Variants!$J330)</f>
        <v>93.6</v>
      </c>
      <c r="D329" s="21" t="n">
        <f aca="false">IF(Variants!$O330="","",Variants!$O330)</f>
        <v>0</v>
      </c>
      <c r="E329" s="21" t="str">
        <f aca="false">Variants!$A330</f>
        <v>KARNI-EARRNG2-VISHABAREVAGORG-WHITE-BORDEAUX-GREEN</v>
      </c>
      <c r="F329" s="21" t="str">
        <f aca="false">IF(Variants!$E330="","",Variants!$E330&amp;", Armenian, handmade, enamel, "&amp;Variants!$D330)</f>
        <v>Vishab Arevagorg, Armenian, handmade, enamel, earrings 2 pcs.</v>
      </c>
      <c r="G329" s="21" t="str">
        <f aca="false">IFERROR(VLOOKUP(Variants!$B330,Designs!$A$3:$AP$165,12,FALSE())&amp;", enamel","")</f>
        <v>925 Silver Gold-Plated, enamel</v>
      </c>
      <c r="H329" s="21" t="str">
        <f aca="false">IF(Variants!$B330="","","I did")</f>
        <v>I did</v>
      </c>
      <c r="I329" s="21" t="str">
        <f aca="false">IF(Variants!$B330="","","Made to order")</f>
        <v>Made to order</v>
      </c>
      <c r="J329" s="21" t="str">
        <f aca="false">IF(Variants!$D330="","",Variants!$D330)</f>
        <v>earrings 2 pcs.</v>
      </c>
      <c r="K329" s="21" t="str">
        <f aca="false">IF(Variants!$Y330="","",Variants!$Y330)</f>
        <v/>
      </c>
      <c r="L329" s="21" t="str">
        <f aca="false">IF(Variants!$H330="","",Variants!$H330)</f>
        <v>white-bordeaux-green</v>
      </c>
      <c r="M329" s="21" t="str">
        <f aca="false">IF(Variants!$G330="","",Variants!$G330)</f>
        <v/>
      </c>
    </row>
    <row r="330" customFormat="false" ht="15.75" hidden="false" customHeight="true" outlineLevel="0" collapsed="false">
      <c r="A330" s="21" t="str">
        <f aca="false">IF(Variants!$B331="","",Variants!$C331&amp;" — "&amp;Variants!$E331&amp;IF(Variants!$F331=""," "," "&amp;Variants!$F331)&amp;" — "&amp;Variants!$H331)</f>
        <v>Արեւագորգի Վիշապ — Vishab Arevagorg  — blue-bordeaux-white</v>
      </c>
      <c r="B330" s="21" t="str">
        <f aca="false">IFERROR(IF(Variants!$B331="","",VLOOKUP(Variants!$B331,Designs!$A$3:$AP$165,9,FALSE())&amp;" Handmade in Armenia."),"")</f>
        <v>Combines the vishap (dragon) motif with the arevagorg (sun-carpet) — an Armenian solar ornament symbolising life and eternity. Handmade in Armenia.</v>
      </c>
      <c r="C330" s="18" t="n">
        <f aca="false">IF(Variants!$J331="","",Variants!$J331)</f>
        <v>93.6</v>
      </c>
      <c r="D330" s="21" t="n">
        <f aca="false">IF(Variants!$O331="","",Variants!$O331)</f>
        <v>0</v>
      </c>
      <c r="E330" s="21" t="str">
        <f aca="false">Variants!$A331</f>
        <v>KARNI-EARRNG2-VISHABAREVAGORG-BLUE-BORDEAUX-WHITE</v>
      </c>
      <c r="F330" s="21" t="str">
        <f aca="false">IF(Variants!$E331="","",Variants!$E331&amp;", Armenian, handmade, enamel, "&amp;Variants!$D331)</f>
        <v>Vishab Arevagorg, Armenian, handmade, enamel, earrings 2 pcs.</v>
      </c>
      <c r="G330" s="21" t="str">
        <f aca="false">IFERROR(VLOOKUP(Variants!$B331,Designs!$A$3:$AP$165,12,FALSE())&amp;", enamel","")</f>
        <v>925 Silver Gold-Plated, enamel</v>
      </c>
      <c r="H330" s="21" t="str">
        <f aca="false">IF(Variants!$B331="","","I did")</f>
        <v>I did</v>
      </c>
      <c r="I330" s="21" t="str">
        <f aca="false">IF(Variants!$B331="","","Made to order")</f>
        <v>Made to order</v>
      </c>
      <c r="J330" s="21" t="str">
        <f aca="false">IF(Variants!$D331="","",Variants!$D331)</f>
        <v>earrings 2 pcs.</v>
      </c>
      <c r="K330" s="21" t="str">
        <f aca="false">IF(Variants!$Y331="","",Variants!$Y331)</f>
        <v/>
      </c>
      <c r="L330" s="21" t="str">
        <f aca="false">IF(Variants!$H331="","",Variants!$H331)</f>
        <v>blue-bordeaux-white</v>
      </c>
      <c r="M330" s="21" t="str">
        <f aca="false">IF(Variants!$G331="","",Variants!$G331)</f>
        <v/>
      </c>
    </row>
    <row r="331" customFormat="false" ht="15.75" hidden="false" customHeight="true" outlineLevel="0" collapsed="false">
      <c r="A331" s="21" t="str">
        <f aca="false">IF(Variants!$B332="","",Variants!$C332&amp;" — "&amp;Variants!$E332&amp;IF(Variants!$F332=""," "," "&amp;Variants!$F332)&amp;" — "&amp;Variants!$H332)</f>
        <v>Marash Earrings — Marash  — white-bordeaux</v>
      </c>
      <c r="B331" s="21" t="str">
        <f aca="false">IFERROR(IF(Variants!$B332="","",VLOOKUP(Variants!$B332,Designs!$A$3:$AP$165,9,FALSE())&amp;" Handmade in Armenia."),"")</f>
        <v>Marash-work is a distinctive Armenian embroidery style from Cilician Marash, known for its interlaced geometric patterns. Handmade in Armenia.</v>
      </c>
      <c r="C331" s="18" t="n">
        <f aca="false">IF(Variants!$J332="","",Variants!$J332)</f>
        <v>114.4</v>
      </c>
      <c r="D331" s="21" t="n">
        <f aca="false">IF(Variants!$O332="","",Variants!$O332)</f>
        <v>0</v>
      </c>
      <c r="E331" s="21" t="str">
        <f aca="false">Variants!$A332</f>
        <v>KARNI-EARRNG-MARASH-L-WHITE-BORDEAUX</v>
      </c>
      <c r="F331" s="21" t="str">
        <f aca="false">IF(Variants!$E332="","",Variants!$E332&amp;", Armenian, handmade, enamel, "&amp;Variants!$D332)</f>
        <v>Marash, Armenian, handmade, enamel, Earring</v>
      </c>
      <c r="G331" s="21" t="str">
        <f aca="false">IFERROR(VLOOKUP(Variants!$B332,Designs!$A$3:$AP$165,12,FALSE())&amp;", enamel","")</f>
        <v>925 Silver Gold-Plated, enamel</v>
      </c>
      <c r="H331" s="21" t="str">
        <f aca="false">IF(Variants!$B332="","","I did")</f>
        <v>I did</v>
      </c>
      <c r="I331" s="21" t="str">
        <f aca="false">IF(Variants!$B332="","","Made to order")</f>
        <v>Made to order</v>
      </c>
      <c r="J331" s="21" t="str">
        <f aca="false">IF(Variants!$D332="","",Variants!$D332)</f>
        <v>Earring</v>
      </c>
      <c r="K331" s="21" t="str">
        <f aca="false">IF(Variants!$Y332="","",Variants!$Y332)</f>
        <v/>
      </c>
      <c r="L331" s="21" t="str">
        <f aca="false">IF(Variants!$H332="","",Variants!$H332)</f>
        <v>white-bordeaux</v>
      </c>
      <c r="M331" s="21" t="str">
        <f aca="false">IF(Variants!$G332="","",Variants!$G332)</f>
        <v>large</v>
      </c>
    </row>
    <row r="332" customFormat="false" ht="15.75" hidden="false" customHeight="true" outlineLevel="0" collapsed="false">
      <c r="A332" s="21" t="str">
        <f aca="false">IF(Variants!$B333="","",Variants!$C333&amp;" — "&amp;Variants!$E333&amp;IF(Variants!$F333=""," "," "&amp;Variants!$F333)&amp;" — "&amp;Variants!$H333)</f>
        <v>Marash Earrings — Marash  — blue-white</v>
      </c>
      <c r="B332" s="21" t="str">
        <f aca="false">IFERROR(IF(Variants!$B333="","",VLOOKUP(Variants!$B333,Designs!$A$3:$AP$165,9,FALSE())&amp;" Handmade in Armenia."),"")</f>
        <v>Marash-work is a distinctive Armenian embroidery style from Cilician Marash, known for its interlaced geometric patterns. Handmade in Armenia.</v>
      </c>
      <c r="C332" s="18" t="n">
        <f aca="false">IF(Variants!$J333="","",Variants!$J333)</f>
        <v>114.4</v>
      </c>
      <c r="D332" s="21" t="n">
        <f aca="false">IF(Variants!$O333="","",Variants!$O333)</f>
        <v>0</v>
      </c>
      <c r="E332" s="21" t="str">
        <f aca="false">Variants!$A333</f>
        <v>KARNI-EARRNG-MARASH-L-BLUE-WHITE</v>
      </c>
      <c r="F332" s="21" t="str">
        <f aca="false">IF(Variants!$E333="","",Variants!$E333&amp;", Armenian, handmade, enamel, "&amp;Variants!$D333)</f>
        <v>Marash, Armenian, handmade, enamel, Earring</v>
      </c>
      <c r="G332" s="21" t="str">
        <f aca="false">IFERROR(VLOOKUP(Variants!$B333,Designs!$A$3:$AP$165,12,FALSE())&amp;", enamel","")</f>
        <v>925 Silver Gold-Plated, enamel</v>
      </c>
      <c r="H332" s="21" t="str">
        <f aca="false">IF(Variants!$B333="","","I did")</f>
        <v>I did</v>
      </c>
      <c r="I332" s="21" t="str">
        <f aca="false">IF(Variants!$B333="","","Made to order")</f>
        <v>Made to order</v>
      </c>
      <c r="J332" s="21" t="str">
        <f aca="false">IF(Variants!$D333="","",Variants!$D333)</f>
        <v>Earring</v>
      </c>
      <c r="K332" s="21" t="str">
        <f aca="false">IF(Variants!$Y333="","",Variants!$Y333)</f>
        <v/>
      </c>
      <c r="L332" s="21" t="str">
        <f aca="false">IF(Variants!$H333="","",Variants!$H333)</f>
        <v>blue-white</v>
      </c>
      <c r="M332" s="21" t="str">
        <f aca="false">IF(Variants!$G333="","",Variants!$G333)</f>
        <v>large</v>
      </c>
    </row>
    <row r="333" customFormat="false" ht="15.75" hidden="false" customHeight="true" outlineLevel="0" collapsed="false">
      <c r="A333" s="21" t="str">
        <f aca="false">IF(Variants!$B334="","",Variants!$C334&amp;" — "&amp;Variants!$E334&amp;IF(Variants!$F334=""," "," "&amp;Variants!$F334)&amp;" — "&amp;Variants!$H334)</f>
        <v>Marash Earrings — Marash  — white-golden</v>
      </c>
      <c r="B333" s="21" t="str">
        <f aca="false">IFERROR(IF(Variants!$B334="","",VLOOKUP(Variants!$B334,Designs!$A$3:$AP$165,9,FALSE())&amp;" Handmade in Armenia."),"")</f>
        <v>Marash-work is a distinctive Armenian embroidery style from Cilician Marash, known for its interlaced geometric patterns. Handmade in Armenia.</v>
      </c>
      <c r="C333" s="18" t="n">
        <f aca="false">IF(Variants!$J334="","",Variants!$J334)</f>
        <v>114.4</v>
      </c>
      <c r="D333" s="21" t="n">
        <f aca="false">IF(Variants!$O334="","",Variants!$O334)</f>
        <v>0</v>
      </c>
      <c r="E333" s="21" t="str">
        <f aca="false">Variants!$A334</f>
        <v>KARNI-EARRNG-MARASH-L-WHITE-GOLDEN</v>
      </c>
      <c r="F333" s="21" t="str">
        <f aca="false">IF(Variants!$E334="","",Variants!$E334&amp;", Armenian, handmade, enamel, "&amp;Variants!$D334)</f>
        <v>Marash, Armenian, handmade, enamel, Earring</v>
      </c>
      <c r="G333" s="21" t="str">
        <f aca="false">IFERROR(VLOOKUP(Variants!$B334,Designs!$A$3:$AP$165,12,FALSE())&amp;", enamel","")</f>
        <v>925 Silver Gold-Plated, enamel</v>
      </c>
      <c r="H333" s="21" t="str">
        <f aca="false">IF(Variants!$B334="","","I did")</f>
        <v>I did</v>
      </c>
      <c r="I333" s="21" t="str">
        <f aca="false">IF(Variants!$B334="","","Made to order")</f>
        <v>Made to order</v>
      </c>
      <c r="J333" s="21" t="str">
        <f aca="false">IF(Variants!$D334="","",Variants!$D334)</f>
        <v>Earring</v>
      </c>
      <c r="K333" s="21" t="str">
        <f aca="false">IF(Variants!$Y334="","",Variants!$Y334)</f>
        <v/>
      </c>
      <c r="L333" s="21" t="str">
        <f aca="false">IF(Variants!$H334="","",Variants!$H334)</f>
        <v>white-golden</v>
      </c>
      <c r="M333" s="21" t="str">
        <f aca="false">IF(Variants!$G334="","",Variants!$G334)</f>
        <v>large</v>
      </c>
    </row>
    <row r="334" customFormat="false" ht="15.75" hidden="false" customHeight="true" outlineLevel="0" collapsed="false">
      <c r="A334" s="21" t="str">
        <f aca="false">IF(Variants!$B335="","",Variants!$C335&amp;" — "&amp;Variants!$E335&amp;IF(Variants!$F335=""," "," "&amp;Variants!$F335)&amp;" — "&amp;Variants!$H335)</f>
        <v>Marash Ring — Marash  — blue</v>
      </c>
      <c r="B334" s="21" t="str">
        <f aca="false">IFERROR(IF(Variants!$B335="","",VLOOKUP(Variants!$B335,Designs!$A$3:$AP$165,9,FALSE())&amp;" Handmade in Armenia."),"")</f>
        <v>Marash-work is a distinctive Armenian embroidery style from Cilician Marash, known for its interlaced geometric patterns. Handmade in Armenia.</v>
      </c>
      <c r="C334" s="18" t="n">
        <f aca="false">IF(Variants!$J335="","",Variants!$J335)</f>
        <v>33.8</v>
      </c>
      <c r="D334" s="21" t="n">
        <f aca="false">IF(Variants!$O335="","",Variants!$O335)</f>
        <v>0</v>
      </c>
      <c r="E334" s="21" t="str">
        <f aca="false">Variants!$A335</f>
        <v>KARNI-RING-MARASH-S-BLUE</v>
      </c>
      <c r="F334" s="21" t="str">
        <f aca="false">IF(Variants!$E335="","",Variants!$E335&amp;", Armenian, handmade, enamel, "&amp;Variants!$D335)</f>
        <v>Marash, Armenian, handmade, enamel, Ring</v>
      </c>
      <c r="G334" s="21" t="str">
        <f aca="false">IFERROR(VLOOKUP(Variants!$B335,Designs!$A$3:$AP$165,12,FALSE())&amp;", enamel","")</f>
        <v>925 Silver Gold-Plated, enamel</v>
      </c>
      <c r="H334" s="21" t="str">
        <f aca="false">IF(Variants!$B335="","","I did")</f>
        <v>I did</v>
      </c>
      <c r="I334" s="21" t="str">
        <f aca="false">IF(Variants!$B335="","","Made to order")</f>
        <v>Made to order</v>
      </c>
      <c r="J334" s="21" t="str">
        <f aca="false">IF(Variants!$D335="","",Variants!$D335)</f>
        <v>Ring</v>
      </c>
      <c r="K334" s="21" t="str">
        <f aca="false">IF(Variants!$Y335="","",Variants!$Y335)</f>
        <v/>
      </c>
      <c r="L334" s="21" t="str">
        <f aca="false">IF(Variants!$H335="","",Variants!$H335)</f>
        <v>blue</v>
      </c>
      <c r="M334" s="21" t="str">
        <f aca="false">IF(Variants!$G335="","",Variants!$G335)</f>
        <v>small</v>
      </c>
    </row>
    <row r="335" customFormat="false" ht="15.75" hidden="false" customHeight="true" outlineLevel="0" collapsed="false">
      <c r="A335" s="21" t="str">
        <f aca="false">IF(Variants!$B336="","",Variants!$C336&amp;" — "&amp;Variants!$E336&amp;IF(Variants!$F336=""," "," "&amp;Variants!$F336)&amp;" — "&amp;Variants!$H336)</f>
        <v>Marash Ring — Marash  — white</v>
      </c>
      <c r="B335" s="21" t="str">
        <f aca="false">IFERROR(IF(Variants!$B336="","",VLOOKUP(Variants!$B336,Designs!$A$3:$AP$165,9,FALSE())&amp;" Handmade in Armenia."),"")</f>
        <v>Marash-work is a distinctive Armenian embroidery style from Cilician Marash, known for its interlaced geometric patterns. Handmade in Armenia.</v>
      </c>
      <c r="C335" s="18" t="n">
        <f aca="false">IF(Variants!$J336="","",Variants!$J336)</f>
        <v>33.8</v>
      </c>
      <c r="D335" s="21" t="n">
        <f aca="false">IF(Variants!$O336="","",Variants!$O336)</f>
        <v>0</v>
      </c>
      <c r="E335" s="21" t="str">
        <f aca="false">Variants!$A336</f>
        <v>KARNI-RING-MARASH-S-WHITE</v>
      </c>
      <c r="F335" s="21" t="str">
        <f aca="false">IF(Variants!$E336="","",Variants!$E336&amp;", Armenian, handmade, enamel, "&amp;Variants!$D336)</f>
        <v>Marash, Armenian, handmade, enamel, Ring</v>
      </c>
      <c r="G335" s="21" t="str">
        <f aca="false">IFERROR(VLOOKUP(Variants!$B336,Designs!$A$3:$AP$165,12,FALSE())&amp;", enamel","")</f>
        <v>925 Silver Gold-Plated, enamel</v>
      </c>
      <c r="H335" s="21" t="str">
        <f aca="false">IF(Variants!$B336="","","I did")</f>
        <v>I did</v>
      </c>
      <c r="I335" s="21" t="str">
        <f aca="false">IF(Variants!$B336="","","Made to order")</f>
        <v>Made to order</v>
      </c>
      <c r="J335" s="21" t="str">
        <f aca="false">IF(Variants!$D336="","",Variants!$D336)</f>
        <v>Ring</v>
      </c>
      <c r="K335" s="21" t="str">
        <f aca="false">IF(Variants!$Y336="","",Variants!$Y336)</f>
        <v/>
      </c>
      <c r="L335" s="21" t="str">
        <f aca="false">IF(Variants!$H336="","",Variants!$H336)</f>
        <v>white</v>
      </c>
      <c r="M335" s="21" t="str">
        <f aca="false">IF(Variants!$G336="","",Variants!$G336)</f>
        <v>small</v>
      </c>
    </row>
    <row r="336" customFormat="false" ht="15.75" hidden="false" customHeight="true" outlineLevel="0" collapsed="false">
      <c r="A336" s="21" t="str">
        <f aca="false">IF(Variants!$B337="","",Variants!$C337&amp;" — "&amp;Variants!$E337&amp;IF(Variants!$F337=""," "," "&amp;Variants!$F337)&amp;" — "&amp;Variants!$H337)</f>
        <v>Marash Ring — Marash  — bordeaux</v>
      </c>
      <c r="B336" s="21" t="str">
        <f aca="false">IFERROR(IF(Variants!$B337="","",VLOOKUP(Variants!$B337,Designs!$A$3:$AP$165,9,FALSE())&amp;" Handmade in Armenia."),"")</f>
        <v>Marash-work is a distinctive Armenian embroidery style from Cilician Marash, known for its interlaced geometric patterns. Handmade in Armenia.</v>
      </c>
      <c r="C336" s="18" t="n">
        <f aca="false">IF(Variants!$J337="","",Variants!$J337)</f>
        <v>33.8</v>
      </c>
      <c r="D336" s="21" t="n">
        <f aca="false">IF(Variants!$O337="","",Variants!$O337)</f>
        <v>0</v>
      </c>
      <c r="E336" s="21" t="str">
        <f aca="false">Variants!$A337</f>
        <v>KARNI-RING-MARASH-S-BORDEAUX</v>
      </c>
      <c r="F336" s="21" t="str">
        <f aca="false">IF(Variants!$E337="","",Variants!$E337&amp;", Armenian, handmade, enamel, "&amp;Variants!$D337)</f>
        <v>Marash, Armenian, handmade, enamel, Ring</v>
      </c>
      <c r="G336" s="21" t="str">
        <f aca="false">IFERROR(VLOOKUP(Variants!$B337,Designs!$A$3:$AP$165,12,FALSE())&amp;", enamel","")</f>
        <v>925 Silver Gold-Plated, enamel</v>
      </c>
      <c r="H336" s="21" t="str">
        <f aca="false">IF(Variants!$B337="","","I did")</f>
        <v>I did</v>
      </c>
      <c r="I336" s="21" t="str">
        <f aca="false">IF(Variants!$B337="","","Made to order")</f>
        <v>Made to order</v>
      </c>
      <c r="J336" s="21" t="str">
        <f aca="false">IF(Variants!$D337="","",Variants!$D337)</f>
        <v>Ring</v>
      </c>
      <c r="K336" s="21" t="str">
        <f aca="false">IF(Variants!$Y337="","",Variants!$Y337)</f>
        <v/>
      </c>
      <c r="L336" s="21" t="str">
        <f aca="false">IF(Variants!$H337="","",Variants!$H337)</f>
        <v>bordeaux</v>
      </c>
      <c r="M336" s="21" t="str">
        <f aca="false">IF(Variants!$G337="","",Variants!$G337)</f>
        <v>small</v>
      </c>
    </row>
    <row r="337" customFormat="false" ht="15.75" hidden="false" customHeight="true" outlineLevel="0" collapsed="false">
      <c r="A337" s="21" t="str">
        <f aca="false">IF(Variants!$B338="","",Variants!$C338&amp;" — "&amp;Variants!$E338&amp;IF(Variants!$F338=""," "," "&amp;Variants!$F338)&amp;" — "&amp;Variants!$H338)</f>
        <v>Marash Ring — Marash  — turquoise</v>
      </c>
      <c r="B337" s="21" t="str">
        <f aca="false">IFERROR(IF(Variants!$B338="","",VLOOKUP(Variants!$B338,Designs!$A$3:$AP$165,9,FALSE())&amp;" Handmade in Armenia."),"")</f>
        <v>Marash-work is a distinctive Armenian embroidery style from Cilician Marash, known for its interlaced geometric patterns. Handmade in Armenia.</v>
      </c>
      <c r="C337" s="18" t="n">
        <f aca="false">IF(Variants!$J338="","",Variants!$J338)</f>
        <v>33.8</v>
      </c>
      <c r="D337" s="21" t="n">
        <f aca="false">IF(Variants!$O338="","",Variants!$O338)</f>
        <v>0</v>
      </c>
      <c r="E337" s="21" t="str">
        <f aca="false">Variants!$A338</f>
        <v>KARNI-RING-MARASH-S-TURQUOISE</v>
      </c>
      <c r="F337" s="21" t="str">
        <f aca="false">IF(Variants!$E338="","",Variants!$E338&amp;", Armenian, handmade, enamel, "&amp;Variants!$D338)</f>
        <v>Marash, Armenian, handmade, enamel, Ring</v>
      </c>
      <c r="G337" s="21" t="str">
        <f aca="false">IFERROR(VLOOKUP(Variants!$B338,Designs!$A$3:$AP$165,12,FALSE())&amp;", enamel","")</f>
        <v>925 Silver Gold-Plated, enamel</v>
      </c>
      <c r="H337" s="21" t="str">
        <f aca="false">IF(Variants!$B338="","","I did")</f>
        <v>I did</v>
      </c>
      <c r="I337" s="21" t="str">
        <f aca="false">IF(Variants!$B338="","","Made to order")</f>
        <v>Made to order</v>
      </c>
      <c r="J337" s="21" t="str">
        <f aca="false">IF(Variants!$D338="","",Variants!$D338)</f>
        <v>Ring</v>
      </c>
      <c r="K337" s="21" t="str">
        <f aca="false">IF(Variants!$Y338="","",Variants!$Y338)</f>
        <v/>
      </c>
      <c r="L337" s="21" t="str">
        <f aca="false">IF(Variants!$H338="","",Variants!$H338)</f>
        <v>turquoise</v>
      </c>
      <c r="M337" s="21" t="str">
        <f aca="false">IF(Variants!$G338="","",Variants!$G338)</f>
        <v>small</v>
      </c>
    </row>
    <row r="338" customFormat="false" ht="15.75" hidden="false" customHeight="true" outlineLevel="0" collapsed="false">
      <c r="A338" s="21" t="str">
        <f aca="false">IF(Variants!$B339="","",Variants!$C339&amp;" — "&amp;Variants!$E339&amp;IF(Variants!$F339=""," "," "&amp;Variants!$F339)&amp;" — "&amp;Variants!$H339)</f>
        <v>Marash Ring — Marash  — green</v>
      </c>
      <c r="B338" s="21" t="str">
        <f aca="false">IFERROR(IF(Variants!$B339="","",VLOOKUP(Variants!$B339,Designs!$A$3:$AP$165,9,FALSE())&amp;" Handmade in Armenia."),"")</f>
        <v>Marash-work is a distinctive Armenian embroidery style from Cilician Marash, known for its interlaced geometric patterns. Handmade in Armenia.</v>
      </c>
      <c r="C338" s="18" t="n">
        <f aca="false">IF(Variants!$J339="","",Variants!$J339)</f>
        <v>33.8</v>
      </c>
      <c r="D338" s="21" t="n">
        <f aca="false">IF(Variants!$O339="","",Variants!$O339)</f>
        <v>0</v>
      </c>
      <c r="E338" s="21" t="str">
        <f aca="false">Variants!$A339</f>
        <v>KARNI-RING-MARASH-S-GREEN</v>
      </c>
      <c r="F338" s="21" t="str">
        <f aca="false">IF(Variants!$E339="","",Variants!$E339&amp;", Armenian, handmade, enamel, "&amp;Variants!$D339)</f>
        <v>Marash, Armenian, handmade, enamel, Ring</v>
      </c>
      <c r="G338" s="21" t="str">
        <f aca="false">IFERROR(VLOOKUP(Variants!$B339,Designs!$A$3:$AP$165,12,FALSE())&amp;", enamel","")</f>
        <v>925 Silver Gold-Plated, enamel</v>
      </c>
      <c r="H338" s="21" t="str">
        <f aca="false">IF(Variants!$B339="","","I did")</f>
        <v>I did</v>
      </c>
      <c r="I338" s="21" t="str">
        <f aca="false">IF(Variants!$B339="","","Made to order")</f>
        <v>Made to order</v>
      </c>
      <c r="J338" s="21" t="str">
        <f aca="false">IF(Variants!$D339="","",Variants!$D339)</f>
        <v>Ring</v>
      </c>
      <c r="K338" s="21" t="str">
        <f aca="false">IF(Variants!$Y339="","",Variants!$Y339)</f>
        <v/>
      </c>
      <c r="L338" s="21" t="str">
        <f aca="false">IF(Variants!$H339="","",Variants!$H339)</f>
        <v>green</v>
      </c>
      <c r="M338" s="21" t="str">
        <f aca="false">IF(Variants!$G339="","",Variants!$G339)</f>
        <v>small</v>
      </c>
    </row>
    <row r="339" customFormat="false" ht="15.75" hidden="false" customHeight="true" outlineLevel="0" collapsed="false">
      <c r="A339" s="21" t="str">
        <f aca="false">IF(Variants!$B340="","",Variants!$C340&amp;" — "&amp;Variants!$E340&amp;IF(Variants!$F340=""," "," "&amp;Variants!$F340)&amp;" — "&amp;Variants!$H340)</f>
        <v>Van Ring — Van  — blue</v>
      </c>
      <c r="B339" s="21" t="str">
        <f aca="false">IFERROR(IF(Variants!$B340="","",VLOOKUP(Variants!$B340,Designs!$A$3:$AP$165,9,FALSE())&amp;" Handmade in Armenia."),"")</f>
        <v>Motifs from the Van/Vaspurakan region, echoing the ornament of the Lake Van heartland of historic Armenia. Handmade in Armenia.</v>
      </c>
      <c r="C339" s="18" t="n">
        <f aca="false">IF(Variants!$J340="","",Variants!$J340)</f>
        <v>33.8</v>
      </c>
      <c r="D339" s="21" t="n">
        <f aca="false">IF(Variants!$O340="","",Variants!$O340)</f>
        <v>0</v>
      </c>
      <c r="E339" s="21" t="str">
        <f aca="false">Variants!$A340</f>
        <v>KARNI-RING-VAN-S-BLUE</v>
      </c>
      <c r="F339" s="21" t="str">
        <f aca="false">IF(Variants!$E340="","",Variants!$E340&amp;", Armenian, handmade, enamel, "&amp;Variants!$D340)</f>
        <v>Van, Armenian, handmade, enamel, Ring</v>
      </c>
      <c r="G339" s="21" t="str">
        <f aca="false">IFERROR(VLOOKUP(Variants!$B340,Designs!$A$3:$AP$165,12,FALSE())&amp;", enamel","")</f>
        <v>925 Silver Gold-Plated, enamel</v>
      </c>
      <c r="H339" s="21" t="str">
        <f aca="false">IF(Variants!$B340="","","I did")</f>
        <v>I did</v>
      </c>
      <c r="I339" s="21" t="str">
        <f aca="false">IF(Variants!$B340="","","Made to order")</f>
        <v>Made to order</v>
      </c>
      <c r="J339" s="21" t="str">
        <f aca="false">IF(Variants!$D340="","",Variants!$D340)</f>
        <v>Ring</v>
      </c>
      <c r="K339" s="21" t="str">
        <f aca="false">IF(Variants!$Y340="","",Variants!$Y340)</f>
        <v/>
      </c>
      <c r="L339" s="21" t="str">
        <f aca="false">IF(Variants!$H340="","",Variants!$H340)</f>
        <v>blue</v>
      </c>
      <c r="M339" s="21" t="str">
        <f aca="false">IF(Variants!$G340="","",Variants!$G340)</f>
        <v>small</v>
      </c>
    </row>
    <row r="340" customFormat="false" ht="15.75" hidden="false" customHeight="true" outlineLevel="0" collapsed="false">
      <c r="A340" s="21" t="str">
        <f aca="false">IF(Variants!$B341="","",Variants!$C341&amp;" — "&amp;Variants!$E341&amp;IF(Variants!$F341=""," "," "&amp;Variants!$F341)&amp;" — "&amp;Variants!$H341)</f>
        <v>Van Ring — Van  — white</v>
      </c>
      <c r="B340" s="21" t="str">
        <f aca="false">IFERROR(IF(Variants!$B341="","",VLOOKUP(Variants!$B341,Designs!$A$3:$AP$165,9,FALSE())&amp;" Handmade in Armenia."),"")</f>
        <v>Motifs from the Van/Vaspurakan region, echoing the ornament of the Lake Van heartland of historic Armenia. Handmade in Armenia.</v>
      </c>
      <c r="C340" s="18" t="n">
        <f aca="false">IF(Variants!$J341="","",Variants!$J341)</f>
        <v>33.8</v>
      </c>
      <c r="D340" s="21" t="n">
        <f aca="false">IF(Variants!$O341="","",Variants!$O341)</f>
        <v>0</v>
      </c>
      <c r="E340" s="21" t="str">
        <f aca="false">Variants!$A341</f>
        <v>KARNI-RING-VAN-S-WHITE</v>
      </c>
      <c r="F340" s="21" t="str">
        <f aca="false">IF(Variants!$E341="","",Variants!$E341&amp;", Armenian, handmade, enamel, "&amp;Variants!$D341)</f>
        <v>Van, Armenian, handmade, enamel, Ring</v>
      </c>
      <c r="G340" s="21" t="str">
        <f aca="false">IFERROR(VLOOKUP(Variants!$B341,Designs!$A$3:$AP$165,12,FALSE())&amp;", enamel","")</f>
        <v>925 Silver Gold-Plated, enamel</v>
      </c>
      <c r="H340" s="21" t="str">
        <f aca="false">IF(Variants!$B341="","","I did")</f>
        <v>I did</v>
      </c>
      <c r="I340" s="21" t="str">
        <f aca="false">IF(Variants!$B341="","","Made to order")</f>
        <v>Made to order</v>
      </c>
      <c r="J340" s="21" t="str">
        <f aca="false">IF(Variants!$D341="","",Variants!$D341)</f>
        <v>Ring</v>
      </c>
      <c r="K340" s="21" t="str">
        <f aca="false">IF(Variants!$Y341="","",Variants!$Y341)</f>
        <v/>
      </c>
      <c r="L340" s="21" t="str">
        <f aca="false">IF(Variants!$H341="","",Variants!$H341)</f>
        <v>white</v>
      </c>
      <c r="M340" s="21" t="str">
        <f aca="false">IF(Variants!$G341="","",Variants!$G341)</f>
        <v>small</v>
      </c>
    </row>
    <row r="341" customFormat="false" ht="15.75" hidden="false" customHeight="true" outlineLevel="0" collapsed="false">
      <c r="A341" s="21" t="str">
        <f aca="false">IF(Variants!$B342="","",Variants!$C342&amp;" — "&amp;Variants!$E342&amp;IF(Variants!$F342=""," "," "&amp;Variants!$F342)&amp;" — "&amp;Variants!$H342)</f>
        <v>Van Ring — Van  — bordeaux</v>
      </c>
      <c r="B341" s="21" t="str">
        <f aca="false">IFERROR(IF(Variants!$B342="","",VLOOKUP(Variants!$B342,Designs!$A$3:$AP$165,9,FALSE())&amp;" Handmade in Armenia."),"")</f>
        <v>Motifs from the Van/Vaspurakan region, echoing the ornament of the Lake Van heartland of historic Armenia. Handmade in Armenia.</v>
      </c>
      <c r="C341" s="18" t="n">
        <f aca="false">IF(Variants!$J342="","",Variants!$J342)</f>
        <v>33.8</v>
      </c>
      <c r="D341" s="21" t="n">
        <f aca="false">IF(Variants!$O342="","",Variants!$O342)</f>
        <v>0</v>
      </c>
      <c r="E341" s="21" t="str">
        <f aca="false">Variants!$A342</f>
        <v>KARNI-RING-VAN-S-BORDEAUX</v>
      </c>
      <c r="F341" s="21" t="str">
        <f aca="false">IF(Variants!$E342="","",Variants!$E342&amp;", Armenian, handmade, enamel, "&amp;Variants!$D342)</f>
        <v>Van, Armenian, handmade, enamel, Ring</v>
      </c>
      <c r="G341" s="21" t="str">
        <f aca="false">IFERROR(VLOOKUP(Variants!$B342,Designs!$A$3:$AP$165,12,FALSE())&amp;", enamel","")</f>
        <v>925 Silver Gold-Plated, enamel</v>
      </c>
      <c r="H341" s="21" t="str">
        <f aca="false">IF(Variants!$B342="","","I did")</f>
        <v>I did</v>
      </c>
      <c r="I341" s="21" t="str">
        <f aca="false">IF(Variants!$B342="","","Made to order")</f>
        <v>Made to order</v>
      </c>
      <c r="J341" s="21" t="str">
        <f aca="false">IF(Variants!$D342="","",Variants!$D342)</f>
        <v>Ring</v>
      </c>
      <c r="K341" s="21" t="str">
        <f aca="false">IF(Variants!$Y342="","",Variants!$Y342)</f>
        <v/>
      </c>
      <c r="L341" s="21" t="str">
        <f aca="false">IF(Variants!$H342="","",Variants!$H342)</f>
        <v>bordeaux</v>
      </c>
      <c r="M341" s="21" t="str">
        <f aca="false">IF(Variants!$G342="","",Variants!$G342)</f>
        <v>small</v>
      </c>
    </row>
    <row r="342" customFormat="false" ht="15.75" hidden="false" customHeight="true" outlineLevel="0" collapsed="false">
      <c r="A342" s="21" t="str">
        <f aca="false">IF(Variants!$B343="","",Variants!$C343&amp;" — "&amp;Variants!$E343&amp;IF(Variants!$F343=""," "," "&amp;Variants!$F343)&amp;" — "&amp;Variants!$H343)</f>
        <v>Van Ring — Van  — turquoise</v>
      </c>
      <c r="B342" s="21" t="str">
        <f aca="false">IFERROR(IF(Variants!$B343="","",VLOOKUP(Variants!$B343,Designs!$A$3:$AP$165,9,FALSE())&amp;" Handmade in Armenia."),"")</f>
        <v>Motifs from the Van/Vaspurakan region, echoing the ornament of the Lake Van heartland of historic Armenia. Handmade in Armenia.</v>
      </c>
      <c r="C342" s="18" t="n">
        <f aca="false">IF(Variants!$J343="","",Variants!$J343)</f>
        <v>33.8</v>
      </c>
      <c r="D342" s="21" t="n">
        <f aca="false">IF(Variants!$O343="","",Variants!$O343)</f>
        <v>0</v>
      </c>
      <c r="E342" s="21" t="str">
        <f aca="false">Variants!$A343</f>
        <v>KARNI-RING-VAN-S-TURQUOISE</v>
      </c>
      <c r="F342" s="21" t="str">
        <f aca="false">IF(Variants!$E343="","",Variants!$E343&amp;", Armenian, handmade, enamel, "&amp;Variants!$D343)</f>
        <v>Van, Armenian, handmade, enamel, Ring</v>
      </c>
      <c r="G342" s="21" t="str">
        <f aca="false">IFERROR(VLOOKUP(Variants!$B343,Designs!$A$3:$AP$165,12,FALSE())&amp;", enamel","")</f>
        <v>925 Silver Gold-Plated, enamel</v>
      </c>
      <c r="H342" s="21" t="str">
        <f aca="false">IF(Variants!$B343="","","I did")</f>
        <v>I did</v>
      </c>
      <c r="I342" s="21" t="str">
        <f aca="false">IF(Variants!$B343="","","Made to order")</f>
        <v>Made to order</v>
      </c>
      <c r="J342" s="21" t="str">
        <f aca="false">IF(Variants!$D343="","",Variants!$D343)</f>
        <v>Ring</v>
      </c>
      <c r="K342" s="21" t="str">
        <f aca="false">IF(Variants!$Y343="","",Variants!$Y343)</f>
        <v/>
      </c>
      <c r="L342" s="21" t="str">
        <f aca="false">IF(Variants!$H343="","",Variants!$H343)</f>
        <v>turquoise</v>
      </c>
      <c r="M342" s="21" t="str">
        <f aca="false">IF(Variants!$G343="","",Variants!$G343)</f>
        <v>small</v>
      </c>
    </row>
    <row r="343" customFormat="false" ht="15.75" hidden="false" customHeight="true" outlineLevel="0" collapsed="false">
      <c r="A343" s="21" t="str">
        <f aca="false">IF(Variants!$B344="","",Variants!$C344&amp;" — "&amp;Variants!$E344&amp;IF(Variants!$F344=""," "," "&amp;Variants!$F344)&amp;" — "&amp;Variants!$H344)</f>
        <v>Van Ring — Van  — green</v>
      </c>
      <c r="B343" s="21" t="str">
        <f aca="false">IFERROR(IF(Variants!$B344="","",VLOOKUP(Variants!$B344,Designs!$A$3:$AP$165,9,FALSE())&amp;" Handmade in Armenia."),"")</f>
        <v>Motifs from the Van/Vaspurakan region, echoing the ornament of the Lake Van heartland of historic Armenia. Handmade in Armenia.</v>
      </c>
      <c r="C343" s="18" t="n">
        <f aca="false">IF(Variants!$J344="","",Variants!$J344)</f>
        <v>33.8</v>
      </c>
      <c r="D343" s="21" t="n">
        <f aca="false">IF(Variants!$O344="","",Variants!$O344)</f>
        <v>0</v>
      </c>
      <c r="E343" s="21" t="str">
        <f aca="false">Variants!$A344</f>
        <v>KARNI-RING-VAN-S-GREEN</v>
      </c>
      <c r="F343" s="21" t="str">
        <f aca="false">IF(Variants!$E344="","",Variants!$E344&amp;", Armenian, handmade, enamel, "&amp;Variants!$D344)</f>
        <v>Van, Armenian, handmade, enamel, Ring</v>
      </c>
      <c r="G343" s="21" t="str">
        <f aca="false">IFERROR(VLOOKUP(Variants!$B344,Designs!$A$3:$AP$165,12,FALSE())&amp;", enamel","")</f>
        <v>925 Silver Gold-Plated, enamel</v>
      </c>
      <c r="H343" s="21" t="str">
        <f aca="false">IF(Variants!$B344="","","I did")</f>
        <v>I did</v>
      </c>
      <c r="I343" s="21" t="str">
        <f aca="false">IF(Variants!$B344="","","Made to order")</f>
        <v>Made to order</v>
      </c>
      <c r="J343" s="21" t="str">
        <f aca="false">IF(Variants!$D344="","",Variants!$D344)</f>
        <v>Ring</v>
      </c>
      <c r="K343" s="21" t="str">
        <f aca="false">IF(Variants!$Y344="","",Variants!$Y344)</f>
        <v/>
      </c>
      <c r="L343" s="21" t="str">
        <f aca="false">IF(Variants!$H344="","",Variants!$H344)</f>
        <v>green</v>
      </c>
      <c r="M343" s="21" t="str">
        <f aca="false">IF(Variants!$G344="","",Variants!$G344)</f>
        <v>small</v>
      </c>
    </row>
    <row r="344" customFormat="false" ht="15.75" hidden="false" customHeight="true" outlineLevel="0" collapsed="false">
      <c r="A344" s="21" t="str">
        <f aca="false">IF(Variants!$B345="","",Variants!$C345&amp;" — "&amp;Variants!$E345&amp;IF(Variants!$F345=""," "," "&amp;Variants!$F345)&amp;" — "&amp;Variants!$H345)</f>
        <v>Արեւագորգի Վիշապ — Vishab Arevagorg  — blue</v>
      </c>
      <c r="B344" s="21" t="str">
        <f aca="false">IFERROR(IF(Variants!$B345="","",VLOOKUP(Variants!$B345,Designs!$A$3:$AP$165,9,FALSE())&amp;" Handmade in Armenia."),"")</f>
        <v>Combines the vishap (dragon) motif with the arevagorg (sun-carpet) — an Armenian solar ornament symbolising life and eternity. Handmade in Armenia.</v>
      </c>
      <c r="C344" s="18" t="n">
        <f aca="false">IF(Variants!$J345="","",Variants!$J345)</f>
        <v>33.8</v>
      </c>
      <c r="D344" s="21" t="n">
        <f aca="false">IF(Variants!$O345="","",Variants!$O345)</f>
        <v>0</v>
      </c>
      <c r="E344" s="21" t="str">
        <f aca="false">Variants!$A345</f>
        <v>KARNI-RING-VISHABAREVAGORG-S-BLUE</v>
      </c>
      <c r="F344" s="21" t="str">
        <f aca="false">IF(Variants!$E345="","",Variants!$E345&amp;", Armenian, handmade, enamel, "&amp;Variants!$D345)</f>
        <v>Vishab Arevagorg, Armenian, handmade, enamel, Ring</v>
      </c>
      <c r="G344" s="21" t="str">
        <f aca="false">IFERROR(VLOOKUP(Variants!$B345,Designs!$A$3:$AP$165,12,FALSE())&amp;", enamel","")</f>
        <v>925 Silver Gold-Plated, enamel</v>
      </c>
      <c r="H344" s="21" t="str">
        <f aca="false">IF(Variants!$B345="","","I did")</f>
        <v>I did</v>
      </c>
      <c r="I344" s="21" t="str">
        <f aca="false">IF(Variants!$B345="","","Made to order")</f>
        <v>Made to order</v>
      </c>
      <c r="J344" s="21" t="str">
        <f aca="false">IF(Variants!$D345="","",Variants!$D345)</f>
        <v>Ring</v>
      </c>
      <c r="K344" s="21" t="str">
        <f aca="false">IF(Variants!$Y345="","",Variants!$Y345)</f>
        <v/>
      </c>
      <c r="L344" s="21" t="str">
        <f aca="false">IF(Variants!$H345="","",Variants!$H345)</f>
        <v>blue</v>
      </c>
      <c r="M344" s="21" t="str">
        <f aca="false">IF(Variants!$G345="","",Variants!$G345)</f>
        <v>small</v>
      </c>
    </row>
    <row r="345" customFormat="false" ht="15.75" hidden="false" customHeight="true" outlineLevel="0" collapsed="false">
      <c r="A345" s="21" t="str">
        <f aca="false">IF(Variants!$B346="","",Variants!$C346&amp;" — "&amp;Variants!$E346&amp;IF(Variants!$F346=""," "," "&amp;Variants!$F346)&amp;" — "&amp;Variants!$H346)</f>
        <v>Արեւագորգի Վիշապ — Vishab Arevagorg  — white</v>
      </c>
      <c r="B345" s="21" t="str">
        <f aca="false">IFERROR(IF(Variants!$B346="","",VLOOKUP(Variants!$B346,Designs!$A$3:$AP$165,9,FALSE())&amp;" Handmade in Armenia."),"")</f>
        <v>Combines the vishap (dragon) motif with the arevagorg (sun-carpet) — an Armenian solar ornament symbolising life and eternity. Handmade in Armenia.</v>
      </c>
      <c r="C345" s="18" t="n">
        <f aca="false">IF(Variants!$J346="","",Variants!$J346)</f>
        <v>33.8</v>
      </c>
      <c r="D345" s="21" t="n">
        <f aca="false">IF(Variants!$O346="","",Variants!$O346)</f>
        <v>0</v>
      </c>
      <c r="E345" s="21" t="str">
        <f aca="false">Variants!$A346</f>
        <v>KARNI-RING-VISHABAREVAGORG-S-WHITE</v>
      </c>
      <c r="F345" s="21" t="str">
        <f aca="false">IF(Variants!$E346="","",Variants!$E346&amp;", Armenian, handmade, enamel, "&amp;Variants!$D346)</f>
        <v>Vishab Arevagorg, Armenian, handmade, enamel, Ring</v>
      </c>
      <c r="G345" s="21" t="str">
        <f aca="false">IFERROR(VLOOKUP(Variants!$B346,Designs!$A$3:$AP$165,12,FALSE())&amp;", enamel","")</f>
        <v>925 Silver Gold-Plated, enamel</v>
      </c>
      <c r="H345" s="21" t="str">
        <f aca="false">IF(Variants!$B346="","","I did")</f>
        <v>I did</v>
      </c>
      <c r="I345" s="21" t="str">
        <f aca="false">IF(Variants!$B346="","","Made to order")</f>
        <v>Made to order</v>
      </c>
      <c r="J345" s="21" t="str">
        <f aca="false">IF(Variants!$D346="","",Variants!$D346)</f>
        <v>Ring</v>
      </c>
      <c r="K345" s="21" t="str">
        <f aca="false">IF(Variants!$Y346="","",Variants!$Y346)</f>
        <v/>
      </c>
      <c r="L345" s="21" t="str">
        <f aca="false">IF(Variants!$H346="","",Variants!$H346)</f>
        <v>white</v>
      </c>
      <c r="M345" s="21" t="str">
        <f aca="false">IF(Variants!$G346="","",Variants!$G346)</f>
        <v>small</v>
      </c>
    </row>
    <row r="346" customFormat="false" ht="15.75" hidden="false" customHeight="true" outlineLevel="0" collapsed="false">
      <c r="A346" s="21" t="str">
        <f aca="false">IF(Variants!$B347="","",Variants!$C347&amp;" — "&amp;Variants!$E347&amp;IF(Variants!$F347=""," "," "&amp;Variants!$F347)&amp;" — "&amp;Variants!$H347)</f>
        <v>Արեւագորգի Վիշապ — Vishab Arevagorg  — bordeaux</v>
      </c>
      <c r="B346" s="21" t="str">
        <f aca="false">IFERROR(IF(Variants!$B347="","",VLOOKUP(Variants!$B347,Designs!$A$3:$AP$165,9,FALSE())&amp;" Handmade in Armenia."),"")</f>
        <v>Combines the vishap (dragon) motif with the arevagorg (sun-carpet) — an Armenian solar ornament symbolising life and eternity. Handmade in Armenia.</v>
      </c>
      <c r="C346" s="18" t="n">
        <f aca="false">IF(Variants!$J347="","",Variants!$J347)</f>
        <v>33.8</v>
      </c>
      <c r="D346" s="21" t="n">
        <f aca="false">IF(Variants!$O347="","",Variants!$O347)</f>
        <v>0</v>
      </c>
      <c r="E346" s="21" t="str">
        <f aca="false">Variants!$A347</f>
        <v>KARNI-RING-VISHABAREVAGORG-S-BORDEAUX</v>
      </c>
      <c r="F346" s="21" t="str">
        <f aca="false">IF(Variants!$E347="","",Variants!$E347&amp;", Armenian, handmade, enamel, "&amp;Variants!$D347)</f>
        <v>Vishab Arevagorg, Armenian, handmade, enamel, Ring</v>
      </c>
      <c r="G346" s="21" t="str">
        <f aca="false">IFERROR(VLOOKUP(Variants!$B347,Designs!$A$3:$AP$165,12,FALSE())&amp;", enamel","")</f>
        <v>925 Silver Gold-Plated, enamel</v>
      </c>
      <c r="H346" s="21" t="str">
        <f aca="false">IF(Variants!$B347="","","I did")</f>
        <v>I did</v>
      </c>
      <c r="I346" s="21" t="str">
        <f aca="false">IF(Variants!$B347="","","Made to order")</f>
        <v>Made to order</v>
      </c>
      <c r="J346" s="21" t="str">
        <f aca="false">IF(Variants!$D347="","",Variants!$D347)</f>
        <v>Ring</v>
      </c>
      <c r="K346" s="21" t="str">
        <f aca="false">IF(Variants!$Y347="","",Variants!$Y347)</f>
        <v/>
      </c>
      <c r="L346" s="21" t="str">
        <f aca="false">IF(Variants!$H347="","",Variants!$H347)</f>
        <v>bordeaux</v>
      </c>
      <c r="M346" s="21" t="str">
        <f aca="false">IF(Variants!$G347="","",Variants!$G347)</f>
        <v>small</v>
      </c>
    </row>
    <row r="347" customFormat="false" ht="15.75" hidden="false" customHeight="true" outlineLevel="0" collapsed="false">
      <c r="A347" s="21" t="str">
        <f aca="false">IF(Variants!$B348="","",Variants!$C348&amp;" — "&amp;Variants!$E348&amp;IF(Variants!$F348=""," "," "&amp;Variants!$F348)&amp;" — "&amp;Variants!$H348)</f>
        <v>Արեւագորգի Վիշապ — Vishab Arevagorg  — turquoise</v>
      </c>
      <c r="B347" s="21" t="str">
        <f aca="false">IFERROR(IF(Variants!$B348="","",VLOOKUP(Variants!$B348,Designs!$A$3:$AP$165,9,FALSE())&amp;" Handmade in Armenia."),"")</f>
        <v>Combines the vishap (dragon) motif with the arevagorg (sun-carpet) — an Armenian solar ornament symbolising life and eternity. Handmade in Armenia.</v>
      </c>
      <c r="C347" s="18" t="n">
        <f aca="false">IF(Variants!$J348="","",Variants!$J348)</f>
        <v>33.8</v>
      </c>
      <c r="D347" s="21" t="n">
        <f aca="false">IF(Variants!$O348="","",Variants!$O348)</f>
        <v>0</v>
      </c>
      <c r="E347" s="21" t="str">
        <f aca="false">Variants!$A348</f>
        <v>KARNI-RING-VISHABAREVAGORG-S-TURQUOISE</v>
      </c>
      <c r="F347" s="21" t="str">
        <f aca="false">IF(Variants!$E348="","",Variants!$E348&amp;", Armenian, handmade, enamel, "&amp;Variants!$D348)</f>
        <v>Vishab Arevagorg, Armenian, handmade, enamel, Ring</v>
      </c>
      <c r="G347" s="21" t="str">
        <f aca="false">IFERROR(VLOOKUP(Variants!$B348,Designs!$A$3:$AP$165,12,FALSE())&amp;", enamel","")</f>
        <v>925 Silver Gold-Plated, enamel</v>
      </c>
      <c r="H347" s="21" t="str">
        <f aca="false">IF(Variants!$B348="","","I did")</f>
        <v>I did</v>
      </c>
      <c r="I347" s="21" t="str">
        <f aca="false">IF(Variants!$B348="","","Made to order")</f>
        <v>Made to order</v>
      </c>
      <c r="J347" s="21" t="str">
        <f aca="false">IF(Variants!$D348="","",Variants!$D348)</f>
        <v>Ring</v>
      </c>
      <c r="K347" s="21" t="str">
        <f aca="false">IF(Variants!$Y348="","",Variants!$Y348)</f>
        <v/>
      </c>
      <c r="L347" s="21" t="str">
        <f aca="false">IF(Variants!$H348="","",Variants!$H348)</f>
        <v>turquoise</v>
      </c>
      <c r="M347" s="21" t="str">
        <f aca="false">IF(Variants!$G348="","",Variants!$G348)</f>
        <v>small</v>
      </c>
    </row>
    <row r="348" customFormat="false" ht="15.75" hidden="false" customHeight="true" outlineLevel="0" collapsed="false">
      <c r="A348" s="21" t="str">
        <f aca="false">IF(Variants!$B349="","",Variants!$C349&amp;" — "&amp;Variants!$E349&amp;IF(Variants!$F349=""," "," "&amp;Variants!$F349)&amp;" — "&amp;Variants!$H349)</f>
        <v>Արեւագորգի Վիշապ — Vishab Arevagorg  — green</v>
      </c>
      <c r="B348" s="21" t="str">
        <f aca="false">IFERROR(IF(Variants!$B349="","",VLOOKUP(Variants!$B349,Designs!$A$3:$AP$165,9,FALSE())&amp;" Handmade in Armenia."),"")</f>
        <v>Combines the vishap (dragon) motif with the arevagorg (sun-carpet) — an Armenian solar ornament symbolising life and eternity. Handmade in Armenia.</v>
      </c>
      <c r="C348" s="18" t="n">
        <f aca="false">IF(Variants!$J349="","",Variants!$J349)</f>
        <v>33.8</v>
      </c>
      <c r="D348" s="21" t="n">
        <f aca="false">IF(Variants!$O349="","",Variants!$O349)</f>
        <v>0</v>
      </c>
      <c r="E348" s="21" t="str">
        <f aca="false">Variants!$A349</f>
        <v>KARNI-RING-VISHABAREVAGORG-S-GREEN</v>
      </c>
      <c r="F348" s="21" t="str">
        <f aca="false">IF(Variants!$E349="","",Variants!$E349&amp;", Armenian, handmade, enamel, "&amp;Variants!$D349)</f>
        <v>Vishab Arevagorg, Armenian, handmade, enamel, Ring</v>
      </c>
      <c r="G348" s="21" t="str">
        <f aca="false">IFERROR(VLOOKUP(Variants!$B349,Designs!$A$3:$AP$165,12,FALSE())&amp;", enamel","")</f>
        <v>925 Silver Gold-Plated, enamel</v>
      </c>
      <c r="H348" s="21" t="str">
        <f aca="false">IF(Variants!$B349="","","I did")</f>
        <v>I did</v>
      </c>
      <c r="I348" s="21" t="str">
        <f aca="false">IF(Variants!$B349="","","Made to order")</f>
        <v>Made to order</v>
      </c>
      <c r="J348" s="21" t="str">
        <f aca="false">IF(Variants!$D349="","",Variants!$D349)</f>
        <v>Ring</v>
      </c>
      <c r="K348" s="21" t="str">
        <f aca="false">IF(Variants!$Y349="","",Variants!$Y349)</f>
        <v/>
      </c>
      <c r="L348" s="21" t="str">
        <f aca="false">IF(Variants!$H349="","",Variants!$H349)</f>
        <v>green</v>
      </c>
      <c r="M348" s="21" t="str">
        <f aca="false">IF(Variants!$G349="","",Variants!$G349)</f>
        <v>small</v>
      </c>
    </row>
    <row r="349" customFormat="false" ht="15.75" hidden="false" customHeight="true" outlineLevel="0" collapsed="false">
      <c r="A349" s="21" t="str">
        <f aca="false">IF(Variants!$B350="","",Variants!$C350&amp;" — "&amp;Variants!$E350&amp;IF(Variants!$F350=""," "," "&amp;Variants!$F350)&amp;" — "&amp;Variants!$H350)</f>
        <v>Vishab Ring — Vishab  — blue</v>
      </c>
      <c r="B349" s="21" t="str">
        <f aca="false">IFERROR(IF(Variants!$B350="","",VLOOKUP(Variants!$B350,Designs!$A$3:$AP$165,9,FALSE())&amp;" Handmade in Armenia."),"")</f>
        <v>Vishaps are ancient Armenian dragon-stones (vishapakar) found in the highlands, among the oldest carved monuments in the region. Handmade in Armenia.</v>
      </c>
      <c r="C349" s="18" t="n">
        <f aca="false">IF(Variants!$J350="","",Variants!$J350)</f>
        <v>33.8</v>
      </c>
      <c r="D349" s="21" t="n">
        <f aca="false">IF(Variants!$O350="","",Variants!$O350)</f>
        <v>0</v>
      </c>
      <c r="E349" s="21" t="str">
        <f aca="false">Variants!$A350</f>
        <v>KARNI-RING-VISHAB-S-BLUE</v>
      </c>
      <c r="F349" s="21" t="str">
        <f aca="false">IF(Variants!$E350="","",Variants!$E350&amp;", Armenian, handmade, enamel, "&amp;Variants!$D350)</f>
        <v>Vishab, Armenian, handmade, enamel, Ring</v>
      </c>
      <c r="G349" s="21" t="str">
        <f aca="false">IFERROR(VLOOKUP(Variants!$B350,Designs!$A$3:$AP$165,12,FALSE())&amp;", enamel","")</f>
        <v>925 Silver Gold-Plated, enamel</v>
      </c>
      <c r="H349" s="21" t="str">
        <f aca="false">IF(Variants!$B350="","","I did")</f>
        <v>I did</v>
      </c>
      <c r="I349" s="21" t="str">
        <f aca="false">IF(Variants!$B350="","","Made to order")</f>
        <v>Made to order</v>
      </c>
      <c r="J349" s="21" t="str">
        <f aca="false">IF(Variants!$D350="","",Variants!$D350)</f>
        <v>Ring</v>
      </c>
      <c r="K349" s="21" t="str">
        <f aca="false">IF(Variants!$Y350="","",Variants!$Y350)</f>
        <v/>
      </c>
      <c r="L349" s="21" t="str">
        <f aca="false">IF(Variants!$H350="","",Variants!$H350)</f>
        <v>blue</v>
      </c>
      <c r="M349" s="21" t="str">
        <f aca="false">IF(Variants!$G350="","",Variants!$G350)</f>
        <v>small</v>
      </c>
    </row>
    <row r="350" customFormat="false" ht="15.75" hidden="false" customHeight="true" outlineLevel="0" collapsed="false">
      <c r="A350" s="21" t="str">
        <f aca="false">IF(Variants!$B351="","",Variants!$C351&amp;" — "&amp;Variants!$E351&amp;IF(Variants!$F351=""," "," "&amp;Variants!$F351)&amp;" — "&amp;Variants!$H351)</f>
        <v>Vishab Ring — Vishab  — white</v>
      </c>
      <c r="B350" s="21" t="str">
        <f aca="false">IFERROR(IF(Variants!$B351="","",VLOOKUP(Variants!$B351,Designs!$A$3:$AP$165,9,FALSE())&amp;" Handmade in Armenia."),"")</f>
        <v>Vishaps are ancient Armenian dragon-stones (vishapakar) found in the highlands, among the oldest carved monuments in the region. Handmade in Armenia.</v>
      </c>
      <c r="C350" s="18" t="n">
        <f aca="false">IF(Variants!$J351="","",Variants!$J351)</f>
        <v>33.8</v>
      </c>
      <c r="D350" s="21" t="n">
        <f aca="false">IF(Variants!$O351="","",Variants!$O351)</f>
        <v>0</v>
      </c>
      <c r="E350" s="21" t="str">
        <f aca="false">Variants!$A351</f>
        <v>KARNI-RING-VISHAB-S-WHITE</v>
      </c>
      <c r="F350" s="21" t="str">
        <f aca="false">IF(Variants!$E351="","",Variants!$E351&amp;", Armenian, handmade, enamel, "&amp;Variants!$D351)</f>
        <v>Vishab, Armenian, handmade, enamel, Ring</v>
      </c>
      <c r="G350" s="21" t="str">
        <f aca="false">IFERROR(VLOOKUP(Variants!$B351,Designs!$A$3:$AP$165,12,FALSE())&amp;", enamel","")</f>
        <v>925 Silver Gold-Plated, enamel</v>
      </c>
      <c r="H350" s="21" t="str">
        <f aca="false">IF(Variants!$B351="","","I did")</f>
        <v>I did</v>
      </c>
      <c r="I350" s="21" t="str">
        <f aca="false">IF(Variants!$B351="","","Made to order")</f>
        <v>Made to order</v>
      </c>
      <c r="J350" s="21" t="str">
        <f aca="false">IF(Variants!$D351="","",Variants!$D351)</f>
        <v>Ring</v>
      </c>
      <c r="K350" s="21" t="str">
        <f aca="false">IF(Variants!$Y351="","",Variants!$Y351)</f>
        <v/>
      </c>
      <c r="L350" s="21" t="str">
        <f aca="false">IF(Variants!$H351="","",Variants!$H351)</f>
        <v>white</v>
      </c>
      <c r="M350" s="21" t="str">
        <f aca="false">IF(Variants!$G351="","",Variants!$G351)</f>
        <v>small</v>
      </c>
    </row>
    <row r="351" customFormat="false" ht="15.75" hidden="false" customHeight="true" outlineLevel="0" collapsed="false">
      <c r="A351" s="21" t="str">
        <f aca="false">IF(Variants!$B352="","",Variants!$C352&amp;" — "&amp;Variants!$E352&amp;IF(Variants!$F352=""," "," "&amp;Variants!$F352)&amp;" — "&amp;Variants!$H352)</f>
        <v>Vishab Ring — Vishab  — bordeaux</v>
      </c>
      <c r="B351" s="21" t="str">
        <f aca="false">IFERROR(IF(Variants!$B352="","",VLOOKUP(Variants!$B352,Designs!$A$3:$AP$165,9,FALSE())&amp;" Handmade in Armenia."),"")</f>
        <v>Vishaps are ancient Armenian dragon-stones (vishapakar) found in the highlands, among the oldest carved monuments in the region. Handmade in Armenia.</v>
      </c>
      <c r="C351" s="18" t="n">
        <f aca="false">IF(Variants!$J352="","",Variants!$J352)</f>
        <v>33.8</v>
      </c>
      <c r="D351" s="21" t="n">
        <f aca="false">IF(Variants!$O352="","",Variants!$O352)</f>
        <v>0</v>
      </c>
      <c r="E351" s="21" t="str">
        <f aca="false">Variants!$A352</f>
        <v>KARNI-RING-VISHAB-S-BORDEAUX</v>
      </c>
      <c r="F351" s="21" t="str">
        <f aca="false">IF(Variants!$E352="","",Variants!$E352&amp;", Armenian, handmade, enamel, "&amp;Variants!$D352)</f>
        <v>Vishab, Armenian, handmade, enamel, Ring</v>
      </c>
      <c r="G351" s="21" t="str">
        <f aca="false">IFERROR(VLOOKUP(Variants!$B352,Designs!$A$3:$AP$165,12,FALSE())&amp;", enamel","")</f>
        <v>925 Silver Gold-Plated, enamel</v>
      </c>
      <c r="H351" s="21" t="str">
        <f aca="false">IF(Variants!$B352="","","I did")</f>
        <v>I did</v>
      </c>
      <c r="I351" s="21" t="str">
        <f aca="false">IF(Variants!$B352="","","Made to order")</f>
        <v>Made to order</v>
      </c>
      <c r="J351" s="21" t="str">
        <f aca="false">IF(Variants!$D352="","",Variants!$D352)</f>
        <v>Ring</v>
      </c>
      <c r="K351" s="21" t="str">
        <f aca="false">IF(Variants!$Y352="","",Variants!$Y352)</f>
        <v/>
      </c>
      <c r="L351" s="21" t="str">
        <f aca="false">IF(Variants!$H352="","",Variants!$H352)</f>
        <v>bordeaux</v>
      </c>
      <c r="M351" s="21" t="str">
        <f aca="false">IF(Variants!$G352="","",Variants!$G352)</f>
        <v>small</v>
      </c>
    </row>
    <row r="352" customFormat="false" ht="15.75" hidden="false" customHeight="true" outlineLevel="0" collapsed="false">
      <c r="A352" s="21" t="str">
        <f aca="false">IF(Variants!$B353="","",Variants!$C353&amp;" — "&amp;Variants!$E353&amp;IF(Variants!$F353=""," "," "&amp;Variants!$F353)&amp;" — "&amp;Variants!$H353)</f>
        <v>Vishab Ring — Vishab  — turquoise</v>
      </c>
      <c r="B352" s="21" t="str">
        <f aca="false">IFERROR(IF(Variants!$B353="","",VLOOKUP(Variants!$B353,Designs!$A$3:$AP$165,9,FALSE())&amp;" Handmade in Armenia."),"")</f>
        <v>Vishaps are ancient Armenian dragon-stones (vishapakar) found in the highlands, among the oldest carved monuments in the region. Handmade in Armenia.</v>
      </c>
      <c r="C352" s="18" t="n">
        <f aca="false">IF(Variants!$J353="","",Variants!$J353)</f>
        <v>33.8</v>
      </c>
      <c r="D352" s="21" t="n">
        <f aca="false">IF(Variants!$O353="","",Variants!$O353)</f>
        <v>0</v>
      </c>
      <c r="E352" s="21" t="str">
        <f aca="false">Variants!$A353</f>
        <v>KARNI-RING-VISHAB-S-TURQUOISE</v>
      </c>
      <c r="F352" s="21" t="str">
        <f aca="false">IF(Variants!$E353="","",Variants!$E353&amp;", Armenian, handmade, enamel, "&amp;Variants!$D353)</f>
        <v>Vishab, Armenian, handmade, enamel, Ring</v>
      </c>
      <c r="G352" s="21" t="str">
        <f aca="false">IFERROR(VLOOKUP(Variants!$B353,Designs!$A$3:$AP$165,12,FALSE())&amp;", enamel","")</f>
        <v>925 Silver Gold-Plated, enamel</v>
      </c>
      <c r="H352" s="21" t="str">
        <f aca="false">IF(Variants!$B353="","","I did")</f>
        <v>I did</v>
      </c>
      <c r="I352" s="21" t="str">
        <f aca="false">IF(Variants!$B353="","","Made to order")</f>
        <v>Made to order</v>
      </c>
      <c r="J352" s="21" t="str">
        <f aca="false">IF(Variants!$D353="","",Variants!$D353)</f>
        <v>Ring</v>
      </c>
      <c r="K352" s="21" t="str">
        <f aca="false">IF(Variants!$Y353="","",Variants!$Y353)</f>
        <v/>
      </c>
      <c r="L352" s="21" t="str">
        <f aca="false">IF(Variants!$H353="","",Variants!$H353)</f>
        <v>turquoise</v>
      </c>
      <c r="M352" s="21" t="str">
        <f aca="false">IF(Variants!$G353="","",Variants!$G353)</f>
        <v>small</v>
      </c>
    </row>
    <row r="353" customFormat="false" ht="15.75" hidden="false" customHeight="true" outlineLevel="0" collapsed="false">
      <c r="A353" s="21" t="str">
        <f aca="false">IF(Variants!$B354="","",Variants!$C354&amp;" — "&amp;Variants!$E354&amp;IF(Variants!$F354=""," "," "&amp;Variants!$F354)&amp;" — "&amp;Variants!$H354)</f>
        <v>Vishab Ring — Vishab  — green</v>
      </c>
      <c r="B353" s="21" t="str">
        <f aca="false">IFERROR(IF(Variants!$B354="","",VLOOKUP(Variants!$B354,Designs!$A$3:$AP$165,9,FALSE())&amp;" Handmade in Armenia."),"")</f>
        <v>Vishaps are ancient Armenian dragon-stones (vishapakar) found in the highlands, among the oldest carved monuments in the region. Handmade in Armenia.</v>
      </c>
      <c r="C353" s="18" t="n">
        <f aca="false">IF(Variants!$J354="","",Variants!$J354)</f>
        <v>33.8</v>
      </c>
      <c r="D353" s="21" t="n">
        <f aca="false">IF(Variants!$O354="","",Variants!$O354)</f>
        <v>0</v>
      </c>
      <c r="E353" s="21" t="str">
        <f aca="false">Variants!$A354</f>
        <v>KARNI-RING-VISHAB-S-GREEN</v>
      </c>
      <c r="F353" s="21" t="str">
        <f aca="false">IF(Variants!$E354="","",Variants!$E354&amp;", Armenian, handmade, enamel, "&amp;Variants!$D354)</f>
        <v>Vishab, Armenian, handmade, enamel, Ring</v>
      </c>
      <c r="G353" s="21" t="str">
        <f aca="false">IFERROR(VLOOKUP(Variants!$B354,Designs!$A$3:$AP$165,12,FALSE())&amp;", enamel","")</f>
        <v>925 Silver Gold-Plated, enamel</v>
      </c>
      <c r="H353" s="21" t="str">
        <f aca="false">IF(Variants!$B354="","","I did")</f>
        <v>I did</v>
      </c>
      <c r="I353" s="21" t="str">
        <f aca="false">IF(Variants!$B354="","","Made to order")</f>
        <v>Made to order</v>
      </c>
      <c r="J353" s="21" t="str">
        <f aca="false">IF(Variants!$D354="","",Variants!$D354)</f>
        <v>Ring</v>
      </c>
      <c r="K353" s="21" t="str">
        <f aca="false">IF(Variants!$Y354="","",Variants!$Y354)</f>
        <v/>
      </c>
      <c r="L353" s="21" t="str">
        <f aca="false">IF(Variants!$H354="","",Variants!$H354)</f>
        <v>green</v>
      </c>
      <c r="M353" s="21" t="str">
        <f aca="false">IF(Variants!$G354="","",Variants!$G354)</f>
        <v>small</v>
      </c>
    </row>
    <row r="354" customFormat="false" ht="15.75" hidden="false" customHeight="true" outlineLevel="0" collapsed="false">
      <c r="A354" s="21" t="str">
        <f aca="false">IF(Variants!$B355="","",Variants!$C355&amp;" — "&amp;Variants!$E355&amp;IF(Variants!$F355=""," "," "&amp;Variants!$F355)&amp;" — "&amp;Variants!$H355)</f>
        <v>Artsakhi Khachanakhsh Ring — Artsakhi Khachanakhsh  — blue</v>
      </c>
      <c r="B354" s="21" t="str">
        <f aca="false">IFERROR(IF(Variants!$B355="","",VLOOKUP(Variants!$B355,Designs!$A$3:$AP$165,9,FALSE())&amp;" Handmade in Armenia."),"")</f>
        <v>Cross-ornament patterns from Artsakh, carrying the carved cross-stone heritage of the region. Handmade in Armenia.</v>
      </c>
      <c r="C354" s="18" t="n">
        <f aca="false">IF(Variants!$J355="","",Variants!$J355)</f>
        <v>33.8</v>
      </c>
      <c r="D354" s="21" t="n">
        <f aca="false">IF(Variants!$O355="","",Variants!$O355)</f>
        <v>0</v>
      </c>
      <c r="E354" s="21" t="str">
        <f aca="false">Variants!$A355</f>
        <v>KARNI-RING-ARTSAKHIKHACHANAKHSH-S-BLUE</v>
      </c>
      <c r="F354" s="21" t="str">
        <f aca="false">IF(Variants!$E355="","",Variants!$E355&amp;", Armenian, handmade, enamel, "&amp;Variants!$D355)</f>
        <v>Artsakhi Khachanakhsh, Armenian, handmade, enamel, Ring</v>
      </c>
      <c r="G354" s="21" t="str">
        <f aca="false">IFERROR(VLOOKUP(Variants!$B355,Designs!$A$3:$AP$165,12,FALSE())&amp;", enamel","")</f>
        <v>925 Silver Gold-Plated, enamel</v>
      </c>
      <c r="H354" s="21" t="str">
        <f aca="false">IF(Variants!$B355="","","I did")</f>
        <v>I did</v>
      </c>
      <c r="I354" s="21" t="str">
        <f aca="false">IF(Variants!$B355="","","Made to order")</f>
        <v>Made to order</v>
      </c>
      <c r="J354" s="21" t="str">
        <f aca="false">IF(Variants!$D355="","",Variants!$D355)</f>
        <v>Ring</v>
      </c>
      <c r="K354" s="21" t="str">
        <f aca="false">IF(Variants!$Y355="","",Variants!$Y355)</f>
        <v/>
      </c>
      <c r="L354" s="21" t="str">
        <f aca="false">IF(Variants!$H355="","",Variants!$H355)</f>
        <v>blue</v>
      </c>
      <c r="M354" s="21" t="str">
        <f aca="false">IF(Variants!$G355="","",Variants!$G355)</f>
        <v>small</v>
      </c>
    </row>
    <row r="355" customFormat="false" ht="15.75" hidden="false" customHeight="true" outlineLevel="0" collapsed="false">
      <c r="A355" s="21" t="str">
        <f aca="false">IF(Variants!$B356="","",Variants!$C356&amp;" — "&amp;Variants!$E356&amp;IF(Variants!$F356=""," "," "&amp;Variants!$F356)&amp;" — "&amp;Variants!$H356)</f>
        <v>Artsakhi Khachanakhsh Ring — Artsakhi Khachanakhsh  — white</v>
      </c>
      <c r="B355" s="21" t="str">
        <f aca="false">IFERROR(IF(Variants!$B356="","",VLOOKUP(Variants!$B356,Designs!$A$3:$AP$165,9,FALSE())&amp;" Handmade in Armenia."),"")</f>
        <v>Cross-ornament patterns from Artsakh, carrying the carved cross-stone heritage of the region. Handmade in Armenia.</v>
      </c>
      <c r="C355" s="18" t="n">
        <f aca="false">IF(Variants!$J356="","",Variants!$J356)</f>
        <v>33.8</v>
      </c>
      <c r="D355" s="21" t="n">
        <f aca="false">IF(Variants!$O356="","",Variants!$O356)</f>
        <v>0</v>
      </c>
      <c r="E355" s="21" t="str">
        <f aca="false">Variants!$A356</f>
        <v>KARNI-RING-ARTSAKHIKHACHANAKHSH-S-WHITE</v>
      </c>
      <c r="F355" s="21" t="str">
        <f aca="false">IF(Variants!$E356="","",Variants!$E356&amp;", Armenian, handmade, enamel, "&amp;Variants!$D356)</f>
        <v>Artsakhi Khachanakhsh, Armenian, handmade, enamel, Ring</v>
      </c>
      <c r="G355" s="21" t="str">
        <f aca="false">IFERROR(VLOOKUP(Variants!$B356,Designs!$A$3:$AP$165,12,FALSE())&amp;", enamel","")</f>
        <v>925 Silver Gold-Plated, enamel</v>
      </c>
      <c r="H355" s="21" t="str">
        <f aca="false">IF(Variants!$B356="","","I did")</f>
        <v>I did</v>
      </c>
      <c r="I355" s="21" t="str">
        <f aca="false">IF(Variants!$B356="","","Made to order")</f>
        <v>Made to order</v>
      </c>
      <c r="J355" s="21" t="str">
        <f aca="false">IF(Variants!$D356="","",Variants!$D356)</f>
        <v>Ring</v>
      </c>
      <c r="K355" s="21" t="str">
        <f aca="false">IF(Variants!$Y356="","",Variants!$Y356)</f>
        <v/>
      </c>
      <c r="L355" s="21" t="str">
        <f aca="false">IF(Variants!$H356="","",Variants!$H356)</f>
        <v>white</v>
      </c>
      <c r="M355" s="21" t="str">
        <f aca="false">IF(Variants!$G356="","",Variants!$G356)</f>
        <v>small</v>
      </c>
    </row>
    <row r="356" customFormat="false" ht="15.75" hidden="false" customHeight="true" outlineLevel="0" collapsed="false">
      <c r="A356" s="21" t="str">
        <f aca="false">IF(Variants!$B357="","",Variants!$C357&amp;" — "&amp;Variants!$E357&amp;IF(Variants!$F357=""," "," "&amp;Variants!$F357)&amp;" — "&amp;Variants!$H357)</f>
        <v>Artsakhi Khachanakhsh Ring — Artsakhi Khachanakhsh  — bordeaux</v>
      </c>
      <c r="B356" s="21" t="str">
        <f aca="false">IFERROR(IF(Variants!$B357="","",VLOOKUP(Variants!$B357,Designs!$A$3:$AP$165,9,FALSE())&amp;" Handmade in Armenia."),"")</f>
        <v>Cross-ornament patterns from Artsakh, carrying the carved cross-stone heritage of the region. Handmade in Armenia.</v>
      </c>
      <c r="C356" s="18" t="n">
        <f aca="false">IF(Variants!$J357="","",Variants!$J357)</f>
        <v>33.8</v>
      </c>
      <c r="D356" s="21" t="n">
        <f aca="false">IF(Variants!$O357="","",Variants!$O357)</f>
        <v>0</v>
      </c>
      <c r="E356" s="21" t="str">
        <f aca="false">Variants!$A357</f>
        <v>KARNI-RING-ARTSAKHIKHACHANAKHSH-S-BORDEAUX</v>
      </c>
      <c r="F356" s="21" t="str">
        <f aca="false">IF(Variants!$E357="","",Variants!$E357&amp;", Armenian, handmade, enamel, "&amp;Variants!$D357)</f>
        <v>Artsakhi Khachanakhsh, Armenian, handmade, enamel, Ring</v>
      </c>
      <c r="G356" s="21" t="str">
        <f aca="false">IFERROR(VLOOKUP(Variants!$B357,Designs!$A$3:$AP$165,12,FALSE())&amp;", enamel","")</f>
        <v>925 Silver Gold-Plated, enamel</v>
      </c>
      <c r="H356" s="21" t="str">
        <f aca="false">IF(Variants!$B357="","","I did")</f>
        <v>I did</v>
      </c>
      <c r="I356" s="21" t="str">
        <f aca="false">IF(Variants!$B357="","","Made to order")</f>
        <v>Made to order</v>
      </c>
      <c r="J356" s="21" t="str">
        <f aca="false">IF(Variants!$D357="","",Variants!$D357)</f>
        <v>Ring</v>
      </c>
      <c r="K356" s="21" t="str">
        <f aca="false">IF(Variants!$Y357="","",Variants!$Y357)</f>
        <v/>
      </c>
      <c r="L356" s="21" t="str">
        <f aca="false">IF(Variants!$H357="","",Variants!$H357)</f>
        <v>bordeaux</v>
      </c>
      <c r="M356" s="21" t="str">
        <f aca="false">IF(Variants!$G357="","",Variants!$G357)</f>
        <v>small</v>
      </c>
    </row>
    <row r="357" customFormat="false" ht="15.75" hidden="false" customHeight="true" outlineLevel="0" collapsed="false">
      <c r="A357" s="21" t="str">
        <f aca="false">IF(Variants!$B358="","",Variants!$C358&amp;" — "&amp;Variants!$E358&amp;IF(Variants!$F358=""," "," "&amp;Variants!$F358)&amp;" — "&amp;Variants!$H358)</f>
        <v>Artsakhi Khachanakhsh Ring — Artsakhi Khachanakhsh  — turquoise</v>
      </c>
      <c r="B357" s="21" t="str">
        <f aca="false">IFERROR(IF(Variants!$B358="","",VLOOKUP(Variants!$B358,Designs!$A$3:$AP$165,9,FALSE())&amp;" Handmade in Armenia."),"")</f>
        <v>Cross-ornament patterns from Artsakh, carrying the carved cross-stone heritage of the region. Handmade in Armenia.</v>
      </c>
      <c r="C357" s="18" t="n">
        <f aca="false">IF(Variants!$J358="","",Variants!$J358)</f>
        <v>33.8</v>
      </c>
      <c r="D357" s="21" t="n">
        <f aca="false">IF(Variants!$O358="","",Variants!$O358)</f>
        <v>0</v>
      </c>
      <c r="E357" s="21" t="str">
        <f aca="false">Variants!$A358</f>
        <v>KARNI-RING-ARTSAKHIKHACHANAKHSH-S-TURQUOISE</v>
      </c>
      <c r="F357" s="21" t="str">
        <f aca="false">IF(Variants!$E358="","",Variants!$E358&amp;", Armenian, handmade, enamel, "&amp;Variants!$D358)</f>
        <v>Artsakhi Khachanakhsh, Armenian, handmade, enamel, Ring</v>
      </c>
      <c r="G357" s="21" t="str">
        <f aca="false">IFERROR(VLOOKUP(Variants!$B358,Designs!$A$3:$AP$165,12,FALSE())&amp;", enamel","")</f>
        <v>925 Silver Gold-Plated, enamel</v>
      </c>
      <c r="H357" s="21" t="str">
        <f aca="false">IF(Variants!$B358="","","I did")</f>
        <v>I did</v>
      </c>
      <c r="I357" s="21" t="str">
        <f aca="false">IF(Variants!$B358="","","Made to order")</f>
        <v>Made to order</v>
      </c>
      <c r="J357" s="21" t="str">
        <f aca="false">IF(Variants!$D358="","",Variants!$D358)</f>
        <v>Ring</v>
      </c>
      <c r="K357" s="21" t="str">
        <f aca="false">IF(Variants!$Y358="","",Variants!$Y358)</f>
        <v/>
      </c>
      <c r="L357" s="21" t="str">
        <f aca="false">IF(Variants!$H358="","",Variants!$H358)</f>
        <v>turquoise</v>
      </c>
      <c r="M357" s="21" t="str">
        <f aca="false">IF(Variants!$G358="","",Variants!$G358)</f>
        <v>small</v>
      </c>
    </row>
    <row r="358" customFormat="false" ht="15.75" hidden="false" customHeight="true" outlineLevel="0" collapsed="false">
      <c r="A358" s="21" t="str">
        <f aca="false">IF(Variants!$B359="","",Variants!$C359&amp;" — "&amp;Variants!$E359&amp;IF(Variants!$F359=""," "," "&amp;Variants!$F359)&amp;" — "&amp;Variants!$H359)</f>
        <v>Artsakhi Khachanakhsh Ring — Artsakhi Khachanakhsh  — green</v>
      </c>
      <c r="B358" s="21" t="str">
        <f aca="false">IFERROR(IF(Variants!$B359="","",VLOOKUP(Variants!$B359,Designs!$A$3:$AP$165,9,FALSE())&amp;" Handmade in Armenia."),"")</f>
        <v>Cross-ornament patterns from Artsakh, carrying the carved cross-stone heritage of the region. Handmade in Armenia.</v>
      </c>
      <c r="C358" s="18" t="n">
        <f aca="false">IF(Variants!$J359="","",Variants!$J359)</f>
        <v>33.8</v>
      </c>
      <c r="D358" s="21" t="n">
        <f aca="false">IF(Variants!$O359="","",Variants!$O359)</f>
        <v>0</v>
      </c>
      <c r="E358" s="21" t="str">
        <f aca="false">Variants!$A359</f>
        <v>KARNI-RING-ARTSAKHIKHACHANAKHSH-S-GREEN</v>
      </c>
      <c r="F358" s="21" t="str">
        <f aca="false">IF(Variants!$E359="","",Variants!$E359&amp;", Armenian, handmade, enamel, "&amp;Variants!$D359)</f>
        <v>Artsakhi Khachanakhsh, Armenian, handmade, enamel, Ring</v>
      </c>
      <c r="G358" s="21" t="str">
        <f aca="false">IFERROR(VLOOKUP(Variants!$B359,Designs!$A$3:$AP$165,12,FALSE())&amp;", enamel","")</f>
        <v>925 Silver Gold-Plated, enamel</v>
      </c>
      <c r="H358" s="21" t="str">
        <f aca="false">IF(Variants!$B359="","","I did")</f>
        <v>I did</v>
      </c>
      <c r="I358" s="21" t="str">
        <f aca="false">IF(Variants!$B359="","","Made to order")</f>
        <v>Made to order</v>
      </c>
      <c r="J358" s="21" t="str">
        <f aca="false">IF(Variants!$D359="","",Variants!$D359)</f>
        <v>Ring</v>
      </c>
      <c r="K358" s="21" t="str">
        <f aca="false">IF(Variants!$Y359="","",Variants!$Y359)</f>
        <v/>
      </c>
      <c r="L358" s="21" t="str">
        <f aca="false">IF(Variants!$H359="","",Variants!$H359)</f>
        <v>green</v>
      </c>
      <c r="M358" s="21" t="str">
        <f aca="false">IF(Variants!$G359="","",Variants!$G359)</f>
        <v>small</v>
      </c>
    </row>
    <row r="359" customFormat="false" ht="15.75" hidden="false" customHeight="true" outlineLevel="0" collapsed="false">
      <c r="A359" s="21" t="str">
        <f aca="false">IF(Variants!$B360="","",Variants!$C360&amp;" — "&amp;Variants!$E360&amp;IF(Variants!$F360=""," "," "&amp;Variants!$F360)&amp;" — "&amp;Variants!$H360)</f>
        <v>Artsakhi Khachanakhsh Ring — Artsakhi Khachanakhsh  — white-red</v>
      </c>
      <c r="B359" s="21" t="str">
        <f aca="false">IFERROR(IF(Variants!$B360="","",VLOOKUP(Variants!$B360,Designs!$A$3:$AP$165,9,FALSE())&amp;" Handmade in Armenia."),"")</f>
        <v>Cross-ornament patterns from Artsakh, carrying the carved cross-stone heritage of the region. Handmade in Armenia.</v>
      </c>
      <c r="C359" s="18" t="n">
        <f aca="false">IF(Variants!$J360="","",Variants!$J360)</f>
        <v>33.8</v>
      </c>
      <c r="D359" s="21" t="n">
        <f aca="false">IF(Variants!$O360="","",Variants!$O360)</f>
        <v>0</v>
      </c>
      <c r="E359" s="21" t="str">
        <f aca="false">Variants!$A360</f>
        <v>KARNI-RING-ARTSAKHIKHACHANAKHSH-S-WHITE-RED</v>
      </c>
      <c r="F359" s="21" t="str">
        <f aca="false">IF(Variants!$E360="","",Variants!$E360&amp;", Armenian, handmade, enamel, "&amp;Variants!$D360)</f>
        <v>Artsakhi Khachanakhsh, Armenian, handmade, enamel, Ring</v>
      </c>
      <c r="G359" s="21" t="str">
        <f aca="false">IFERROR(VLOOKUP(Variants!$B360,Designs!$A$3:$AP$165,12,FALSE())&amp;", enamel","")</f>
        <v>925 Silver Gold-Plated, enamel</v>
      </c>
      <c r="H359" s="21" t="str">
        <f aca="false">IF(Variants!$B360="","","I did")</f>
        <v>I did</v>
      </c>
      <c r="I359" s="21" t="str">
        <f aca="false">IF(Variants!$B360="","","Made to order")</f>
        <v>Made to order</v>
      </c>
      <c r="J359" s="21" t="str">
        <f aca="false">IF(Variants!$D360="","",Variants!$D360)</f>
        <v>Ring</v>
      </c>
      <c r="K359" s="21" t="str">
        <f aca="false">IF(Variants!$Y360="","",Variants!$Y360)</f>
        <v/>
      </c>
      <c r="L359" s="21" t="str">
        <f aca="false">IF(Variants!$H360="","",Variants!$H360)</f>
        <v>white-red</v>
      </c>
      <c r="M359" s="21" t="str">
        <f aca="false">IF(Variants!$G360="","",Variants!$G360)</f>
        <v>small</v>
      </c>
    </row>
    <row r="360" customFormat="false" ht="15.75" hidden="false" customHeight="true" outlineLevel="0" collapsed="false">
      <c r="A360" s="21" t="str">
        <f aca="false">IF(Variants!$B361="","",Variants!$C361&amp;" — "&amp;Variants!$E361&amp;IF(Variants!$F361=""," "," "&amp;Variants!$F361)&amp;" — "&amp;Variants!$H361)</f>
        <v>Artsakhi Khachanakhsh Ring — Artsakhi Khachanakhsh  — white-blue</v>
      </c>
      <c r="B360" s="21" t="str">
        <f aca="false">IFERROR(IF(Variants!$B361="","",VLOOKUP(Variants!$B361,Designs!$A$3:$AP$165,9,FALSE())&amp;" Handmade in Armenia."),"")</f>
        <v>Cross-ornament patterns from Artsakh, carrying the carved cross-stone heritage of the region. Handmade in Armenia.</v>
      </c>
      <c r="C360" s="18" t="n">
        <f aca="false">IF(Variants!$J361="","",Variants!$J361)</f>
        <v>33.8</v>
      </c>
      <c r="D360" s="21" t="n">
        <f aca="false">IF(Variants!$O361="","",Variants!$O361)</f>
        <v>0</v>
      </c>
      <c r="E360" s="21" t="str">
        <f aca="false">Variants!$A361</f>
        <v>KARNI-RING-ARTSAKHIKHACHANAKHSH-S-WHITE-BLUE</v>
      </c>
      <c r="F360" s="21" t="str">
        <f aca="false">IF(Variants!$E361="","",Variants!$E361&amp;", Armenian, handmade, enamel, "&amp;Variants!$D361)</f>
        <v>Artsakhi Khachanakhsh, Armenian, handmade, enamel, Ring</v>
      </c>
      <c r="G360" s="21" t="str">
        <f aca="false">IFERROR(VLOOKUP(Variants!$B361,Designs!$A$3:$AP$165,12,FALSE())&amp;", enamel","")</f>
        <v>925 Silver Gold-Plated, enamel</v>
      </c>
      <c r="H360" s="21" t="str">
        <f aca="false">IF(Variants!$B361="","","I did")</f>
        <v>I did</v>
      </c>
      <c r="I360" s="21" t="str">
        <f aca="false">IF(Variants!$B361="","","Made to order")</f>
        <v>Made to order</v>
      </c>
      <c r="J360" s="21" t="str">
        <f aca="false">IF(Variants!$D361="","",Variants!$D361)</f>
        <v>Ring</v>
      </c>
      <c r="K360" s="21" t="str">
        <f aca="false">IF(Variants!$Y361="","",Variants!$Y361)</f>
        <v/>
      </c>
      <c r="L360" s="21" t="str">
        <f aca="false">IF(Variants!$H361="","",Variants!$H361)</f>
        <v>white-blue</v>
      </c>
      <c r="M360" s="21" t="str">
        <f aca="false">IF(Variants!$G361="","",Variants!$G361)</f>
        <v>small</v>
      </c>
    </row>
    <row r="361" customFormat="false" ht="15.75" hidden="false" customHeight="true" outlineLevel="0" collapsed="false">
      <c r="A361" s="21" t="str">
        <f aca="false">IF(Variants!$B362="","",Variants!$C362&amp;" — "&amp;Variants!$E362&amp;IF(Variants!$F362=""," "," "&amp;Variants!$F362)&amp;" — "&amp;Variants!$H362)</f>
        <v>Marash Twin Ring — Marash  — white-blue</v>
      </c>
      <c r="B361" s="21" t="str">
        <f aca="false">IFERROR(IF(Variants!$B362="","",VLOOKUP(Variants!$B362,Designs!$A$3:$AP$165,9,FALSE())&amp;" Handmade in Armenia."),"")</f>
        <v>Marash-work is a distinctive Armenian embroidery style from Cilician Marash, known for its interlaced geometric patterns. Handmade in Armenia.</v>
      </c>
      <c r="C361" s="18" t="n">
        <f aca="false">IF(Variants!$J362="","",Variants!$J362)</f>
        <v>52</v>
      </c>
      <c r="D361" s="21" t="n">
        <f aca="false">IF(Variants!$O362="","",Variants!$O362)</f>
        <v>0</v>
      </c>
      <c r="E361" s="21" t="str">
        <f aca="false">Variants!$A362</f>
        <v>KARNI-RINGTWIN-MARASH-WHITE-BLUE</v>
      </c>
      <c r="F361" s="21" t="str">
        <f aca="false">IF(Variants!$E362="","",Variants!$E362&amp;", Armenian, handmade, enamel, "&amp;Variants!$D362)</f>
        <v>Marash, Armenian, handmade, enamel, ring twin</v>
      </c>
      <c r="G361" s="21" t="str">
        <f aca="false">IFERROR(VLOOKUP(Variants!$B362,Designs!$A$3:$AP$165,12,FALSE())&amp;", enamel","")</f>
        <v>925 Silver Gold-Plated, enamel</v>
      </c>
      <c r="H361" s="21" t="str">
        <f aca="false">IF(Variants!$B362="","","I did")</f>
        <v>I did</v>
      </c>
      <c r="I361" s="21" t="str">
        <f aca="false">IF(Variants!$B362="","","Made to order")</f>
        <v>Made to order</v>
      </c>
      <c r="J361" s="21" t="str">
        <f aca="false">IF(Variants!$D362="","",Variants!$D362)</f>
        <v>ring twin</v>
      </c>
      <c r="K361" s="21" t="str">
        <f aca="false">IF(Variants!$Y362="","",Variants!$Y362)</f>
        <v/>
      </c>
      <c r="L361" s="21" t="str">
        <f aca="false">IF(Variants!$H362="","",Variants!$H362)</f>
        <v>white-blue</v>
      </c>
      <c r="M361" s="21" t="str">
        <f aca="false">IF(Variants!$G362="","",Variants!$G362)</f>
        <v/>
      </c>
    </row>
    <row r="362" customFormat="false" ht="15.75" hidden="false" customHeight="true" outlineLevel="0" collapsed="false">
      <c r="A362" s="21" t="str">
        <f aca="false">IF(Variants!$B363="","",Variants!$C363&amp;" — "&amp;Variants!$E363&amp;IF(Variants!$F363=""," "," "&amp;Variants!$F363)&amp;" — "&amp;Variants!$H363)</f>
        <v>Marash Twin Ring — Marash  — white-bordeaux</v>
      </c>
      <c r="B362" s="21" t="str">
        <f aca="false">IFERROR(IF(Variants!$B363="","",VLOOKUP(Variants!$B363,Designs!$A$3:$AP$165,9,FALSE())&amp;" Handmade in Armenia."),"")</f>
        <v>Marash-work is a distinctive Armenian embroidery style from Cilician Marash, known for its interlaced geometric patterns. Handmade in Armenia.</v>
      </c>
      <c r="C362" s="18" t="n">
        <f aca="false">IF(Variants!$J363="","",Variants!$J363)</f>
        <v>52</v>
      </c>
      <c r="D362" s="21" t="n">
        <f aca="false">IF(Variants!$O363="","",Variants!$O363)</f>
        <v>0</v>
      </c>
      <c r="E362" s="21" t="str">
        <f aca="false">Variants!$A363</f>
        <v>KARNI-RINGTWIN-MARASH-WHITE-BORDEAUX</v>
      </c>
      <c r="F362" s="21" t="str">
        <f aca="false">IF(Variants!$E363="","",Variants!$E363&amp;", Armenian, handmade, enamel, "&amp;Variants!$D363)</f>
        <v>Marash, Armenian, handmade, enamel, ring twin</v>
      </c>
      <c r="G362" s="21" t="str">
        <f aca="false">IFERROR(VLOOKUP(Variants!$B363,Designs!$A$3:$AP$165,12,FALSE())&amp;", enamel","")</f>
        <v>925 Silver Gold-Plated, enamel</v>
      </c>
      <c r="H362" s="21" t="str">
        <f aca="false">IF(Variants!$B363="","","I did")</f>
        <v>I did</v>
      </c>
      <c r="I362" s="21" t="str">
        <f aca="false">IF(Variants!$B363="","","Made to order")</f>
        <v>Made to order</v>
      </c>
      <c r="J362" s="21" t="str">
        <f aca="false">IF(Variants!$D363="","",Variants!$D363)</f>
        <v>ring twin</v>
      </c>
      <c r="K362" s="21" t="str">
        <f aca="false">IF(Variants!$Y363="","",Variants!$Y363)</f>
        <v/>
      </c>
      <c r="L362" s="21" t="str">
        <f aca="false">IF(Variants!$H363="","",Variants!$H363)</f>
        <v>white-bordeaux</v>
      </c>
      <c r="M362" s="21" t="str">
        <f aca="false">IF(Variants!$G363="","",Variants!$G363)</f>
        <v/>
      </c>
    </row>
    <row r="363" customFormat="false" ht="15.75" hidden="false" customHeight="true" outlineLevel="0" collapsed="false">
      <c r="A363" s="21" t="str">
        <f aca="false">IF(Variants!$B364="","",Variants!$C364&amp;" — "&amp;Variants!$E364&amp;IF(Variants!$F364=""," "," "&amp;Variants!$F364)&amp;" — "&amp;Variants!$H364)</f>
        <v>Marash Twin Ring — Marash  — white-turquoise</v>
      </c>
      <c r="B363" s="21" t="str">
        <f aca="false">IFERROR(IF(Variants!$B364="","",VLOOKUP(Variants!$B364,Designs!$A$3:$AP$165,9,FALSE())&amp;" Handmade in Armenia."),"")</f>
        <v>Marash-work is a distinctive Armenian embroidery style from Cilician Marash, known for its interlaced geometric patterns. Handmade in Armenia.</v>
      </c>
      <c r="C363" s="18" t="n">
        <f aca="false">IF(Variants!$J364="","",Variants!$J364)</f>
        <v>52</v>
      </c>
      <c r="D363" s="21" t="n">
        <f aca="false">IF(Variants!$O364="","",Variants!$O364)</f>
        <v>0</v>
      </c>
      <c r="E363" s="21" t="str">
        <f aca="false">Variants!$A364</f>
        <v>KARNI-RINGTWIN-MARASH-WHITE-TURQUOISE</v>
      </c>
      <c r="F363" s="21" t="str">
        <f aca="false">IF(Variants!$E364="","",Variants!$E364&amp;", Armenian, handmade, enamel, "&amp;Variants!$D364)</f>
        <v>Marash, Armenian, handmade, enamel, ring twin</v>
      </c>
      <c r="G363" s="21" t="str">
        <f aca="false">IFERROR(VLOOKUP(Variants!$B364,Designs!$A$3:$AP$165,12,FALSE())&amp;", enamel","")</f>
        <v>925 Silver Gold-Plated, enamel</v>
      </c>
      <c r="H363" s="21" t="str">
        <f aca="false">IF(Variants!$B364="","","I did")</f>
        <v>I did</v>
      </c>
      <c r="I363" s="21" t="str">
        <f aca="false">IF(Variants!$B364="","","Made to order")</f>
        <v>Made to order</v>
      </c>
      <c r="J363" s="21" t="str">
        <f aca="false">IF(Variants!$D364="","",Variants!$D364)</f>
        <v>ring twin</v>
      </c>
      <c r="K363" s="21" t="str">
        <f aca="false">IF(Variants!$Y364="","",Variants!$Y364)</f>
        <v/>
      </c>
      <c r="L363" s="21" t="str">
        <f aca="false">IF(Variants!$H364="","",Variants!$H364)</f>
        <v>white-turquoise</v>
      </c>
      <c r="M363" s="21" t="str">
        <f aca="false">IF(Variants!$G364="","",Variants!$G364)</f>
        <v/>
      </c>
    </row>
    <row r="364" customFormat="false" ht="15.75" hidden="false" customHeight="true" outlineLevel="0" collapsed="false">
      <c r="A364" s="21" t="str">
        <f aca="false">IF(Variants!$B365="","",Variants!$C365&amp;" — "&amp;Variants!$E365&amp;IF(Variants!$F365=""," "," "&amp;Variants!$F365)&amp;" — "&amp;Variants!$H365)</f>
        <v>Marash Twin Ring — Marash  — white-green</v>
      </c>
      <c r="B364" s="21" t="str">
        <f aca="false">IFERROR(IF(Variants!$B365="","",VLOOKUP(Variants!$B365,Designs!$A$3:$AP$165,9,FALSE())&amp;" Handmade in Armenia."),"")</f>
        <v>Marash-work is a distinctive Armenian embroidery style from Cilician Marash, known for its interlaced geometric patterns. Handmade in Armenia.</v>
      </c>
      <c r="C364" s="18" t="n">
        <f aca="false">IF(Variants!$J365="","",Variants!$J365)</f>
        <v>52</v>
      </c>
      <c r="D364" s="21" t="n">
        <f aca="false">IF(Variants!$O365="","",Variants!$O365)</f>
        <v>0</v>
      </c>
      <c r="E364" s="21" t="str">
        <f aca="false">Variants!$A365</f>
        <v>KARNI-RINGTWIN-MARASH-WHITE-GREEN</v>
      </c>
      <c r="F364" s="21" t="str">
        <f aca="false">IF(Variants!$E365="","",Variants!$E365&amp;", Armenian, handmade, enamel, "&amp;Variants!$D365)</f>
        <v>Marash, Armenian, handmade, enamel, ring twin</v>
      </c>
      <c r="G364" s="21" t="str">
        <f aca="false">IFERROR(VLOOKUP(Variants!$B365,Designs!$A$3:$AP$165,12,FALSE())&amp;", enamel","")</f>
        <v>925 Silver Gold-Plated, enamel</v>
      </c>
      <c r="H364" s="21" t="str">
        <f aca="false">IF(Variants!$B365="","","I did")</f>
        <v>I did</v>
      </c>
      <c r="I364" s="21" t="str">
        <f aca="false">IF(Variants!$B365="","","Made to order")</f>
        <v>Made to order</v>
      </c>
      <c r="J364" s="21" t="str">
        <f aca="false">IF(Variants!$D365="","",Variants!$D365)</f>
        <v>ring twin</v>
      </c>
      <c r="K364" s="21" t="str">
        <f aca="false">IF(Variants!$Y365="","",Variants!$Y365)</f>
        <v/>
      </c>
      <c r="L364" s="21" t="str">
        <f aca="false">IF(Variants!$H365="","",Variants!$H365)</f>
        <v>white-green</v>
      </c>
      <c r="M364" s="21" t="str">
        <f aca="false">IF(Variants!$G365="","",Variants!$G365)</f>
        <v/>
      </c>
    </row>
    <row r="365" customFormat="false" ht="15.75" hidden="false" customHeight="true" outlineLevel="0" collapsed="false">
      <c r="A365" s="21" t="str">
        <f aca="false">IF(Variants!$B366="","",Variants!$C366&amp;" — "&amp;Variants!$E366&amp;IF(Variants!$F366=""," "," "&amp;Variants!$F366)&amp;" — "&amp;Variants!$H366)</f>
        <v>Van Twin Ring — Van  — white-blue</v>
      </c>
      <c r="B365" s="21" t="str">
        <f aca="false">IFERROR(IF(Variants!$B366="","",VLOOKUP(Variants!$B366,Designs!$A$3:$AP$165,9,FALSE())&amp;" Handmade in Armenia."),"")</f>
        <v>Motifs from the Van/Vaspurakan region, echoing the ornament of the Lake Van heartland of historic Armenia. Handmade in Armenia.</v>
      </c>
      <c r="C365" s="18" t="n">
        <f aca="false">IF(Variants!$J366="","",Variants!$J366)</f>
        <v>52</v>
      </c>
      <c r="D365" s="21" t="n">
        <f aca="false">IF(Variants!$O366="","",Variants!$O366)</f>
        <v>0</v>
      </c>
      <c r="E365" s="21" t="str">
        <f aca="false">Variants!$A366</f>
        <v>KARNI-RINGTWIN-VAN-WHITE-BLUE</v>
      </c>
      <c r="F365" s="21" t="str">
        <f aca="false">IF(Variants!$E366="","",Variants!$E366&amp;", Armenian, handmade, enamel, "&amp;Variants!$D366)</f>
        <v>Van, Armenian, handmade, enamel, ring twin</v>
      </c>
      <c r="G365" s="21" t="str">
        <f aca="false">IFERROR(VLOOKUP(Variants!$B366,Designs!$A$3:$AP$165,12,FALSE())&amp;", enamel","")</f>
        <v>925 Silver Gold-Plated, enamel</v>
      </c>
      <c r="H365" s="21" t="str">
        <f aca="false">IF(Variants!$B366="","","I did")</f>
        <v>I did</v>
      </c>
      <c r="I365" s="21" t="str">
        <f aca="false">IF(Variants!$B366="","","Made to order")</f>
        <v>Made to order</v>
      </c>
      <c r="J365" s="21" t="str">
        <f aca="false">IF(Variants!$D366="","",Variants!$D366)</f>
        <v>ring twin</v>
      </c>
      <c r="K365" s="21" t="str">
        <f aca="false">IF(Variants!$Y366="","",Variants!$Y366)</f>
        <v/>
      </c>
      <c r="L365" s="21" t="str">
        <f aca="false">IF(Variants!$H366="","",Variants!$H366)</f>
        <v>white-blue</v>
      </c>
      <c r="M365" s="21" t="str">
        <f aca="false">IF(Variants!$G366="","",Variants!$G366)</f>
        <v/>
      </c>
    </row>
    <row r="366" customFormat="false" ht="15.75" hidden="false" customHeight="true" outlineLevel="0" collapsed="false">
      <c r="A366" s="21" t="str">
        <f aca="false">IF(Variants!$B367="","",Variants!$C367&amp;" — "&amp;Variants!$E367&amp;IF(Variants!$F367=""," "," "&amp;Variants!$F367)&amp;" — "&amp;Variants!$H367)</f>
        <v>Van Twin Ring — Van  — white-bordeaux</v>
      </c>
      <c r="B366" s="21" t="str">
        <f aca="false">IFERROR(IF(Variants!$B367="","",VLOOKUP(Variants!$B367,Designs!$A$3:$AP$165,9,FALSE())&amp;" Handmade in Armenia."),"")</f>
        <v>Motifs from the Van/Vaspurakan region, echoing the ornament of the Lake Van heartland of historic Armenia. Handmade in Armenia.</v>
      </c>
      <c r="C366" s="18" t="n">
        <f aca="false">IF(Variants!$J367="","",Variants!$J367)</f>
        <v>52</v>
      </c>
      <c r="D366" s="21" t="n">
        <f aca="false">IF(Variants!$O367="","",Variants!$O367)</f>
        <v>0</v>
      </c>
      <c r="E366" s="21" t="str">
        <f aca="false">Variants!$A367</f>
        <v>KARNI-RINGTWIN-VAN-WHITE-BORDEAUX</v>
      </c>
      <c r="F366" s="21" t="str">
        <f aca="false">IF(Variants!$E367="","",Variants!$E367&amp;", Armenian, handmade, enamel, "&amp;Variants!$D367)</f>
        <v>Van, Armenian, handmade, enamel, ring twin</v>
      </c>
      <c r="G366" s="21" t="str">
        <f aca="false">IFERROR(VLOOKUP(Variants!$B367,Designs!$A$3:$AP$165,12,FALSE())&amp;", enamel","")</f>
        <v>925 Silver Gold-Plated, enamel</v>
      </c>
      <c r="H366" s="21" t="str">
        <f aca="false">IF(Variants!$B367="","","I did")</f>
        <v>I did</v>
      </c>
      <c r="I366" s="21" t="str">
        <f aca="false">IF(Variants!$B367="","","Made to order")</f>
        <v>Made to order</v>
      </c>
      <c r="J366" s="21" t="str">
        <f aca="false">IF(Variants!$D367="","",Variants!$D367)</f>
        <v>ring twin</v>
      </c>
      <c r="K366" s="21" t="str">
        <f aca="false">IF(Variants!$Y367="","",Variants!$Y367)</f>
        <v/>
      </c>
      <c r="L366" s="21" t="str">
        <f aca="false">IF(Variants!$H367="","",Variants!$H367)</f>
        <v>white-bordeaux</v>
      </c>
      <c r="M366" s="21" t="str">
        <f aca="false">IF(Variants!$G367="","",Variants!$G367)</f>
        <v/>
      </c>
    </row>
    <row r="367" customFormat="false" ht="15.75" hidden="false" customHeight="true" outlineLevel="0" collapsed="false">
      <c r="A367" s="21" t="str">
        <f aca="false">IF(Variants!$B368="","",Variants!$C368&amp;" — "&amp;Variants!$E368&amp;IF(Variants!$F368=""," "," "&amp;Variants!$F368)&amp;" — "&amp;Variants!$H368)</f>
        <v>Van Twin Ring — Van  — white-turquoise</v>
      </c>
      <c r="B367" s="21" t="str">
        <f aca="false">IFERROR(IF(Variants!$B368="","",VLOOKUP(Variants!$B368,Designs!$A$3:$AP$165,9,FALSE())&amp;" Handmade in Armenia."),"")</f>
        <v>Motifs from the Van/Vaspurakan region, echoing the ornament of the Lake Van heartland of historic Armenia. Handmade in Armenia.</v>
      </c>
      <c r="C367" s="18" t="n">
        <f aca="false">IF(Variants!$J368="","",Variants!$J368)</f>
        <v>52</v>
      </c>
      <c r="D367" s="21" t="n">
        <f aca="false">IF(Variants!$O368="","",Variants!$O368)</f>
        <v>0</v>
      </c>
      <c r="E367" s="21" t="str">
        <f aca="false">Variants!$A368</f>
        <v>KARNI-RINGTWIN-VAN-WHITE-TURQUOISE</v>
      </c>
      <c r="F367" s="21" t="str">
        <f aca="false">IF(Variants!$E368="","",Variants!$E368&amp;", Armenian, handmade, enamel, "&amp;Variants!$D368)</f>
        <v>Van, Armenian, handmade, enamel, ring twin</v>
      </c>
      <c r="G367" s="21" t="str">
        <f aca="false">IFERROR(VLOOKUP(Variants!$B368,Designs!$A$3:$AP$165,12,FALSE())&amp;", enamel","")</f>
        <v>925 Silver Gold-Plated, enamel</v>
      </c>
      <c r="H367" s="21" t="str">
        <f aca="false">IF(Variants!$B368="","","I did")</f>
        <v>I did</v>
      </c>
      <c r="I367" s="21" t="str">
        <f aca="false">IF(Variants!$B368="","","Made to order")</f>
        <v>Made to order</v>
      </c>
      <c r="J367" s="21" t="str">
        <f aca="false">IF(Variants!$D368="","",Variants!$D368)</f>
        <v>ring twin</v>
      </c>
      <c r="K367" s="21" t="str">
        <f aca="false">IF(Variants!$Y368="","",Variants!$Y368)</f>
        <v/>
      </c>
      <c r="L367" s="21" t="str">
        <f aca="false">IF(Variants!$H368="","",Variants!$H368)</f>
        <v>white-turquoise</v>
      </c>
      <c r="M367" s="21" t="str">
        <f aca="false">IF(Variants!$G368="","",Variants!$G368)</f>
        <v/>
      </c>
    </row>
    <row r="368" customFormat="false" ht="15.75" hidden="false" customHeight="true" outlineLevel="0" collapsed="false">
      <c r="A368" s="21" t="str">
        <f aca="false">IF(Variants!$B369="","",Variants!$C369&amp;" — "&amp;Variants!$E369&amp;IF(Variants!$F369=""," "," "&amp;Variants!$F369)&amp;" — "&amp;Variants!$H369)</f>
        <v>Van Twin Ring — Van  — white-green</v>
      </c>
      <c r="B368" s="21" t="str">
        <f aca="false">IFERROR(IF(Variants!$B369="","",VLOOKUP(Variants!$B369,Designs!$A$3:$AP$165,9,FALSE())&amp;" Handmade in Armenia."),"")</f>
        <v>Motifs from the Van/Vaspurakan region, echoing the ornament of the Lake Van heartland of historic Armenia. Handmade in Armenia.</v>
      </c>
      <c r="C368" s="18" t="n">
        <f aca="false">IF(Variants!$J369="","",Variants!$J369)</f>
        <v>52</v>
      </c>
      <c r="D368" s="21" t="n">
        <f aca="false">IF(Variants!$O369="","",Variants!$O369)</f>
        <v>0</v>
      </c>
      <c r="E368" s="21" t="str">
        <f aca="false">Variants!$A369</f>
        <v>KARNI-RINGTWIN-VAN-WHITE-GREEN</v>
      </c>
      <c r="F368" s="21" t="str">
        <f aca="false">IF(Variants!$E369="","",Variants!$E369&amp;", Armenian, handmade, enamel, "&amp;Variants!$D369)</f>
        <v>Van, Armenian, handmade, enamel, ring twin</v>
      </c>
      <c r="G368" s="21" t="str">
        <f aca="false">IFERROR(VLOOKUP(Variants!$B369,Designs!$A$3:$AP$165,12,FALSE())&amp;", enamel","")</f>
        <v>925 Silver Gold-Plated, enamel</v>
      </c>
      <c r="H368" s="21" t="str">
        <f aca="false">IF(Variants!$B369="","","I did")</f>
        <v>I did</v>
      </c>
      <c r="I368" s="21" t="str">
        <f aca="false">IF(Variants!$B369="","","Made to order")</f>
        <v>Made to order</v>
      </c>
      <c r="J368" s="21" t="str">
        <f aca="false">IF(Variants!$D369="","",Variants!$D369)</f>
        <v>ring twin</v>
      </c>
      <c r="K368" s="21" t="str">
        <f aca="false">IF(Variants!$Y369="","",Variants!$Y369)</f>
        <v/>
      </c>
      <c r="L368" s="21" t="str">
        <f aca="false">IF(Variants!$H369="","",Variants!$H369)</f>
        <v>white-green</v>
      </c>
      <c r="M368" s="21" t="str">
        <f aca="false">IF(Variants!$G369="","",Variants!$G369)</f>
        <v/>
      </c>
    </row>
    <row r="369" customFormat="false" ht="15.75" hidden="false" customHeight="true" outlineLevel="0" collapsed="false">
      <c r="A369" s="21" t="str">
        <f aca="false">IF(Variants!$B370="","",Variants!$C370&amp;" — "&amp;Variants!$E370&amp;IF(Variants!$F370=""," "," "&amp;Variants!$F370)&amp;" — "&amp;Variants!$H370)</f>
        <v>Vishab Twin Ring — Vishab  — white-blue</v>
      </c>
      <c r="B369" s="21" t="str">
        <f aca="false">IFERROR(IF(Variants!$B370="","",VLOOKUP(Variants!$B370,Designs!$A$3:$AP$165,9,FALSE())&amp;" Handmade in Armenia."),"")</f>
        <v>Vishaps are ancient Armenian dragon-stones (vishapakar) found in the highlands, among the oldest carved monuments in the region. Handmade in Armenia.</v>
      </c>
      <c r="C369" s="18" t="n">
        <f aca="false">IF(Variants!$J370="","",Variants!$J370)</f>
        <v>52</v>
      </c>
      <c r="D369" s="21" t="n">
        <f aca="false">IF(Variants!$O370="","",Variants!$O370)</f>
        <v>0</v>
      </c>
      <c r="E369" s="21" t="str">
        <f aca="false">Variants!$A370</f>
        <v>KARNI-RINGTWIN-VISHAB-WHITE-BLUE</v>
      </c>
      <c r="F369" s="21" t="str">
        <f aca="false">IF(Variants!$E370="","",Variants!$E370&amp;", Armenian, handmade, enamel, "&amp;Variants!$D370)</f>
        <v>Vishab, Armenian, handmade, enamel, ring twin</v>
      </c>
      <c r="G369" s="21" t="str">
        <f aca="false">IFERROR(VLOOKUP(Variants!$B370,Designs!$A$3:$AP$165,12,FALSE())&amp;", enamel","")</f>
        <v>925 Silver Gold-Plated, enamel</v>
      </c>
      <c r="H369" s="21" t="str">
        <f aca="false">IF(Variants!$B370="","","I did")</f>
        <v>I did</v>
      </c>
      <c r="I369" s="21" t="str">
        <f aca="false">IF(Variants!$B370="","","Made to order")</f>
        <v>Made to order</v>
      </c>
      <c r="J369" s="21" t="str">
        <f aca="false">IF(Variants!$D370="","",Variants!$D370)</f>
        <v>ring twin</v>
      </c>
      <c r="K369" s="21" t="str">
        <f aca="false">IF(Variants!$Y370="","",Variants!$Y370)</f>
        <v/>
      </c>
      <c r="L369" s="21" t="str">
        <f aca="false">IF(Variants!$H370="","",Variants!$H370)</f>
        <v>white-blue</v>
      </c>
      <c r="M369" s="21" t="str">
        <f aca="false">IF(Variants!$G370="","",Variants!$G370)</f>
        <v/>
      </c>
    </row>
    <row r="370" customFormat="false" ht="15.75" hidden="false" customHeight="true" outlineLevel="0" collapsed="false">
      <c r="A370" s="21" t="str">
        <f aca="false">IF(Variants!$B371="","",Variants!$C371&amp;" — "&amp;Variants!$E371&amp;IF(Variants!$F371=""," "," "&amp;Variants!$F371)&amp;" — "&amp;Variants!$H371)</f>
        <v>Vishab Twin Ring — Vishab  — white-bordeaux</v>
      </c>
      <c r="B370" s="21" t="str">
        <f aca="false">IFERROR(IF(Variants!$B371="","",VLOOKUP(Variants!$B371,Designs!$A$3:$AP$165,9,FALSE())&amp;" Handmade in Armenia."),"")</f>
        <v>Vishaps are ancient Armenian dragon-stones (vishapakar) found in the highlands, among the oldest carved monuments in the region. Handmade in Armenia.</v>
      </c>
      <c r="C370" s="18" t="n">
        <f aca="false">IF(Variants!$J371="","",Variants!$J371)</f>
        <v>52</v>
      </c>
      <c r="D370" s="21" t="n">
        <f aca="false">IF(Variants!$O371="","",Variants!$O371)</f>
        <v>0</v>
      </c>
      <c r="E370" s="21" t="str">
        <f aca="false">Variants!$A371</f>
        <v>KARNI-RINGTWIN-VISHAB-WHITE-BORDEAUX</v>
      </c>
      <c r="F370" s="21" t="str">
        <f aca="false">IF(Variants!$E371="","",Variants!$E371&amp;", Armenian, handmade, enamel, "&amp;Variants!$D371)</f>
        <v>Vishab, Armenian, handmade, enamel, ring twin</v>
      </c>
      <c r="G370" s="21" t="str">
        <f aca="false">IFERROR(VLOOKUP(Variants!$B371,Designs!$A$3:$AP$165,12,FALSE())&amp;", enamel","")</f>
        <v>925 Silver Gold-Plated, enamel</v>
      </c>
      <c r="H370" s="21" t="str">
        <f aca="false">IF(Variants!$B371="","","I did")</f>
        <v>I did</v>
      </c>
      <c r="I370" s="21" t="str">
        <f aca="false">IF(Variants!$B371="","","Made to order")</f>
        <v>Made to order</v>
      </c>
      <c r="J370" s="21" t="str">
        <f aca="false">IF(Variants!$D371="","",Variants!$D371)</f>
        <v>ring twin</v>
      </c>
      <c r="K370" s="21" t="str">
        <f aca="false">IF(Variants!$Y371="","",Variants!$Y371)</f>
        <v/>
      </c>
      <c r="L370" s="21" t="str">
        <f aca="false">IF(Variants!$H371="","",Variants!$H371)</f>
        <v>white-bordeaux</v>
      </c>
      <c r="M370" s="21" t="str">
        <f aca="false">IF(Variants!$G371="","",Variants!$G371)</f>
        <v/>
      </c>
    </row>
    <row r="371" customFormat="false" ht="15.75" hidden="false" customHeight="true" outlineLevel="0" collapsed="false">
      <c r="A371" s="21" t="str">
        <f aca="false">IF(Variants!$B372="","",Variants!$C372&amp;" — "&amp;Variants!$E372&amp;IF(Variants!$F372=""," "," "&amp;Variants!$F372)&amp;" — "&amp;Variants!$H372)</f>
        <v>Vishab Twin Ring — Vishab  — white-turquoise</v>
      </c>
      <c r="B371" s="21" t="str">
        <f aca="false">IFERROR(IF(Variants!$B372="","",VLOOKUP(Variants!$B372,Designs!$A$3:$AP$165,9,FALSE())&amp;" Handmade in Armenia."),"")</f>
        <v>Vishaps are ancient Armenian dragon-stones (vishapakar) found in the highlands, among the oldest carved monuments in the region. Handmade in Armenia.</v>
      </c>
      <c r="C371" s="18" t="n">
        <f aca="false">IF(Variants!$J372="","",Variants!$J372)</f>
        <v>52</v>
      </c>
      <c r="D371" s="21" t="n">
        <f aca="false">IF(Variants!$O372="","",Variants!$O372)</f>
        <v>0</v>
      </c>
      <c r="E371" s="21" t="str">
        <f aca="false">Variants!$A372</f>
        <v>KARNI-RINGTWIN-VISHAB-WHITE-TURQUOISE</v>
      </c>
      <c r="F371" s="21" t="str">
        <f aca="false">IF(Variants!$E372="","",Variants!$E372&amp;", Armenian, handmade, enamel, "&amp;Variants!$D372)</f>
        <v>Vishab, Armenian, handmade, enamel, ring twin</v>
      </c>
      <c r="G371" s="21" t="str">
        <f aca="false">IFERROR(VLOOKUP(Variants!$B372,Designs!$A$3:$AP$165,12,FALSE())&amp;", enamel","")</f>
        <v>925 Silver Gold-Plated, enamel</v>
      </c>
      <c r="H371" s="21" t="str">
        <f aca="false">IF(Variants!$B372="","","I did")</f>
        <v>I did</v>
      </c>
      <c r="I371" s="21" t="str">
        <f aca="false">IF(Variants!$B372="","","Made to order")</f>
        <v>Made to order</v>
      </c>
      <c r="J371" s="21" t="str">
        <f aca="false">IF(Variants!$D372="","",Variants!$D372)</f>
        <v>ring twin</v>
      </c>
      <c r="K371" s="21" t="str">
        <f aca="false">IF(Variants!$Y372="","",Variants!$Y372)</f>
        <v/>
      </c>
      <c r="L371" s="21" t="str">
        <f aca="false">IF(Variants!$H372="","",Variants!$H372)</f>
        <v>white-turquoise</v>
      </c>
      <c r="M371" s="21" t="str">
        <f aca="false">IF(Variants!$G372="","",Variants!$G372)</f>
        <v/>
      </c>
    </row>
    <row r="372" customFormat="false" ht="15.75" hidden="false" customHeight="true" outlineLevel="0" collapsed="false">
      <c r="A372" s="21" t="str">
        <f aca="false">IF(Variants!$B373="","",Variants!$C373&amp;" — "&amp;Variants!$E373&amp;IF(Variants!$F373=""," "," "&amp;Variants!$F373)&amp;" — "&amp;Variants!$H373)</f>
        <v>Vishab Twin Ring — Vishab  — white-green</v>
      </c>
      <c r="B372" s="21" t="str">
        <f aca="false">IFERROR(IF(Variants!$B373="","",VLOOKUP(Variants!$B373,Designs!$A$3:$AP$165,9,FALSE())&amp;" Handmade in Armenia."),"")</f>
        <v>Vishaps are ancient Armenian dragon-stones (vishapakar) found in the highlands, among the oldest carved monuments in the region. Handmade in Armenia.</v>
      </c>
      <c r="C372" s="18" t="n">
        <f aca="false">IF(Variants!$J373="","",Variants!$J373)</f>
        <v>52</v>
      </c>
      <c r="D372" s="21" t="n">
        <f aca="false">IF(Variants!$O373="","",Variants!$O373)</f>
        <v>0</v>
      </c>
      <c r="E372" s="21" t="str">
        <f aca="false">Variants!$A373</f>
        <v>KARNI-RINGTWIN-VISHAB-WHITE-GREEN</v>
      </c>
      <c r="F372" s="21" t="str">
        <f aca="false">IF(Variants!$E373="","",Variants!$E373&amp;", Armenian, handmade, enamel, "&amp;Variants!$D373)</f>
        <v>Vishab, Armenian, handmade, enamel, ring twin</v>
      </c>
      <c r="G372" s="21" t="str">
        <f aca="false">IFERROR(VLOOKUP(Variants!$B373,Designs!$A$3:$AP$165,12,FALSE())&amp;", enamel","")</f>
        <v>925 Silver Gold-Plated, enamel</v>
      </c>
      <c r="H372" s="21" t="str">
        <f aca="false">IF(Variants!$B373="","","I did")</f>
        <v>I did</v>
      </c>
      <c r="I372" s="21" t="str">
        <f aca="false">IF(Variants!$B373="","","Made to order")</f>
        <v>Made to order</v>
      </c>
      <c r="J372" s="21" t="str">
        <f aca="false">IF(Variants!$D373="","",Variants!$D373)</f>
        <v>ring twin</v>
      </c>
      <c r="K372" s="21" t="str">
        <f aca="false">IF(Variants!$Y373="","",Variants!$Y373)</f>
        <v/>
      </c>
      <c r="L372" s="21" t="str">
        <f aca="false">IF(Variants!$H373="","",Variants!$H373)</f>
        <v>white-green</v>
      </c>
      <c r="M372" s="21" t="str">
        <f aca="false">IF(Variants!$G373="","",Variants!$G373)</f>
        <v/>
      </c>
    </row>
    <row r="373" customFormat="false" ht="15.75" hidden="false" customHeight="true" outlineLevel="0" collapsed="false">
      <c r="A373" s="21" t="str">
        <f aca="false">IF(Variants!$B374="","",Variants!$C374&amp;" — "&amp;Variants!$E374&amp;IF(Variants!$F374=""," "," "&amp;Variants!$F374)&amp;" — "&amp;Variants!$H374)</f>
        <v>Van Ring — Van  — blue</v>
      </c>
      <c r="B373" s="21" t="str">
        <f aca="false">IFERROR(IF(Variants!$B374="","",VLOOKUP(Variants!$B374,Designs!$A$3:$AP$165,9,FALSE())&amp;" Handmade in Armenia."),"")</f>
        <v>Motifs from the Van/Vaspurakan region, echoing the ornament of the Lake Van heartland of historic Armenia. Handmade in Armenia.</v>
      </c>
      <c r="C373" s="18" t="n">
        <f aca="false">IF(Variants!$J374="","",Variants!$J374)</f>
        <v>52</v>
      </c>
      <c r="D373" s="21" t="n">
        <f aca="false">IF(Variants!$O374="","",Variants!$O374)</f>
        <v>0</v>
      </c>
      <c r="E373" s="21" t="str">
        <f aca="false">Variants!$A374</f>
        <v>KARNI-RING-VAN-M-BLUE</v>
      </c>
      <c r="F373" s="21" t="str">
        <f aca="false">IF(Variants!$E374="","",Variants!$E374&amp;", Armenian, handmade, enamel, "&amp;Variants!$D374)</f>
        <v>Van, Armenian, handmade, enamel, Ring</v>
      </c>
      <c r="G373" s="21" t="str">
        <f aca="false">IFERROR(VLOOKUP(Variants!$B374,Designs!$A$3:$AP$165,12,FALSE())&amp;", enamel","")</f>
        <v>925 Silver Gold-Plated, enamel</v>
      </c>
      <c r="H373" s="21" t="str">
        <f aca="false">IF(Variants!$B374="","","I did")</f>
        <v>I did</v>
      </c>
      <c r="I373" s="21" t="str">
        <f aca="false">IF(Variants!$B374="","","Made to order")</f>
        <v>Made to order</v>
      </c>
      <c r="J373" s="21" t="str">
        <f aca="false">IF(Variants!$D374="","",Variants!$D374)</f>
        <v>Ring</v>
      </c>
      <c r="K373" s="21" t="str">
        <f aca="false">IF(Variants!$Y374="","",Variants!$Y374)</f>
        <v/>
      </c>
      <c r="L373" s="21" t="str">
        <f aca="false">IF(Variants!$H374="","",Variants!$H374)</f>
        <v>blue</v>
      </c>
      <c r="M373" s="21" t="str">
        <f aca="false">IF(Variants!$G374="","",Variants!$G374)</f>
        <v>medium</v>
      </c>
    </row>
    <row r="374" customFormat="false" ht="15.75" hidden="false" customHeight="true" outlineLevel="0" collapsed="false">
      <c r="A374" s="21" t="str">
        <f aca="false">IF(Variants!$B375="","",Variants!$C375&amp;" — "&amp;Variants!$E375&amp;IF(Variants!$F375=""," "," "&amp;Variants!$F375)&amp;" — "&amp;Variants!$H375)</f>
        <v>Van Ring — Van  — white</v>
      </c>
      <c r="B374" s="21" t="str">
        <f aca="false">IFERROR(IF(Variants!$B375="","",VLOOKUP(Variants!$B375,Designs!$A$3:$AP$165,9,FALSE())&amp;" Handmade in Armenia."),"")</f>
        <v>Motifs from the Van/Vaspurakan region, echoing the ornament of the Lake Van heartland of historic Armenia. Handmade in Armenia.</v>
      </c>
      <c r="C374" s="18" t="n">
        <f aca="false">IF(Variants!$J375="","",Variants!$J375)</f>
        <v>52</v>
      </c>
      <c r="D374" s="21" t="n">
        <f aca="false">IF(Variants!$O375="","",Variants!$O375)</f>
        <v>0</v>
      </c>
      <c r="E374" s="21" t="str">
        <f aca="false">Variants!$A375</f>
        <v>KARNI-RING-VAN-M-WHITE</v>
      </c>
      <c r="F374" s="21" t="str">
        <f aca="false">IF(Variants!$E375="","",Variants!$E375&amp;", Armenian, handmade, enamel, "&amp;Variants!$D375)</f>
        <v>Van, Armenian, handmade, enamel, Ring</v>
      </c>
      <c r="G374" s="21" t="str">
        <f aca="false">IFERROR(VLOOKUP(Variants!$B375,Designs!$A$3:$AP$165,12,FALSE())&amp;", enamel","")</f>
        <v>925 Silver Gold-Plated, enamel</v>
      </c>
      <c r="H374" s="21" t="str">
        <f aca="false">IF(Variants!$B375="","","I did")</f>
        <v>I did</v>
      </c>
      <c r="I374" s="21" t="str">
        <f aca="false">IF(Variants!$B375="","","Made to order")</f>
        <v>Made to order</v>
      </c>
      <c r="J374" s="21" t="str">
        <f aca="false">IF(Variants!$D375="","",Variants!$D375)</f>
        <v>Ring</v>
      </c>
      <c r="K374" s="21" t="str">
        <f aca="false">IF(Variants!$Y375="","",Variants!$Y375)</f>
        <v/>
      </c>
      <c r="L374" s="21" t="str">
        <f aca="false">IF(Variants!$H375="","",Variants!$H375)</f>
        <v>white</v>
      </c>
      <c r="M374" s="21" t="str">
        <f aca="false">IF(Variants!$G375="","",Variants!$G375)</f>
        <v>medium</v>
      </c>
    </row>
    <row r="375" customFormat="false" ht="15.75" hidden="false" customHeight="true" outlineLevel="0" collapsed="false">
      <c r="A375" s="21" t="str">
        <f aca="false">IF(Variants!$B376="","",Variants!$C376&amp;" — "&amp;Variants!$E376&amp;IF(Variants!$F376=""," "," "&amp;Variants!$F376)&amp;" — "&amp;Variants!$H376)</f>
        <v>Van Ring — Van  — camel</v>
      </c>
      <c r="B375" s="21" t="str">
        <f aca="false">IFERROR(IF(Variants!$B376="","",VLOOKUP(Variants!$B376,Designs!$A$3:$AP$165,9,FALSE())&amp;" Handmade in Armenia."),"")</f>
        <v>Motifs from the Van/Vaspurakan region, echoing the ornament of the Lake Van heartland of historic Armenia. Handmade in Armenia.</v>
      </c>
      <c r="C375" s="18" t="n">
        <f aca="false">IF(Variants!$J376="","",Variants!$J376)</f>
        <v>52</v>
      </c>
      <c r="D375" s="21" t="n">
        <f aca="false">IF(Variants!$O376="","",Variants!$O376)</f>
        <v>0</v>
      </c>
      <c r="E375" s="21" t="str">
        <f aca="false">Variants!$A376</f>
        <v>KARNI-RING-VAN-M-CAMEL</v>
      </c>
      <c r="F375" s="21" t="str">
        <f aca="false">IF(Variants!$E376="","",Variants!$E376&amp;", Armenian, handmade, enamel, "&amp;Variants!$D376)</f>
        <v>Van, Armenian, handmade, enamel, Ring</v>
      </c>
      <c r="G375" s="21" t="str">
        <f aca="false">IFERROR(VLOOKUP(Variants!$B376,Designs!$A$3:$AP$165,12,FALSE())&amp;", enamel","")</f>
        <v>925 Silver Gold-Plated, enamel</v>
      </c>
      <c r="H375" s="21" t="str">
        <f aca="false">IF(Variants!$B376="","","I did")</f>
        <v>I did</v>
      </c>
      <c r="I375" s="21" t="str">
        <f aca="false">IF(Variants!$B376="","","Made to order")</f>
        <v>Made to order</v>
      </c>
      <c r="J375" s="21" t="str">
        <f aca="false">IF(Variants!$D376="","",Variants!$D376)</f>
        <v>Ring</v>
      </c>
      <c r="K375" s="21" t="str">
        <f aca="false">IF(Variants!$Y376="","",Variants!$Y376)</f>
        <v/>
      </c>
      <c r="L375" s="21" t="str">
        <f aca="false">IF(Variants!$H376="","",Variants!$H376)</f>
        <v>camel</v>
      </c>
      <c r="M375" s="21" t="str">
        <f aca="false">IF(Variants!$G376="","",Variants!$G376)</f>
        <v>medium</v>
      </c>
    </row>
    <row r="376" customFormat="false" ht="15.75" hidden="false" customHeight="true" outlineLevel="0" collapsed="false">
      <c r="A376" s="21" t="str">
        <f aca="false">IF(Variants!$B377="","",Variants!$C377&amp;" — "&amp;Variants!$E377&amp;IF(Variants!$F377=""," "," "&amp;Variants!$F377)&amp;" — "&amp;Variants!$H377)</f>
        <v>Van Ring — Van  — turquoise</v>
      </c>
      <c r="B376" s="21" t="str">
        <f aca="false">IFERROR(IF(Variants!$B377="","",VLOOKUP(Variants!$B377,Designs!$A$3:$AP$165,9,FALSE())&amp;" Handmade in Armenia."),"")</f>
        <v>Motifs from the Van/Vaspurakan region, echoing the ornament of the Lake Van heartland of historic Armenia. Handmade in Armenia.</v>
      </c>
      <c r="C376" s="18" t="n">
        <f aca="false">IF(Variants!$J377="","",Variants!$J377)</f>
        <v>52</v>
      </c>
      <c r="D376" s="21" t="n">
        <f aca="false">IF(Variants!$O377="","",Variants!$O377)</f>
        <v>0</v>
      </c>
      <c r="E376" s="21" t="str">
        <f aca="false">Variants!$A377</f>
        <v>KARNI-RING-VAN-M-TURQUOISE</v>
      </c>
      <c r="F376" s="21" t="str">
        <f aca="false">IF(Variants!$E377="","",Variants!$E377&amp;", Armenian, handmade, enamel, "&amp;Variants!$D377)</f>
        <v>Van, Armenian, handmade, enamel, Ring</v>
      </c>
      <c r="G376" s="21" t="str">
        <f aca="false">IFERROR(VLOOKUP(Variants!$B377,Designs!$A$3:$AP$165,12,FALSE())&amp;", enamel","")</f>
        <v>925 Silver Gold-Plated, enamel</v>
      </c>
      <c r="H376" s="21" t="str">
        <f aca="false">IF(Variants!$B377="","","I did")</f>
        <v>I did</v>
      </c>
      <c r="I376" s="21" t="str">
        <f aca="false">IF(Variants!$B377="","","Made to order")</f>
        <v>Made to order</v>
      </c>
      <c r="J376" s="21" t="str">
        <f aca="false">IF(Variants!$D377="","",Variants!$D377)</f>
        <v>Ring</v>
      </c>
      <c r="K376" s="21" t="str">
        <f aca="false">IF(Variants!$Y377="","",Variants!$Y377)</f>
        <v/>
      </c>
      <c r="L376" s="21" t="str">
        <f aca="false">IF(Variants!$H377="","",Variants!$H377)</f>
        <v>turquoise</v>
      </c>
      <c r="M376" s="21" t="str">
        <f aca="false">IF(Variants!$G377="","",Variants!$G377)</f>
        <v>medium</v>
      </c>
    </row>
    <row r="377" customFormat="false" ht="15.75" hidden="false" customHeight="true" outlineLevel="0" collapsed="false">
      <c r="A377" s="21" t="str">
        <f aca="false">IF(Variants!$B378="","",Variants!$C378&amp;" — "&amp;Variants!$E378&amp;IF(Variants!$F378=""," "," "&amp;Variants!$F378)&amp;" — "&amp;Variants!$H378)</f>
        <v>Marash Ring — Marash  — blue-white</v>
      </c>
      <c r="B377" s="21" t="str">
        <f aca="false">IFERROR(IF(Variants!$B378="","",VLOOKUP(Variants!$B378,Designs!$A$3:$AP$165,9,FALSE())&amp;" Handmade in Armenia."),"")</f>
        <v>Marash-work is a distinctive Armenian embroidery style from Cilician Marash, known for its interlaced geometric patterns. Handmade in Armenia.</v>
      </c>
      <c r="C377" s="18" t="n">
        <f aca="false">IF(Variants!$J378="","",Variants!$J378)</f>
        <v>52</v>
      </c>
      <c r="D377" s="21" t="n">
        <f aca="false">IF(Variants!$O378="","",Variants!$O378)</f>
        <v>0</v>
      </c>
      <c r="E377" s="21" t="str">
        <f aca="false">Variants!$A378</f>
        <v>KARNI-RING-MARASH-M-BLUE-WHITE</v>
      </c>
      <c r="F377" s="21" t="str">
        <f aca="false">IF(Variants!$E378="","",Variants!$E378&amp;", Armenian, handmade, enamel, "&amp;Variants!$D378)</f>
        <v>Marash, Armenian, handmade, enamel, Ring</v>
      </c>
      <c r="G377" s="21" t="str">
        <f aca="false">IFERROR(VLOOKUP(Variants!$B378,Designs!$A$3:$AP$165,12,FALSE())&amp;", enamel","")</f>
        <v>925 Silver Gold-Plated, enamel</v>
      </c>
      <c r="H377" s="21" t="str">
        <f aca="false">IF(Variants!$B378="","","I did")</f>
        <v>I did</v>
      </c>
      <c r="I377" s="21" t="str">
        <f aca="false">IF(Variants!$B378="","","Made to order")</f>
        <v>Made to order</v>
      </c>
      <c r="J377" s="21" t="str">
        <f aca="false">IF(Variants!$D378="","",Variants!$D378)</f>
        <v>Ring</v>
      </c>
      <c r="K377" s="21" t="str">
        <f aca="false">IF(Variants!$Y378="","",Variants!$Y378)</f>
        <v/>
      </c>
      <c r="L377" s="21" t="str">
        <f aca="false">IF(Variants!$H378="","",Variants!$H378)</f>
        <v>blue-white</v>
      </c>
      <c r="M377" s="21" t="str">
        <f aca="false">IF(Variants!$G378="","",Variants!$G378)</f>
        <v>medium</v>
      </c>
    </row>
    <row r="378" customFormat="false" ht="15.75" hidden="false" customHeight="true" outlineLevel="0" collapsed="false">
      <c r="A378" s="21" t="str">
        <f aca="false">IF(Variants!$B379="","",Variants!$C379&amp;" — "&amp;Variants!$E379&amp;IF(Variants!$F379=""," "," "&amp;Variants!$F379)&amp;" — "&amp;Variants!$H379)</f>
        <v>Marash Ring — Marash  — white-blue</v>
      </c>
      <c r="B378" s="21" t="str">
        <f aca="false">IFERROR(IF(Variants!$B379="","",VLOOKUP(Variants!$B379,Designs!$A$3:$AP$165,9,FALSE())&amp;" Handmade in Armenia."),"")</f>
        <v>Marash-work is a distinctive Armenian embroidery style from Cilician Marash, known for its interlaced geometric patterns. Handmade in Armenia.</v>
      </c>
      <c r="C378" s="18" t="n">
        <f aca="false">IF(Variants!$J379="","",Variants!$J379)</f>
        <v>52</v>
      </c>
      <c r="D378" s="21" t="n">
        <f aca="false">IF(Variants!$O379="","",Variants!$O379)</f>
        <v>0</v>
      </c>
      <c r="E378" s="21" t="str">
        <f aca="false">Variants!$A379</f>
        <v>KARNI-RING-MARASH-M-WHITE-BLUE</v>
      </c>
      <c r="F378" s="21" t="str">
        <f aca="false">IF(Variants!$E379="","",Variants!$E379&amp;", Armenian, handmade, enamel, "&amp;Variants!$D379)</f>
        <v>Marash, Armenian, handmade, enamel, Ring</v>
      </c>
      <c r="G378" s="21" t="str">
        <f aca="false">IFERROR(VLOOKUP(Variants!$B379,Designs!$A$3:$AP$165,12,FALSE())&amp;", enamel","")</f>
        <v>925 Silver Gold-Plated, enamel</v>
      </c>
      <c r="H378" s="21" t="str">
        <f aca="false">IF(Variants!$B379="","","I did")</f>
        <v>I did</v>
      </c>
      <c r="I378" s="21" t="str">
        <f aca="false">IF(Variants!$B379="","","Made to order")</f>
        <v>Made to order</v>
      </c>
      <c r="J378" s="21" t="str">
        <f aca="false">IF(Variants!$D379="","",Variants!$D379)</f>
        <v>Ring</v>
      </c>
      <c r="K378" s="21" t="str">
        <f aca="false">IF(Variants!$Y379="","",Variants!$Y379)</f>
        <v/>
      </c>
      <c r="L378" s="21" t="str">
        <f aca="false">IF(Variants!$H379="","",Variants!$H379)</f>
        <v>white-blue</v>
      </c>
      <c r="M378" s="21" t="str">
        <f aca="false">IF(Variants!$G379="","",Variants!$G379)</f>
        <v>medium</v>
      </c>
    </row>
    <row r="379" customFormat="false" ht="15.75" hidden="false" customHeight="true" outlineLevel="0" collapsed="false">
      <c r="A379" s="21" t="str">
        <f aca="false">IF(Variants!$B380="","",Variants!$C380&amp;" — "&amp;Variants!$E380&amp;IF(Variants!$F380=""," "," "&amp;Variants!$F380)&amp;" — "&amp;Variants!$H380)</f>
        <v>Marash Ring — Marash  — white-bordeaux</v>
      </c>
      <c r="B379" s="21" t="str">
        <f aca="false">IFERROR(IF(Variants!$B380="","",VLOOKUP(Variants!$B380,Designs!$A$3:$AP$165,9,FALSE())&amp;" Handmade in Armenia."),"")</f>
        <v>Marash-work is a distinctive Armenian embroidery style from Cilician Marash, known for its interlaced geometric patterns. Handmade in Armenia.</v>
      </c>
      <c r="C379" s="18" t="n">
        <f aca="false">IF(Variants!$J380="","",Variants!$J380)</f>
        <v>52</v>
      </c>
      <c r="D379" s="21" t="n">
        <f aca="false">IF(Variants!$O380="","",Variants!$O380)</f>
        <v>0</v>
      </c>
      <c r="E379" s="21" t="str">
        <f aca="false">Variants!$A380</f>
        <v>KARNI-RING-MARASH-M-WHITE-BORDEAUX</v>
      </c>
      <c r="F379" s="21" t="str">
        <f aca="false">IF(Variants!$E380="","",Variants!$E380&amp;", Armenian, handmade, enamel, "&amp;Variants!$D380)</f>
        <v>Marash, Armenian, handmade, enamel, Ring</v>
      </c>
      <c r="G379" s="21" t="str">
        <f aca="false">IFERROR(VLOOKUP(Variants!$B380,Designs!$A$3:$AP$165,12,FALSE())&amp;", enamel","")</f>
        <v>925 Silver Gold-Plated, enamel</v>
      </c>
      <c r="H379" s="21" t="str">
        <f aca="false">IF(Variants!$B380="","","I did")</f>
        <v>I did</v>
      </c>
      <c r="I379" s="21" t="str">
        <f aca="false">IF(Variants!$B380="","","Made to order")</f>
        <v>Made to order</v>
      </c>
      <c r="J379" s="21" t="str">
        <f aca="false">IF(Variants!$D380="","",Variants!$D380)</f>
        <v>Ring</v>
      </c>
      <c r="K379" s="21" t="str">
        <f aca="false">IF(Variants!$Y380="","",Variants!$Y380)</f>
        <v/>
      </c>
      <c r="L379" s="21" t="str">
        <f aca="false">IF(Variants!$H380="","",Variants!$H380)</f>
        <v>white-bordeaux</v>
      </c>
      <c r="M379" s="21" t="str">
        <f aca="false">IF(Variants!$G380="","",Variants!$G380)</f>
        <v>medium</v>
      </c>
    </row>
    <row r="380" customFormat="false" ht="15.75" hidden="false" customHeight="true" outlineLevel="0" collapsed="false">
      <c r="A380" s="21" t="str">
        <f aca="false">IF(Variants!$B381="","",Variants!$C381&amp;" — "&amp;Variants!$E381&amp;IF(Variants!$F381=""," "," "&amp;Variants!$F381)&amp;" — "&amp;Variants!$H381)</f>
        <v>Marash Ring — Marash  — turquoise-blue</v>
      </c>
      <c r="B380" s="21" t="str">
        <f aca="false">IFERROR(IF(Variants!$B381="","",VLOOKUP(Variants!$B381,Designs!$A$3:$AP$165,9,FALSE())&amp;" Handmade in Armenia."),"")</f>
        <v>Marash-work is a distinctive Armenian embroidery style from Cilician Marash, known for its interlaced geometric patterns. Handmade in Armenia.</v>
      </c>
      <c r="C380" s="18" t="n">
        <f aca="false">IF(Variants!$J381="","",Variants!$J381)</f>
        <v>52</v>
      </c>
      <c r="D380" s="21" t="n">
        <f aca="false">IF(Variants!$O381="","",Variants!$O381)</f>
        <v>0</v>
      </c>
      <c r="E380" s="21" t="str">
        <f aca="false">Variants!$A381</f>
        <v>KARNI-RING-MARASH-M-TURQUOISE-BLUE</v>
      </c>
      <c r="F380" s="21" t="str">
        <f aca="false">IF(Variants!$E381="","",Variants!$E381&amp;", Armenian, handmade, enamel, "&amp;Variants!$D381)</f>
        <v>Marash, Armenian, handmade, enamel, Ring</v>
      </c>
      <c r="G380" s="21" t="str">
        <f aca="false">IFERROR(VLOOKUP(Variants!$B381,Designs!$A$3:$AP$165,12,FALSE())&amp;", enamel","")</f>
        <v>925 Silver Gold-Plated, enamel</v>
      </c>
      <c r="H380" s="21" t="str">
        <f aca="false">IF(Variants!$B381="","","I did")</f>
        <v>I did</v>
      </c>
      <c r="I380" s="21" t="str">
        <f aca="false">IF(Variants!$B381="","","Made to order")</f>
        <v>Made to order</v>
      </c>
      <c r="J380" s="21" t="str">
        <f aca="false">IF(Variants!$D381="","",Variants!$D381)</f>
        <v>Ring</v>
      </c>
      <c r="K380" s="21" t="str">
        <f aca="false">IF(Variants!$Y381="","",Variants!$Y381)</f>
        <v/>
      </c>
      <c r="L380" s="21" t="str">
        <f aca="false">IF(Variants!$H381="","",Variants!$H381)</f>
        <v>turquoise-blue</v>
      </c>
      <c r="M380" s="21" t="str">
        <f aca="false">IF(Variants!$G381="","",Variants!$G381)</f>
        <v>medium</v>
      </c>
    </row>
    <row r="381" customFormat="false" ht="15.75" hidden="false" customHeight="true" outlineLevel="0" collapsed="false">
      <c r="A381" s="21" t="str">
        <f aca="false">IF(Variants!$B382="","",Variants!$C382&amp;" — "&amp;Variants!$E382&amp;IF(Variants!$F382=""," "," "&amp;Variants!$F382)&amp;" — "&amp;Variants!$H382)</f>
        <v>Artsakhi Khachanakhsh Ring — Artsakhi Khachanakhsh  — blue-white</v>
      </c>
      <c r="B381" s="21" t="str">
        <f aca="false">IFERROR(IF(Variants!$B382="","",VLOOKUP(Variants!$B382,Designs!$A$3:$AP$165,9,FALSE())&amp;" Handmade in Armenia."),"")</f>
        <v>Cross-ornament patterns from Artsakh, carrying the carved cross-stone heritage of the region. Handmade in Armenia.</v>
      </c>
      <c r="C381" s="18" t="n">
        <f aca="false">IF(Variants!$J382="","",Variants!$J382)</f>
        <v>52</v>
      </c>
      <c r="D381" s="21" t="n">
        <f aca="false">IF(Variants!$O382="","",Variants!$O382)</f>
        <v>0</v>
      </c>
      <c r="E381" s="21" t="str">
        <f aca="false">Variants!$A382</f>
        <v>KARNI-RING-ARTSAKHIKHACHANAKHSH-M-BLUE-WHITE</v>
      </c>
      <c r="F381" s="21" t="str">
        <f aca="false">IF(Variants!$E382="","",Variants!$E382&amp;", Armenian, handmade, enamel, "&amp;Variants!$D382)</f>
        <v>Artsakhi Khachanakhsh, Armenian, handmade, enamel, Ring</v>
      </c>
      <c r="G381" s="21" t="str">
        <f aca="false">IFERROR(VLOOKUP(Variants!$B382,Designs!$A$3:$AP$165,12,FALSE())&amp;", enamel","")</f>
        <v>925 Silver Gold-Plated, enamel</v>
      </c>
      <c r="H381" s="21" t="str">
        <f aca="false">IF(Variants!$B382="","","I did")</f>
        <v>I did</v>
      </c>
      <c r="I381" s="21" t="str">
        <f aca="false">IF(Variants!$B382="","","Made to order")</f>
        <v>Made to order</v>
      </c>
      <c r="J381" s="21" t="str">
        <f aca="false">IF(Variants!$D382="","",Variants!$D382)</f>
        <v>Ring</v>
      </c>
      <c r="K381" s="21" t="str">
        <f aca="false">IF(Variants!$Y382="","",Variants!$Y382)</f>
        <v/>
      </c>
      <c r="L381" s="21" t="str">
        <f aca="false">IF(Variants!$H382="","",Variants!$H382)</f>
        <v>blue-white</v>
      </c>
      <c r="M381" s="21" t="str">
        <f aca="false">IF(Variants!$G382="","",Variants!$G382)</f>
        <v>medium</v>
      </c>
    </row>
    <row r="382" customFormat="false" ht="15.75" hidden="false" customHeight="true" outlineLevel="0" collapsed="false">
      <c r="A382" s="21" t="str">
        <f aca="false">IF(Variants!$B383="","",Variants!$C383&amp;" — "&amp;Variants!$E383&amp;IF(Variants!$F383=""," "," "&amp;Variants!$F383)&amp;" — "&amp;Variants!$H383)</f>
        <v>Artsakhi Khachanakhsh Ring — Artsakhi Khachanakhsh  — white-blue</v>
      </c>
      <c r="B382" s="21" t="str">
        <f aca="false">IFERROR(IF(Variants!$B383="","",VLOOKUP(Variants!$B383,Designs!$A$3:$AP$165,9,FALSE())&amp;" Handmade in Armenia."),"")</f>
        <v>Cross-ornament patterns from Artsakh, carrying the carved cross-stone heritage of the region. Handmade in Armenia.</v>
      </c>
      <c r="C382" s="18" t="n">
        <f aca="false">IF(Variants!$J383="","",Variants!$J383)</f>
        <v>52</v>
      </c>
      <c r="D382" s="21" t="n">
        <f aca="false">IF(Variants!$O383="","",Variants!$O383)</f>
        <v>0</v>
      </c>
      <c r="E382" s="21" t="str">
        <f aca="false">Variants!$A383</f>
        <v>KARNI-RING-ARTSAKHIKHACHANAKHSH-M-WHITE-BLUE</v>
      </c>
      <c r="F382" s="21" t="str">
        <f aca="false">IF(Variants!$E383="","",Variants!$E383&amp;", Armenian, handmade, enamel, "&amp;Variants!$D383)</f>
        <v>Artsakhi Khachanakhsh, Armenian, handmade, enamel, Ring</v>
      </c>
      <c r="G382" s="21" t="str">
        <f aca="false">IFERROR(VLOOKUP(Variants!$B383,Designs!$A$3:$AP$165,12,FALSE())&amp;", enamel","")</f>
        <v>925 Silver Gold-Plated, enamel</v>
      </c>
      <c r="H382" s="21" t="str">
        <f aca="false">IF(Variants!$B383="","","I did")</f>
        <v>I did</v>
      </c>
      <c r="I382" s="21" t="str">
        <f aca="false">IF(Variants!$B383="","","Made to order")</f>
        <v>Made to order</v>
      </c>
      <c r="J382" s="21" t="str">
        <f aca="false">IF(Variants!$D383="","",Variants!$D383)</f>
        <v>Ring</v>
      </c>
      <c r="K382" s="21" t="str">
        <f aca="false">IF(Variants!$Y383="","",Variants!$Y383)</f>
        <v/>
      </c>
      <c r="L382" s="21" t="str">
        <f aca="false">IF(Variants!$H383="","",Variants!$H383)</f>
        <v>white-blue</v>
      </c>
      <c r="M382" s="21" t="str">
        <f aca="false">IF(Variants!$G383="","",Variants!$G383)</f>
        <v>medium</v>
      </c>
    </row>
    <row r="383" customFormat="false" ht="15.75" hidden="false" customHeight="true" outlineLevel="0" collapsed="false">
      <c r="A383" s="21" t="str">
        <f aca="false">IF(Variants!$B384="","",Variants!$C384&amp;" — "&amp;Variants!$E384&amp;IF(Variants!$F384=""," "," "&amp;Variants!$F384)&amp;" — "&amp;Variants!$H384)</f>
        <v>Artsakhi Khachanakhsh Ring — Artsakhi Khachanakhsh  — blue-bordeaux</v>
      </c>
      <c r="B383" s="21" t="str">
        <f aca="false">IFERROR(IF(Variants!$B384="","",VLOOKUP(Variants!$B384,Designs!$A$3:$AP$165,9,FALSE())&amp;" Handmade in Armenia."),"")</f>
        <v>Cross-ornament patterns from Artsakh, carrying the carved cross-stone heritage of the region. Handmade in Armenia.</v>
      </c>
      <c r="C383" s="18" t="n">
        <f aca="false">IF(Variants!$J384="","",Variants!$J384)</f>
        <v>52</v>
      </c>
      <c r="D383" s="21" t="n">
        <f aca="false">IF(Variants!$O384="","",Variants!$O384)</f>
        <v>0</v>
      </c>
      <c r="E383" s="21" t="str">
        <f aca="false">Variants!$A384</f>
        <v>KARNI-RING-ARTSAKHIKHACHANAKHSH-M-BLUE-BORDEAUX</v>
      </c>
      <c r="F383" s="21" t="str">
        <f aca="false">IF(Variants!$E384="","",Variants!$E384&amp;", Armenian, handmade, enamel, "&amp;Variants!$D384)</f>
        <v>Artsakhi Khachanakhsh, Armenian, handmade, enamel, Ring</v>
      </c>
      <c r="G383" s="21" t="str">
        <f aca="false">IFERROR(VLOOKUP(Variants!$B384,Designs!$A$3:$AP$165,12,FALSE())&amp;", enamel","")</f>
        <v>925 Silver Gold-Plated, enamel</v>
      </c>
      <c r="H383" s="21" t="str">
        <f aca="false">IF(Variants!$B384="","","I did")</f>
        <v>I did</v>
      </c>
      <c r="I383" s="21" t="str">
        <f aca="false">IF(Variants!$B384="","","Made to order")</f>
        <v>Made to order</v>
      </c>
      <c r="J383" s="21" t="str">
        <f aca="false">IF(Variants!$D384="","",Variants!$D384)</f>
        <v>Ring</v>
      </c>
      <c r="K383" s="21" t="str">
        <f aca="false">IF(Variants!$Y384="","",Variants!$Y384)</f>
        <v/>
      </c>
      <c r="L383" s="21" t="str">
        <f aca="false">IF(Variants!$H384="","",Variants!$H384)</f>
        <v>blue-bordeaux</v>
      </c>
      <c r="M383" s="21" t="str">
        <f aca="false">IF(Variants!$G384="","",Variants!$G384)</f>
        <v>medium</v>
      </c>
    </row>
    <row r="384" customFormat="false" ht="15.75" hidden="false" customHeight="true" outlineLevel="0" collapsed="false">
      <c r="A384" s="21" t="str">
        <f aca="false">IF(Variants!$B385="","",Variants!$C385&amp;" — "&amp;Variants!$E385&amp;IF(Variants!$F385=""," "," "&amp;Variants!$F385)&amp;" — "&amp;Variants!$H385)</f>
        <v>Artsakhi Khachanakhsh Ring — Artsakhi Khachanakhsh  — turquoise</v>
      </c>
      <c r="B384" s="21" t="str">
        <f aca="false">IFERROR(IF(Variants!$B385="","",VLOOKUP(Variants!$B385,Designs!$A$3:$AP$165,9,FALSE())&amp;" Handmade in Armenia."),"")</f>
        <v>Cross-ornament patterns from Artsakh, carrying the carved cross-stone heritage of the region. Handmade in Armenia.</v>
      </c>
      <c r="C384" s="18" t="n">
        <f aca="false">IF(Variants!$J385="","",Variants!$J385)</f>
        <v>52</v>
      </c>
      <c r="D384" s="21" t="n">
        <f aca="false">IF(Variants!$O385="","",Variants!$O385)</f>
        <v>0</v>
      </c>
      <c r="E384" s="21" t="str">
        <f aca="false">Variants!$A385</f>
        <v>KARNI-RING-ARTSAKHIKHACHANAKHSH-M-TURQUOISE</v>
      </c>
      <c r="F384" s="21" t="str">
        <f aca="false">IF(Variants!$E385="","",Variants!$E385&amp;", Armenian, handmade, enamel, "&amp;Variants!$D385)</f>
        <v>Artsakhi Khachanakhsh, Armenian, handmade, enamel, Ring</v>
      </c>
      <c r="G384" s="21" t="str">
        <f aca="false">IFERROR(VLOOKUP(Variants!$B385,Designs!$A$3:$AP$165,12,FALSE())&amp;", enamel","")</f>
        <v>925 Silver Gold-Plated, enamel</v>
      </c>
      <c r="H384" s="21" t="str">
        <f aca="false">IF(Variants!$B385="","","I did")</f>
        <v>I did</v>
      </c>
      <c r="I384" s="21" t="str">
        <f aca="false">IF(Variants!$B385="","","Made to order")</f>
        <v>Made to order</v>
      </c>
      <c r="J384" s="21" t="str">
        <f aca="false">IF(Variants!$D385="","",Variants!$D385)</f>
        <v>Ring</v>
      </c>
      <c r="K384" s="21" t="str">
        <f aca="false">IF(Variants!$Y385="","",Variants!$Y385)</f>
        <v/>
      </c>
      <c r="L384" s="21" t="str">
        <f aca="false">IF(Variants!$H385="","",Variants!$H385)</f>
        <v>turquoise</v>
      </c>
      <c r="M384" s="21" t="str">
        <f aca="false">IF(Variants!$G385="","",Variants!$G385)</f>
        <v>medium</v>
      </c>
    </row>
    <row r="385" customFormat="false" ht="15.75" hidden="false" customHeight="true" outlineLevel="0" collapsed="false">
      <c r="A385" s="21" t="str">
        <f aca="false">IF(Variants!$B386="","",Variants!$C386&amp;" — "&amp;Variants!$E386&amp;IF(Variants!$F386=""," "," "&amp;Variants!$F386)&amp;" — "&amp;Variants!$H386)</f>
        <v>Vishab Ring — Vishab  — blue-red</v>
      </c>
      <c r="B385" s="21" t="str">
        <f aca="false">IFERROR(IF(Variants!$B386="","",VLOOKUP(Variants!$B386,Designs!$A$3:$AP$165,9,FALSE())&amp;" Handmade in Armenia."),"")</f>
        <v>Vishaps are ancient Armenian dragon-stones (vishapakar) found in the highlands, among the oldest carved monuments in the region. Handmade in Armenia.</v>
      </c>
      <c r="C385" s="18" t="n">
        <f aca="false">IF(Variants!$J386="","",Variants!$J386)</f>
        <v>52</v>
      </c>
      <c r="D385" s="21" t="n">
        <f aca="false">IF(Variants!$O386="","",Variants!$O386)</f>
        <v>0</v>
      </c>
      <c r="E385" s="21" t="str">
        <f aca="false">Variants!$A386</f>
        <v>KARNI-RING-VISHAB-M-BLUE-RED</v>
      </c>
      <c r="F385" s="21" t="str">
        <f aca="false">IF(Variants!$E386="","",Variants!$E386&amp;", Armenian, handmade, enamel, "&amp;Variants!$D386)</f>
        <v>Vishab, Armenian, handmade, enamel, Ring</v>
      </c>
      <c r="G385" s="21" t="str">
        <f aca="false">IFERROR(VLOOKUP(Variants!$B386,Designs!$A$3:$AP$165,12,FALSE())&amp;", enamel","")</f>
        <v>925 Silver Gold-Plated, enamel</v>
      </c>
      <c r="H385" s="21" t="str">
        <f aca="false">IF(Variants!$B386="","","I did")</f>
        <v>I did</v>
      </c>
      <c r="I385" s="21" t="str">
        <f aca="false">IF(Variants!$B386="","","Made to order")</f>
        <v>Made to order</v>
      </c>
      <c r="J385" s="21" t="str">
        <f aca="false">IF(Variants!$D386="","",Variants!$D386)</f>
        <v>Ring</v>
      </c>
      <c r="K385" s="21" t="str">
        <f aca="false">IF(Variants!$Y386="","",Variants!$Y386)</f>
        <v/>
      </c>
      <c r="L385" s="21" t="str">
        <f aca="false">IF(Variants!$H386="","",Variants!$H386)</f>
        <v>blue-red</v>
      </c>
      <c r="M385" s="21" t="str">
        <f aca="false">IF(Variants!$G386="","",Variants!$G386)</f>
        <v>medium</v>
      </c>
    </row>
    <row r="386" customFormat="false" ht="15.75" hidden="false" customHeight="true" outlineLevel="0" collapsed="false">
      <c r="A386" s="21" t="str">
        <f aca="false">IF(Variants!$B387="","",Variants!$C387&amp;" — "&amp;Variants!$E387&amp;IF(Variants!$F387=""," "," "&amp;Variants!$F387)&amp;" — "&amp;Variants!$H387)</f>
        <v>Vishab Ring — Vishab  — white-blue</v>
      </c>
      <c r="B386" s="21" t="str">
        <f aca="false">IFERROR(IF(Variants!$B387="","",VLOOKUP(Variants!$B387,Designs!$A$3:$AP$165,9,FALSE())&amp;" Handmade in Armenia."),"")</f>
        <v>Vishaps are ancient Armenian dragon-stones (vishapakar) found in the highlands, among the oldest carved monuments in the region. Handmade in Armenia.</v>
      </c>
      <c r="C386" s="18" t="n">
        <f aca="false">IF(Variants!$J387="","",Variants!$J387)</f>
        <v>52</v>
      </c>
      <c r="D386" s="21" t="n">
        <f aca="false">IF(Variants!$O387="","",Variants!$O387)</f>
        <v>0</v>
      </c>
      <c r="E386" s="21" t="str">
        <f aca="false">Variants!$A387</f>
        <v>KARNI-RING-VISHAB-M-WHITE-BLUE</v>
      </c>
      <c r="F386" s="21" t="str">
        <f aca="false">IF(Variants!$E387="","",Variants!$E387&amp;", Armenian, handmade, enamel, "&amp;Variants!$D387)</f>
        <v>Vishab, Armenian, handmade, enamel, Ring</v>
      </c>
      <c r="G386" s="21" t="str">
        <f aca="false">IFERROR(VLOOKUP(Variants!$B387,Designs!$A$3:$AP$165,12,FALSE())&amp;", enamel","")</f>
        <v>925 Silver Gold-Plated, enamel</v>
      </c>
      <c r="H386" s="21" t="str">
        <f aca="false">IF(Variants!$B387="","","I did")</f>
        <v>I did</v>
      </c>
      <c r="I386" s="21" t="str">
        <f aca="false">IF(Variants!$B387="","","Made to order")</f>
        <v>Made to order</v>
      </c>
      <c r="J386" s="21" t="str">
        <f aca="false">IF(Variants!$D387="","",Variants!$D387)</f>
        <v>Ring</v>
      </c>
      <c r="K386" s="21" t="str">
        <f aca="false">IF(Variants!$Y387="","",Variants!$Y387)</f>
        <v/>
      </c>
      <c r="L386" s="21" t="str">
        <f aca="false">IF(Variants!$H387="","",Variants!$H387)</f>
        <v>white-blue</v>
      </c>
      <c r="M386" s="21" t="str">
        <f aca="false">IF(Variants!$G387="","",Variants!$G387)</f>
        <v>medium</v>
      </c>
    </row>
    <row r="387" customFormat="false" ht="15.75" hidden="false" customHeight="true" outlineLevel="0" collapsed="false">
      <c r="A387" s="21" t="str">
        <f aca="false">IF(Variants!$B388="","",Variants!$C388&amp;" — "&amp;Variants!$E388&amp;IF(Variants!$F388=""," "," "&amp;Variants!$F388)&amp;" — "&amp;Variants!$H388)</f>
        <v>Vishab Ring — Vishab  — white-bordeaux</v>
      </c>
      <c r="B387" s="21" t="str">
        <f aca="false">IFERROR(IF(Variants!$B388="","",VLOOKUP(Variants!$B388,Designs!$A$3:$AP$165,9,FALSE())&amp;" Handmade in Armenia."),"")</f>
        <v>Vishaps are ancient Armenian dragon-stones (vishapakar) found in the highlands, among the oldest carved monuments in the region. Handmade in Armenia.</v>
      </c>
      <c r="C387" s="18" t="n">
        <f aca="false">IF(Variants!$J388="","",Variants!$J388)</f>
        <v>52</v>
      </c>
      <c r="D387" s="21" t="n">
        <f aca="false">IF(Variants!$O388="","",Variants!$O388)</f>
        <v>0</v>
      </c>
      <c r="E387" s="21" t="str">
        <f aca="false">Variants!$A388</f>
        <v>KARNI-RING-VISHAB-M-WHITE-BORDEAUX</v>
      </c>
      <c r="F387" s="21" t="str">
        <f aca="false">IF(Variants!$E388="","",Variants!$E388&amp;", Armenian, handmade, enamel, "&amp;Variants!$D388)</f>
        <v>Vishab, Armenian, handmade, enamel, Ring</v>
      </c>
      <c r="G387" s="21" t="str">
        <f aca="false">IFERROR(VLOOKUP(Variants!$B388,Designs!$A$3:$AP$165,12,FALSE())&amp;", enamel","")</f>
        <v>925 Silver Gold-Plated, enamel</v>
      </c>
      <c r="H387" s="21" t="str">
        <f aca="false">IF(Variants!$B388="","","I did")</f>
        <v>I did</v>
      </c>
      <c r="I387" s="21" t="str">
        <f aca="false">IF(Variants!$B388="","","Made to order")</f>
        <v>Made to order</v>
      </c>
      <c r="J387" s="21" t="str">
        <f aca="false">IF(Variants!$D388="","",Variants!$D388)</f>
        <v>Ring</v>
      </c>
      <c r="K387" s="21" t="str">
        <f aca="false">IF(Variants!$Y388="","",Variants!$Y388)</f>
        <v/>
      </c>
      <c r="L387" s="21" t="str">
        <f aca="false">IF(Variants!$H388="","",Variants!$H388)</f>
        <v>white-bordeaux</v>
      </c>
      <c r="M387" s="21" t="str">
        <f aca="false">IF(Variants!$G388="","",Variants!$G388)</f>
        <v>medium</v>
      </c>
    </row>
    <row r="388" customFormat="false" ht="15.75" hidden="false" customHeight="true" outlineLevel="0" collapsed="false">
      <c r="A388" s="21" t="str">
        <f aca="false">IF(Variants!$B389="","",Variants!$C389&amp;" — "&amp;Variants!$E389&amp;IF(Variants!$F389=""," "," "&amp;Variants!$F389)&amp;" — "&amp;Variants!$H389)</f>
        <v>Vishab Ring — Vishab  — turquoise-blue</v>
      </c>
      <c r="B388" s="21" t="str">
        <f aca="false">IFERROR(IF(Variants!$B389="","",VLOOKUP(Variants!$B389,Designs!$A$3:$AP$165,9,FALSE())&amp;" Handmade in Armenia."),"")</f>
        <v>Vishaps are ancient Armenian dragon-stones (vishapakar) found in the highlands, among the oldest carved monuments in the region. Handmade in Armenia.</v>
      </c>
      <c r="C388" s="18" t="n">
        <f aca="false">IF(Variants!$J389="","",Variants!$J389)</f>
        <v>52</v>
      </c>
      <c r="D388" s="21" t="n">
        <f aca="false">IF(Variants!$O389="","",Variants!$O389)</f>
        <v>0</v>
      </c>
      <c r="E388" s="21" t="str">
        <f aca="false">Variants!$A389</f>
        <v>KARNI-RING-VISHAB-M-TURQUOISE-BLUE</v>
      </c>
      <c r="F388" s="21" t="str">
        <f aca="false">IF(Variants!$E389="","",Variants!$E389&amp;", Armenian, handmade, enamel, "&amp;Variants!$D389)</f>
        <v>Vishab, Armenian, handmade, enamel, Ring</v>
      </c>
      <c r="G388" s="21" t="str">
        <f aca="false">IFERROR(VLOOKUP(Variants!$B389,Designs!$A$3:$AP$165,12,FALSE())&amp;", enamel","")</f>
        <v>925 Silver Gold-Plated, enamel</v>
      </c>
      <c r="H388" s="21" t="str">
        <f aca="false">IF(Variants!$B389="","","I did")</f>
        <v>I did</v>
      </c>
      <c r="I388" s="21" t="str">
        <f aca="false">IF(Variants!$B389="","","Made to order")</f>
        <v>Made to order</v>
      </c>
      <c r="J388" s="21" t="str">
        <f aca="false">IF(Variants!$D389="","",Variants!$D389)</f>
        <v>Ring</v>
      </c>
      <c r="K388" s="21" t="str">
        <f aca="false">IF(Variants!$Y389="","",Variants!$Y389)</f>
        <v/>
      </c>
      <c r="L388" s="21" t="str">
        <f aca="false">IF(Variants!$H389="","",Variants!$H389)</f>
        <v>turquoise-blue</v>
      </c>
      <c r="M388" s="21" t="str">
        <f aca="false">IF(Variants!$G389="","",Variants!$G389)</f>
        <v>medium</v>
      </c>
    </row>
    <row r="389" customFormat="false" ht="15.75" hidden="false" customHeight="true" outlineLevel="0" collapsed="false">
      <c r="A389" s="21" t="str">
        <f aca="false">IF(Variants!$B390="","",Variants!$C390&amp;" — "&amp;Variants!$E390&amp;IF(Variants!$F390=""," "," "&amp;Variants!$F390)&amp;" — "&amp;Variants!$H390)</f>
        <v>Արեւագորգի Վիշապ — Vishab Arevagorg  — white-blue-red</v>
      </c>
      <c r="B389" s="21" t="str">
        <f aca="false">IFERROR(IF(Variants!$B390="","",VLOOKUP(Variants!$B390,Designs!$A$3:$AP$165,9,FALSE())&amp;" Handmade in Armenia."),"")</f>
        <v>Combines the vishap (dragon) motif with the arevagorg (sun-carpet) — an Armenian solar ornament symbolising life and eternity. Handmade in Armenia.</v>
      </c>
      <c r="C389" s="18" t="n">
        <f aca="false">IF(Variants!$J390="","",Variants!$J390)</f>
        <v>52</v>
      </c>
      <c r="D389" s="21" t="n">
        <f aca="false">IF(Variants!$O390="","",Variants!$O390)</f>
        <v>0</v>
      </c>
      <c r="E389" s="21" t="str">
        <f aca="false">Variants!$A390</f>
        <v>KARNI-RING-VISHABAREVAGORG-M-WHITE-BLUE-RED</v>
      </c>
      <c r="F389" s="21" t="str">
        <f aca="false">IF(Variants!$E390="","",Variants!$E390&amp;", Armenian, handmade, enamel, "&amp;Variants!$D390)</f>
        <v>Vishab Arevagorg, Armenian, handmade, enamel, Ring</v>
      </c>
      <c r="G389" s="21" t="str">
        <f aca="false">IFERROR(VLOOKUP(Variants!$B390,Designs!$A$3:$AP$165,12,FALSE())&amp;", enamel","")</f>
        <v>925 Silver Gold-Plated, enamel</v>
      </c>
      <c r="H389" s="21" t="str">
        <f aca="false">IF(Variants!$B390="","","I did")</f>
        <v>I did</v>
      </c>
      <c r="I389" s="21" t="str">
        <f aca="false">IF(Variants!$B390="","","Made to order")</f>
        <v>Made to order</v>
      </c>
      <c r="J389" s="21" t="str">
        <f aca="false">IF(Variants!$D390="","",Variants!$D390)</f>
        <v>Ring</v>
      </c>
      <c r="K389" s="21" t="str">
        <f aca="false">IF(Variants!$Y390="","",Variants!$Y390)</f>
        <v/>
      </c>
      <c r="L389" s="21" t="str">
        <f aca="false">IF(Variants!$H390="","",Variants!$H390)</f>
        <v>white-blue-red</v>
      </c>
      <c r="M389" s="21" t="str">
        <f aca="false">IF(Variants!$G390="","",Variants!$G390)</f>
        <v>medium</v>
      </c>
    </row>
    <row r="390" customFormat="false" ht="15.75" hidden="false" customHeight="true" outlineLevel="0" collapsed="false">
      <c r="A390" s="21" t="str">
        <f aca="false">IF(Variants!$B391="","",Variants!$C391&amp;" — "&amp;Variants!$E391&amp;IF(Variants!$F391=""," "," "&amp;Variants!$F391)&amp;" — "&amp;Variants!$H391)</f>
        <v>Արեւագորգի Վիշապ — Vishab Arevagorg  — white-blue-yellow</v>
      </c>
      <c r="B390" s="21" t="str">
        <f aca="false">IFERROR(IF(Variants!$B391="","",VLOOKUP(Variants!$B391,Designs!$A$3:$AP$165,9,FALSE())&amp;" Handmade in Armenia."),"")</f>
        <v>Combines the vishap (dragon) motif with the arevagorg (sun-carpet) — an Armenian solar ornament symbolising life and eternity. Handmade in Armenia.</v>
      </c>
      <c r="C390" s="18" t="n">
        <f aca="false">IF(Variants!$J391="","",Variants!$J391)</f>
        <v>52</v>
      </c>
      <c r="D390" s="21" t="n">
        <f aca="false">IF(Variants!$O391="","",Variants!$O391)</f>
        <v>0</v>
      </c>
      <c r="E390" s="21" t="str">
        <f aca="false">Variants!$A391</f>
        <v>KARNI-RING-VISHABAREVAGORG-M-WHITE-BLUE-YELLOW</v>
      </c>
      <c r="F390" s="21" t="str">
        <f aca="false">IF(Variants!$E391="","",Variants!$E391&amp;", Armenian, handmade, enamel, "&amp;Variants!$D391)</f>
        <v>Vishab Arevagorg, Armenian, handmade, enamel, Ring</v>
      </c>
      <c r="G390" s="21" t="str">
        <f aca="false">IFERROR(VLOOKUP(Variants!$B391,Designs!$A$3:$AP$165,12,FALSE())&amp;", enamel","")</f>
        <v>925 Silver Gold-Plated, enamel</v>
      </c>
      <c r="H390" s="21" t="str">
        <f aca="false">IF(Variants!$B391="","","I did")</f>
        <v>I did</v>
      </c>
      <c r="I390" s="21" t="str">
        <f aca="false">IF(Variants!$B391="","","Made to order")</f>
        <v>Made to order</v>
      </c>
      <c r="J390" s="21" t="str">
        <f aca="false">IF(Variants!$D391="","",Variants!$D391)</f>
        <v>Ring</v>
      </c>
      <c r="K390" s="21" t="str">
        <f aca="false">IF(Variants!$Y391="","",Variants!$Y391)</f>
        <v/>
      </c>
      <c r="L390" s="21" t="str">
        <f aca="false">IF(Variants!$H391="","",Variants!$H391)</f>
        <v>white-blue-yellow</v>
      </c>
      <c r="M390" s="21" t="str">
        <f aca="false">IF(Variants!$G391="","",Variants!$G391)</f>
        <v>medium</v>
      </c>
    </row>
    <row r="391" customFormat="false" ht="15.75" hidden="false" customHeight="true" outlineLevel="0" collapsed="false">
      <c r="A391" s="21" t="str">
        <f aca="false">IF(Variants!$B392="","",Variants!$C392&amp;" — "&amp;Variants!$E392&amp;IF(Variants!$F392=""," "," "&amp;Variants!$F392)&amp;" — "&amp;Variants!$H392)</f>
        <v>Արեւագորգի Վիշապ — Vishab Arevagorg  — white-bordeaux-green</v>
      </c>
      <c r="B391" s="21" t="str">
        <f aca="false">IFERROR(IF(Variants!$B392="","",VLOOKUP(Variants!$B392,Designs!$A$3:$AP$165,9,FALSE())&amp;" Handmade in Armenia."),"")</f>
        <v>Combines the vishap (dragon) motif with the arevagorg (sun-carpet) — an Armenian solar ornament symbolising life and eternity. Handmade in Armenia.</v>
      </c>
      <c r="C391" s="18" t="n">
        <f aca="false">IF(Variants!$J392="","",Variants!$J392)</f>
        <v>52</v>
      </c>
      <c r="D391" s="21" t="n">
        <f aca="false">IF(Variants!$O392="","",Variants!$O392)</f>
        <v>0</v>
      </c>
      <c r="E391" s="21" t="str">
        <f aca="false">Variants!$A392</f>
        <v>KARNI-RING-VISHABAREVAGORG-M-WHITE-BORDEAUX-GREEN</v>
      </c>
      <c r="F391" s="21" t="str">
        <f aca="false">IF(Variants!$E392="","",Variants!$E392&amp;", Armenian, handmade, enamel, "&amp;Variants!$D392)</f>
        <v>Vishab Arevagorg, Armenian, handmade, enamel, Ring</v>
      </c>
      <c r="G391" s="21" t="str">
        <f aca="false">IFERROR(VLOOKUP(Variants!$B392,Designs!$A$3:$AP$165,12,FALSE())&amp;", enamel","")</f>
        <v>925 Silver Gold-Plated, enamel</v>
      </c>
      <c r="H391" s="21" t="str">
        <f aca="false">IF(Variants!$B392="","","I did")</f>
        <v>I did</v>
      </c>
      <c r="I391" s="21" t="str">
        <f aca="false">IF(Variants!$B392="","","Made to order")</f>
        <v>Made to order</v>
      </c>
      <c r="J391" s="21" t="str">
        <f aca="false">IF(Variants!$D392="","",Variants!$D392)</f>
        <v>Ring</v>
      </c>
      <c r="K391" s="21" t="str">
        <f aca="false">IF(Variants!$Y392="","",Variants!$Y392)</f>
        <v/>
      </c>
      <c r="L391" s="21" t="str">
        <f aca="false">IF(Variants!$H392="","",Variants!$H392)</f>
        <v>white-bordeaux-green</v>
      </c>
      <c r="M391" s="21" t="str">
        <f aca="false">IF(Variants!$G392="","",Variants!$G392)</f>
        <v>medium</v>
      </c>
    </row>
    <row r="392" customFormat="false" ht="15.75" hidden="false" customHeight="true" outlineLevel="0" collapsed="false">
      <c r="A392" s="21" t="str">
        <f aca="false">IF(Variants!$B393="","",Variants!$C393&amp;" — "&amp;Variants!$E393&amp;IF(Variants!$F393=""," "," "&amp;Variants!$F393)&amp;" — "&amp;Variants!$H393)</f>
        <v>Արեւագորգի Վիշապ — Vishab Arevagorg  — blue-bordeaux-white</v>
      </c>
      <c r="B392" s="21" t="str">
        <f aca="false">IFERROR(IF(Variants!$B393="","",VLOOKUP(Variants!$B393,Designs!$A$3:$AP$165,9,FALSE())&amp;" Handmade in Armenia."),"")</f>
        <v>Combines the vishap (dragon) motif with the arevagorg (sun-carpet) — an Armenian solar ornament symbolising life and eternity. Handmade in Armenia.</v>
      </c>
      <c r="C392" s="18" t="n">
        <f aca="false">IF(Variants!$J393="","",Variants!$J393)</f>
        <v>52</v>
      </c>
      <c r="D392" s="21" t="n">
        <f aca="false">IF(Variants!$O393="","",Variants!$O393)</f>
        <v>0</v>
      </c>
      <c r="E392" s="21" t="str">
        <f aca="false">Variants!$A393</f>
        <v>KARNI-RING-VISHABAREVAGORG-M-BLUE-BORDEAUX-WHITE</v>
      </c>
      <c r="F392" s="21" t="str">
        <f aca="false">IF(Variants!$E393="","",Variants!$E393&amp;", Armenian, handmade, enamel, "&amp;Variants!$D393)</f>
        <v>Vishab Arevagorg, Armenian, handmade, enamel, Ring</v>
      </c>
      <c r="G392" s="21" t="str">
        <f aca="false">IFERROR(VLOOKUP(Variants!$B393,Designs!$A$3:$AP$165,12,FALSE())&amp;", enamel","")</f>
        <v>925 Silver Gold-Plated, enamel</v>
      </c>
      <c r="H392" s="21" t="str">
        <f aca="false">IF(Variants!$B393="","","I did")</f>
        <v>I did</v>
      </c>
      <c r="I392" s="21" t="str">
        <f aca="false">IF(Variants!$B393="","","Made to order")</f>
        <v>Made to order</v>
      </c>
      <c r="J392" s="21" t="str">
        <f aca="false">IF(Variants!$D393="","",Variants!$D393)</f>
        <v>Ring</v>
      </c>
      <c r="K392" s="21" t="str">
        <f aca="false">IF(Variants!$Y393="","",Variants!$Y393)</f>
        <v/>
      </c>
      <c r="L392" s="21" t="str">
        <f aca="false">IF(Variants!$H393="","",Variants!$H393)</f>
        <v>blue-bordeaux-white</v>
      </c>
      <c r="M392" s="21" t="str">
        <f aca="false">IF(Variants!$G393="","",Variants!$G393)</f>
        <v>medium</v>
      </c>
    </row>
    <row r="393" customFormat="false" ht="15.75" hidden="false" customHeight="true" outlineLevel="0" collapsed="false">
      <c r="A393" s="21" t="str">
        <f aca="false">IF(Variants!$B394="","",Variants!$C394&amp;" — "&amp;Variants!$E394&amp;IF(Variants!$F394=""," "," "&amp;Variants!$F394)&amp;" — "&amp;Variants!$H394)</f>
        <v>Marash Pendant — Marash  — white-blue</v>
      </c>
      <c r="B393" s="21" t="str">
        <f aca="false">IFERROR(IF(Variants!$B394="","",VLOOKUP(Variants!$B394,Designs!$A$3:$AP$165,9,FALSE())&amp;" Handmade in Armenia."),"")</f>
        <v>Marash-work is a distinctive Armenian embroidery style from Cilician Marash, known for its interlaced geometric patterns. Handmade in Armenia.</v>
      </c>
      <c r="C393" s="18" t="n">
        <f aca="false">IF(Variants!$J394="","",Variants!$J394)</f>
        <v>49.4</v>
      </c>
      <c r="D393" s="21" t="n">
        <f aca="false">IF(Variants!$O394="","",Variants!$O394)</f>
        <v>0</v>
      </c>
      <c r="E393" s="21" t="str">
        <f aca="false">Variants!$A394</f>
        <v>KARNI-PEND-MARASH-M-WHITE-BLUE</v>
      </c>
      <c r="F393" s="21" t="str">
        <f aca="false">IF(Variants!$E394="","",Variants!$E394&amp;", Armenian, handmade, enamel, "&amp;Variants!$D394)</f>
        <v>Marash, Armenian, handmade, enamel, Pendant</v>
      </c>
      <c r="G393" s="21" t="str">
        <f aca="false">IFERROR(VLOOKUP(Variants!$B394,Designs!$A$3:$AP$165,12,FALSE())&amp;", enamel","")</f>
        <v>925 Silver Gold-Plated, enamel</v>
      </c>
      <c r="H393" s="21" t="str">
        <f aca="false">IF(Variants!$B394="","","I did")</f>
        <v>I did</v>
      </c>
      <c r="I393" s="21" t="str">
        <f aca="false">IF(Variants!$B394="","","Made to order")</f>
        <v>Made to order</v>
      </c>
      <c r="J393" s="21" t="str">
        <f aca="false">IF(Variants!$D394="","",Variants!$D394)</f>
        <v>Pendant</v>
      </c>
      <c r="K393" s="21" t="str">
        <f aca="false">IF(Variants!$Y394="","",Variants!$Y394)</f>
        <v/>
      </c>
      <c r="L393" s="21" t="str">
        <f aca="false">IF(Variants!$H394="","",Variants!$H394)</f>
        <v>white-blue</v>
      </c>
      <c r="M393" s="21" t="str">
        <f aca="false">IF(Variants!$G394="","",Variants!$G394)</f>
        <v>medium</v>
      </c>
    </row>
    <row r="394" customFormat="false" ht="15.75" hidden="false" customHeight="true" outlineLevel="0" collapsed="false">
      <c r="A394" s="21" t="str">
        <f aca="false">IF(Variants!$B395="","",Variants!$C395&amp;" — "&amp;Variants!$E395&amp;IF(Variants!$F395=""," "," "&amp;Variants!$F395)&amp;" — "&amp;Variants!$H395)</f>
        <v>Marash Pendant — Marash  — blue-white</v>
      </c>
      <c r="B394" s="21" t="str">
        <f aca="false">IFERROR(IF(Variants!$B395="","",VLOOKUP(Variants!$B395,Designs!$A$3:$AP$165,9,FALSE())&amp;" Handmade in Armenia."),"")</f>
        <v>Marash-work is a distinctive Armenian embroidery style from Cilician Marash, known for its interlaced geometric patterns. Handmade in Armenia.</v>
      </c>
      <c r="C394" s="18" t="n">
        <f aca="false">IF(Variants!$J395="","",Variants!$J395)</f>
        <v>49.4</v>
      </c>
      <c r="D394" s="21" t="n">
        <f aca="false">IF(Variants!$O395="","",Variants!$O395)</f>
        <v>0</v>
      </c>
      <c r="E394" s="21" t="str">
        <f aca="false">Variants!$A395</f>
        <v>KARNI-PEND-MARASH-M-BLUE-WHITE</v>
      </c>
      <c r="F394" s="21" t="str">
        <f aca="false">IF(Variants!$E395="","",Variants!$E395&amp;", Armenian, handmade, enamel, "&amp;Variants!$D395)</f>
        <v>Marash, Armenian, handmade, enamel, Pendant</v>
      </c>
      <c r="G394" s="21" t="str">
        <f aca="false">IFERROR(VLOOKUP(Variants!$B395,Designs!$A$3:$AP$165,12,FALSE())&amp;", enamel","")</f>
        <v>925 Silver Gold-Plated, enamel</v>
      </c>
      <c r="H394" s="21" t="str">
        <f aca="false">IF(Variants!$B395="","","I did")</f>
        <v>I did</v>
      </c>
      <c r="I394" s="21" t="str">
        <f aca="false">IF(Variants!$B395="","","Made to order")</f>
        <v>Made to order</v>
      </c>
      <c r="J394" s="21" t="str">
        <f aca="false">IF(Variants!$D395="","",Variants!$D395)</f>
        <v>Pendant</v>
      </c>
      <c r="K394" s="21" t="str">
        <f aca="false">IF(Variants!$Y395="","",Variants!$Y395)</f>
        <v/>
      </c>
      <c r="L394" s="21" t="str">
        <f aca="false">IF(Variants!$H395="","",Variants!$H395)</f>
        <v>blue-white</v>
      </c>
      <c r="M394" s="21" t="str">
        <f aca="false">IF(Variants!$G395="","",Variants!$G395)</f>
        <v>medium</v>
      </c>
    </row>
    <row r="395" customFormat="false" ht="15.75" hidden="false" customHeight="true" outlineLevel="0" collapsed="false">
      <c r="A395" s="21" t="str">
        <f aca="false">IF(Variants!$B396="","",Variants!$C396&amp;" — "&amp;Variants!$E396&amp;IF(Variants!$F396=""," "," "&amp;Variants!$F396)&amp;" — "&amp;Variants!$H396)</f>
        <v>Marash Pendant — Marash  — white-bordeaux</v>
      </c>
      <c r="B395" s="21" t="str">
        <f aca="false">IFERROR(IF(Variants!$B396="","",VLOOKUP(Variants!$B396,Designs!$A$3:$AP$165,9,FALSE())&amp;" Handmade in Armenia."),"")</f>
        <v>Marash-work is a distinctive Armenian embroidery style from Cilician Marash, known for its interlaced geometric patterns. Handmade in Armenia.</v>
      </c>
      <c r="C395" s="18" t="n">
        <f aca="false">IF(Variants!$J396="","",Variants!$J396)</f>
        <v>49.4</v>
      </c>
      <c r="D395" s="21" t="n">
        <f aca="false">IF(Variants!$O396="","",Variants!$O396)</f>
        <v>0</v>
      </c>
      <c r="E395" s="21" t="str">
        <f aca="false">Variants!$A396</f>
        <v>KARNI-PEND-MARASH-M-WHITE-BORDEAUX</v>
      </c>
      <c r="F395" s="21" t="str">
        <f aca="false">IF(Variants!$E396="","",Variants!$E396&amp;", Armenian, handmade, enamel, "&amp;Variants!$D396)</f>
        <v>Marash, Armenian, handmade, enamel, Pendant</v>
      </c>
      <c r="G395" s="21" t="str">
        <f aca="false">IFERROR(VLOOKUP(Variants!$B396,Designs!$A$3:$AP$165,12,FALSE())&amp;", enamel","")</f>
        <v>925 Silver Gold-Plated, enamel</v>
      </c>
      <c r="H395" s="21" t="str">
        <f aca="false">IF(Variants!$B396="","","I did")</f>
        <v>I did</v>
      </c>
      <c r="I395" s="21" t="str">
        <f aca="false">IF(Variants!$B396="","","Made to order")</f>
        <v>Made to order</v>
      </c>
      <c r="J395" s="21" t="str">
        <f aca="false">IF(Variants!$D396="","",Variants!$D396)</f>
        <v>Pendant</v>
      </c>
      <c r="K395" s="21" t="str">
        <f aca="false">IF(Variants!$Y396="","",Variants!$Y396)</f>
        <v/>
      </c>
      <c r="L395" s="21" t="str">
        <f aca="false">IF(Variants!$H396="","",Variants!$H396)</f>
        <v>white-bordeaux</v>
      </c>
      <c r="M395" s="21" t="str">
        <f aca="false">IF(Variants!$G396="","",Variants!$G396)</f>
        <v>medium</v>
      </c>
    </row>
    <row r="396" customFormat="false" ht="15.75" hidden="false" customHeight="true" outlineLevel="0" collapsed="false">
      <c r="A396" s="21" t="str">
        <f aca="false">IF(Variants!$B397="","",Variants!$C397&amp;" — "&amp;Variants!$E397&amp;IF(Variants!$F397=""," "," "&amp;Variants!$F397)&amp;" — "&amp;Variants!$H397)</f>
        <v>Marash Pendant — Marash  — bordeaux-white</v>
      </c>
      <c r="B396" s="21" t="str">
        <f aca="false">IFERROR(IF(Variants!$B397="","",VLOOKUP(Variants!$B397,Designs!$A$3:$AP$165,9,FALSE())&amp;" Handmade in Armenia."),"")</f>
        <v>Marash-work is a distinctive Armenian embroidery style from Cilician Marash, known for its interlaced geometric patterns. Handmade in Armenia.</v>
      </c>
      <c r="C396" s="18" t="n">
        <f aca="false">IF(Variants!$J397="","",Variants!$J397)</f>
        <v>49.4</v>
      </c>
      <c r="D396" s="21" t="n">
        <f aca="false">IF(Variants!$O397="","",Variants!$O397)</f>
        <v>0</v>
      </c>
      <c r="E396" s="21" t="str">
        <f aca="false">Variants!$A397</f>
        <v>KARNI-PEND-MARASH-M-BORDEAUX-WHITE</v>
      </c>
      <c r="F396" s="21" t="str">
        <f aca="false">IF(Variants!$E397="","",Variants!$E397&amp;", Armenian, handmade, enamel, "&amp;Variants!$D397)</f>
        <v>Marash, Armenian, handmade, enamel, Pendant</v>
      </c>
      <c r="G396" s="21" t="str">
        <f aca="false">IFERROR(VLOOKUP(Variants!$B397,Designs!$A$3:$AP$165,12,FALSE())&amp;", enamel","")</f>
        <v>925 Silver Gold-Plated, enamel</v>
      </c>
      <c r="H396" s="21" t="str">
        <f aca="false">IF(Variants!$B397="","","I did")</f>
        <v>I did</v>
      </c>
      <c r="I396" s="21" t="str">
        <f aca="false">IF(Variants!$B397="","","Made to order")</f>
        <v>Made to order</v>
      </c>
      <c r="J396" s="21" t="str">
        <f aca="false">IF(Variants!$D397="","",Variants!$D397)</f>
        <v>Pendant</v>
      </c>
      <c r="K396" s="21" t="str">
        <f aca="false">IF(Variants!$Y397="","",Variants!$Y397)</f>
        <v/>
      </c>
      <c r="L396" s="21" t="str">
        <f aca="false">IF(Variants!$H397="","",Variants!$H397)</f>
        <v>bordeaux-white</v>
      </c>
      <c r="M396" s="21" t="str">
        <f aca="false">IF(Variants!$G397="","",Variants!$G397)</f>
        <v>medium</v>
      </c>
    </row>
    <row r="397" customFormat="false" ht="15.75" hidden="false" customHeight="true" outlineLevel="0" collapsed="false">
      <c r="A397" s="21" t="str">
        <f aca="false">IF(Variants!$B398="","",Variants!$C398&amp;" — "&amp;Variants!$E398&amp;IF(Variants!$F398=""," "," "&amp;Variants!$F398)&amp;" — "&amp;Variants!$H398)</f>
        <v>Van Pendant — Van  — white</v>
      </c>
      <c r="B397" s="21" t="str">
        <f aca="false">IFERROR(IF(Variants!$B398="","",VLOOKUP(Variants!$B398,Designs!$A$3:$AP$165,9,FALSE())&amp;" Handmade in Armenia."),"")</f>
        <v>Motifs from the Van/Vaspurakan region, echoing the ornament of the Lake Van heartland of historic Armenia. Handmade in Armenia.</v>
      </c>
      <c r="C397" s="18" t="n">
        <f aca="false">IF(Variants!$J398="","",Variants!$J398)</f>
        <v>49.4</v>
      </c>
      <c r="D397" s="21" t="n">
        <f aca="false">IF(Variants!$O398="","",Variants!$O398)</f>
        <v>0</v>
      </c>
      <c r="E397" s="21" t="str">
        <f aca="false">Variants!$A398</f>
        <v>KARNI-PEND-VAN-M-WHITE</v>
      </c>
      <c r="F397" s="21" t="str">
        <f aca="false">IF(Variants!$E398="","",Variants!$E398&amp;", Armenian, handmade, enamel, "&amp;Variants!$D398)</f>
        <v>Van, Armenian, handmade, enamel, Pendant</v>
      </c>
      <c r="G397" s="21" t="str">
        <f aca="false">IFERROR(VLOOKUP(Variants!$B398,Designs!$A$3:$AP$165,12,FALSE())&amp;", enamel","")</f>
        <v>925 Silver Gold-Plated, enamel</v>
      </c>
      <c r="H397" s="21" t="str">
        <f aca="false">IF(Variants!$B398="","","I did")</f>
        <v>I did</v>
      </c>
      <c r="I397" s="21" t="str">
        <f aca="false">IF(Variants!$B398="","","Made to order")</f>
        <v>Made to order</v>
      </c>
      <c r="J397" s="21" t="str">
        <f aca="false">IF(Variants!$D398="","",Variants!$D398)</f>
        <v>Pendant</v>
      </c>
      <c r="K397" s="21" t="str">
        <f aca="false">IF(Variants!$Y398="","",Variants!$Y398)</f>
        <v/>
      </c>
      <c r="L397" s="21" t="str">
        <f aca="false">IF(Variants!$H398="","",Variants!$H398)</f>
        <v>white</v>
      </c>
      <c r="M397" s="21" t="str">
        <f aca="false">IF(Variants!$G398="","",Variants!$G398)</f>
        <v>medium</v>
      </c>
    </row>
    <row r="398" customFormat="false" ht="15.75" hidden="false" customHeight="true" outlineLevel="0" collapsed="false">
      <c r="A398" s="21" t="str">
        <f aca="false">IF(Variants!$B399="","",Variants!$C399&amp;" — "&amp;Variants!$E399&amp;IF(Variants!$F399=""," "," "&amp;Variants!$F399)&amp;" — "&amp;Variants!$H399)</f>
        <v>Van Pendant — Van  — blue</v>
      </c>
      <c r="B398" s="21" t="str">
        <f aca="false">IFERROR(IF(Variants!$B399="","",VLOOKUP(Variants!$B399,Designs!$A$3:$AP$165,9,FALSE())&amp;" Handmade in Armenia."),"")</f>
        <v>Motifs from the Van/Vaspurakan region, echoing the ornament of the Lake Van heartland of historic Armenia. Handmade in Armenia.</v>
      </c>
      <c r="C398" s="18" t="n">
        <f aca="false">IF(Variants!$J399="","",Variants!$J399)</f>
        <v>49.4</v>
      </c>
      <c r="D398" s="21" t="n">
        <f aca="false">IF(Variants!$O399="","",Variants!$O399)</f>
        <v>0</v>
      </c>
      <c r="E398" s="21" t="str">
        <f aca="false">Variants!$A399</f>
        <v>KARNI-PEND-VAN-M-BLUE</v>
      </c>
      <c r="F398" s="21" t="str">
        <f aca="false">IF(Variants!$E399="","",Variants!$E399&amp;", Armenian, handmade, enamel, "&amp;Variants!$D399)</f>
        <v>Van, Armenian, handmade, enamel, Pendant</v>
      </c>
      <c r="G398" s="21" t="str">
        <f aca="false">IFERROR(VLOOKUP(Variants!$B399,Designs!$A$3:$AP$165,12,FALSE())&amp;", enamel","")</f>
        <v>925 Silver Gold-Plated, enamel</v>
      </c>
      <c r="H398" s="21" t="str">
        <f aca="false">IF(Variants!$B399="","","I did")</f>
        <v>I did</v>
      </c>
      <c r="I398" s="21" t="str">
        <f aca="false">IF(Variants!$B399="","","Made to order")</f>
        <v>Made to order</v>
      </c>
      <c r="J398" s="21" t="str">
        <f aca="false">IF(Variants!$D399="","",Variants!$D399)</f>
        <v>Pendant</v>
      </c>
      <c r="K398" s="21" t="str">
        <f aca="false">IF(Variants!$Y399="","",Variants!$Y399)</f>
        <v/>
      </c>
      <c r="L398" s="21" t="str">
        <f aca="false">IF(Variants!$H399="","",Variants!$H399)</f>
        <v>blue</v>
      </c>
      <c r="M398" s="21" t="str">
        <f aca="false">IF(Variants!$G399="","",Variants!$G399)</f>
        <v>medium</v>
      </c>
    </row>
    <row r="399" customFormat="false" ht="15.75" hidden="false" customHeight="true" outlineLevel="0" collapsed="false">
      <c r="A399" s="21" t="str">
        <f aca="false">IF(Variants!$B400="","",Variants!$C400&amp;" — "&amp;Variants!$E400&amp;IF(Variants!$F400=""," "," "&amp;Variants!$F400)&amp;" — "&amp;Variants!$H400)</f>
        <v>Van Pendant — Van  — camel</v>
      </c>
      <c r="B399" s="21" t="str">
        <f aca="false">IFERROR(IF(Variants!$B400="","",VLOOKUP(Variants!$B400,Designs!$A$3:$AP$165,9,FALSE())&amp;" Handmade in Armenia."),"")</f>
        <v>Motifs from the Van/Vaspurakan region, echoing the ornament of the Lake Van heartland of historic Armenia. Handmade in Armenia.</v>
      </c>
      <c r="C399" s="18" t="n">
        <f aca="false">IF(Variants!$J400="","",Variants!$J400)</f>
        <v>49.4</v>
      </c>
      <c r="D399" s="21" t="n">
        <f aca="false">IF(Variants!$O400="","",Variants!$O400)</f>
        <v>0</v>
      </c>
      <c r="E399" s="21" t="str">
        <f aca="false">Variants!$A400</f>
        <v>KARNI-PEND-VAN-M-CAMEL</v>
      </c>
      <c r="F399" s="21" t="str">
        <f aca="false">IF(Variants!$E400="","",Variants!$E400&amp;", Armenian, handmade, enamel, "&amp;Variants!$D400)</f>
        <v>Van, Armenian, handmade, enamel, Pendant</v>
      </c>
      <c r="G399" s="21" t="str">
        <f aca="false">IFERROR(VLOOKUP(Variants!$B400,Designs!$A$3:$AP$165,12,FALSE())&amp;", enamel","")</f>
        <v>925 Silver Gold-Plated, enamel</v>
      </c>
      <c r="H399" s="21" t="str">
        <f aca="false">IF(Variants!$B400="","","I did")</f>
        <v>I did</v>
      </c>
      <c r="I399" s="21" t="str">
        <f aca="false">IF(Variants!$B400="","","Made to order")</f>
        <v>Made to order</v>
      </c>
      <c r="J399" s="21" t="str">
        <f aca="false">IF(Variants!$D400="","",Variants!$D400)</f>
        <v>Pendant</v>
      </c>
      <c r="K399" s="21" t="str">
        <f aca="false">IF(Variants!$Y400="","",Variants!$Y400)</f>
        <v/>
      </c>
      <c r="L399" s="21" t="str">
        <f aca="false">IF(Variants!$H400="","",Variants!$H400)</f>
        <v>camel</v>
      </c>
      <c r="M399" s="21" t="str">
        <f aca="false">IF(Variants!$G400="","",Variants!$G400)</f>
        <v>medium</v>
      </c>
    </row>
    <row r="400" customFormat="false" ht="15.75" hidden="false" customHeight="true" outlineLevel="0" collapsed="false">
      <c r="A400" s="21" t="str">
        <f aca="false">IF(Variants!$B401="","",Variants!$C401&amp;" — "&amp;Variants!$E401&amp;IF(Variants!$F401=""," "," "&amp;Variants!$F401)&amp;" — "&amp;Variants!$H401)</f>
        <v>Van Pendant — Van  — turquoise</v>
      </c>
      <c r="B400" s="21" t="str">
        <f aca="false">IFERROR(IF(Variants!$B401="","",VLOOKUP(Variants!$B401,Designs!$A$3:$AP$165,9,FALSE())&amp;" Handmade in Armenia."),"")</f>
        <v>Motifs from the Van/Vaspurakan region, echoing the ornament of the Lake Van heartland of historic Armenia. Handmade in Armenia.</v>
      </c>
      <c r="C400" s="18" t="n">
        <f aca="false">IF(Variants!$J401="","",Variants!$J401)</f>
        <v>49.4</v>
      </c>
      <c r="D400" s="21" t="n">
        <f aca="false">IF(Variants!$O401="","",Variants!$O401)</f>
        <v>0</v>
      </c>
      <c r="E400" s="21" t="str">
        <f aca="false">Variants!$A401</f>
        <v>KARNI-PEND-VAN-M-TURQUOISE</v>
      </c>
      <c r="F400" s="21" t="str">
        <f aca="false">IF(Variants!$E401="","",Variants!$E401&amp;", Armenian, handmade, enamel, "&amp;Variants!$D401)</f>
        <v>Van, Armenian, handmade, enamel, Pendant</v>
      </c>
      <c r="G400" s="21" t="str">
        <f aca="false">IFERROR(VLOOKUP(Variants!$B401,Designs!$A$3:$AP$165,12,FALSE())&amp;", enamel","")</f>
        <v>925 Silver Gold-Plated, enamel</v>
      </c>
      <c r="H400" s="21" t="str">
        <f aca="false">IF(Variants!$B401="","","I did")</f>
        <v>I did</v>
      </c>
      <c r="I400" s="21" t="str">
        <f aca="false">IF(Variants!$B401="","","Made to order")</f>
        <v>Made to order</v>
      </c>
      <c r="J400" s="21" t="str">
        <f aca="false">IF(Variants!$D401="","",Variants!$D401)</f>
        <v>Pendant</v>
      </c>
      <c r="K400" s="21" t="str">
        <f aca="false">IF(Variants!$Y401="","",Variants!$Y401)</f>
        <v/>
      </c>
      <c r="L400" s="21" t="str">
        <f aca="false">IF(Variants!$H401="","",Variants!$H401)</f>
        <v>turquoise</v>
      </c>
      <c r="M400" s="21" t="str">
        <f aca="false">IF(Variants!$G401="","",Variants!$G401)</f>
        <v>medium</v>
      </c>
    </row>
    <row r="401" customFormat="false" ht="15.75" hidden="false" customHeight="true" outlineLevel="0" collapsed="false">
      <c r="A401" s="21" t="str">
        <f aca="false">IF(Variants!$B402="","",Variants!$C402&amp;" — "&amp;Variants!$E402&amp;IF(Variants!$F402=""," "," "&amp;Variants!$F402)&amp;" — "&amp;Variants!$H402)</f>
        <v>Artsakhi Khachanakhsh Pendant — Artsakhi Khachanakhsh  — white-blue</v>
      </c>
      <c r="B401" s="21" t="str">
        <f aca="false">IFERROR(IF(Variants!$B402="","",VLOOKUP(Variants!$B402,Designs!$A$3:$AP$165,9,FALSE())&amp;" Handmade in Armenia."),"")</f>
        <v>Cross-ornament patterns from Artsakh, carrying the carved cross-stone heritage of the region. Handmade in Armenia.</v>
      </c>
      <c r="C401" s="18" t="n">
        <f aca="false">IF(Variants!$J402="","",Variants!$J402)</f>
        <v>49.4</v>
      </c>
      <c r="D401" s="21" t="n">
        <f aca="false">IF(Variants!$O402="","",Variants!$O402)</f>
        <v>0</v>
      </c>
      <c r="E401" s="21" t="str">
        <f aca="false">Variants!$A402</f>
        <v>KARNI-PEND-ARTSAKHIKHACHANAKHSH-M-WHITE-BLUE</v>
      </c>
      <c r="F401" s="21" t="str">
        <f aca="false">IF(Variants!$E402="","",Variants!$E402&amp;", Armenian, handmade, enamel, "&amp;Variants!$D402)</f>
        <v>Artsakhi Khachanakhsh, Armenian, handmade, enamel, Pendant</v>
      </c>
      <c r="G401" s="21" t="str">
        <f aca="false">IFERROR(VLOOKUP(Variants!$B402,Designs!$A$3:$AP$165,12,FALSE())&amp;", enamel","")</f>
        <v>925 Silver Gold-Plated, enamel</v>
      </c>
      <c r="H401" s="21" t="str">
        <f aca="false">IF(Variants!$B402="","","I did")</f>
        <v>I did</v>
      </c>
      <c r="I401" s="21" t="str">
        <f aca="false">IF(Variants!$B402="","","Made to order")</f>
        <v>Made to order</v>
      </c>
      <c r="J401" s="21" t="str">
        <f aca="false">IF(Variants!$D402="","",Variants!$D402)</f>
        <v>Pendant</v>
      </c>
      <c r="K401" s="21" t="str">
        <f aca="false">IF(Variants!$Y402="","",Variants!$Y402)</f>
        <v/>
      </c>
      <c r="L401" s="21" t="str">
        <f aca="false">IF(Variants!$H402="","",Variants!$H402)</f>
        <v>white-blue</v>
      </c>
      <c r="M401" s="21" t="str">
        <f aca="false">IF(Variants!$G402="","",Variants!$G402)</f>
        <v>medium</v>
      </c>
    </row>
    <row r="402" customFormat="false" ht="15.75" hidden="false" customHeight="true" outlineLevel="0" collapsed="false">
      <c r="A402" s="21" t="str">
        <f aca="false">IF(Variants!$B403="","",Variants!$C403&amp;" — "&amp;Variants!$E403&amp;IF(Variants!$F403=""," "," "&amp;Variants!$F403)&amp;" — "&amp;Variants!$H403)</f>
        <v>Artsakhi Khachanakhsh Pendant — Artsakhi Khachanakhsh  — blue-white</v>
      </c>
      <c r="B402" s="21" t="str">
        <f aca="false">IFERROR(IF(Variants!$B403="","",VLOOKUP(Variants!$B403,Designs!$A$3:$AP$165,9,FALSE())&amp;" Handmade in Armenia."),"")</f>
        <v>Cross-ornament patterns from Artsakh, carrying the carved cross-stone heritage of the region. Handmade in Armenia.</v>
      </c>
      <c r="C402" s="18" t="n">
        <f aca="false">IF(Variants!$J403="","",Variants!$J403)</f>
        <v>49.4</v>
      </c>
      <c r="D402" s="21" t="n">
        <f aca="false">IF(Variants!$O403="","",Variants!$O403)</f>
        <v>0</v>
      </c>
      <c r="E402" s="21" t="str">
        <f aca="false">Variants!$A403</f>
        <v>KARNI-PEND-ARTSAKHIKHACHANAKHSH-M-BLUE-WHITE</v>
      </c>
      <c r="F402" s="21" t="str">
        <f aca="false">IF(Variants!$E403="","",Variants!$E403&amp;", Armenian, handmade, enamel, "&amp;Variants!$D403)</f>
        <v>Artsakhi Khachanakhsh, Armenian, handmade, enamel, Pendant</v>
      </c>
      <c r="G402" s="21" t="str">
        <f aca="false">IFERROR(VLOOKUP(Variants!$B403,Designs!$A$3:$AP$165,12,FALSE())&amp;", enamel","")</f>
        <v>925 Silver Gold-Plated, enamel</v>
      </c>
      <c r="H402" s="21" t="str">
        <f aca="false">IF(Variants!$B403="","","I did")</f>
        <v>I did</v>
      </c>
      <c r="I402" s="21" t="str">
        <f aca="false">IF(Variants!$B403="","","Made to order")</f>
        <v>Made to order</v>
      </c>
      <c r="J402" s="21" t="str">
        <f aca="false">IF(Variants!$D403="","",Variants!$D403)</f>
        <v>Pendant</v>
      </c>
      <c r="K402" s="21" t="str">
        <f aca="false">IF(Variants!$Y403="","",Variants!$Y403)</f>
        <v/>
      </c>
      <c r="L402" s="21" t="str">
        <f aca="false">IF(Variants!$H403="","",Variants!$H403)</f>
        <v>blue-white</v>
      </c>
      <c r="M402" s="21" t="str">
        <f aca="false">IF(Variants!$G403="","",Variants!$G403)</f>
        <v>medium</v>
      </c>
    </row>
    <row r="403" customFormat="false" ht="15.75" hidden="false" customHeight="true" outlineLevel="0" collapsed="false">
      <c r="A403" s="21" t="str">
        <f aca="false">IF(Variants!$B404="","",Variants!$C404&amp;" — "&amp;Variants!$E404&amp;IF(Variants!$F404=""," "," "&amp;Variants!$F404)&amp;" — "&amp;Variants!$H404)</f>
        <v>Artsakhi Khachanakhsh Pendant — Artsakhi Khachanakhsh  — blue-bordeaux</v>
      </c>
      <c r="B403" s="21" t="str">
        <f aca="false">IFERROR(IF(Variants!$B404="","",VLOOKUP(Variants!$B404,Designs!$A$3:$AP$165,9,FALSE())&amp;" Handmade in Armenia."),"")</f>
        <v>Cross-ornament patterns from Artsakh, carrying the carved cross-stone heritage of the region. Handmade in Armenia.</v>
      </c>
      <c r="C403" s="18" t="n">
        <f aca="false">IF(Variants!$J404="","",Variants!$J404)</f>
        <v>49.4</v>
      </c>
      <c r="D403" s="21" t="n">
        <f aca="false">IF(Variants!$O404="","",Variants!$O404)</f>
        <v>0</v>
      </c>
      <c r="E403" s="21" t="str">
        <f aca="false">Variants!$A404</f>
        <v>KARNI-PEND-ARTSAKHIKHACHANAKHSH-M-BLUE-BORDEAUX</v>
      </c>
      <c r="F403" s="21" t="str">
        <f aca="false">IF(Variants!$E404="","",Variants!$E404&amp;", Armenian, handmade, enamel, "&amp;Variants!$D404)</f>
        <v>Artsakhi Khachanakhsh, Armenian, handmade, enamel, Pendant</v>
      </c>
      <c r="G403" s="21" t="str">
        <f aca="false">IFERROR(VLOOKUP(Variants!$B404,Designs!$A$3:$AP$165,12,FALSE())&amp;", enamel","")</f>
        <v>925 Silver Gold-Plated, enamel</v>
      </c>
      <c r="H403" s="21" t="str">
        <f aca="false">IF(Variants!$B404="","","I did")</f>
        <v>I did</v>
      </c>
      <c r="I403" s="21" t="str">
        <f aca="false">IF(Variants!$B404="","","Made to order")</f>
        <v>Made to order</v>
      </c>
      <c r="J403" s="21" t="str">
        <f aca="false">IF(Variants!$D404="","",Variants!$D404)</f>
        <v>Pendant</v>
      </c>
      <c r="K403" s="21" t="str">
        <f aca="false">IF(Variants!$Y404="","",Variants!$Y404)</f>
        <v/>
      </c>
      <c r="L403" s="21" t="str">
        <f aca="false">IF(Variants!$H404="","",Variants!$H404)</f>
        <v>blue-bordeaux</v>
      </c>
      <c r="M403" s="21" t="str">
        <f aca="false">IF(Variants!$G404="","",Variants!$G404)</f>
        <v>medium</v>
      </c>
    </row>
    <row r="404" customFormat="false" ht="15.75" hidden="false" customHeight="true" outlineLevel="0" collapsed="false">
      <c r="A404" s="21" t="str">
        <f aca="false">IF(Variants!$B405="","",Variants!$C405&amp;" — "&amp;Variants!$E405&amp;IF(Variants!$F405=""," "," "&amp;Variants!$F405)&amp;" — "&amp;Variants!$H405)</f>
        <v>Artsakhi Khachanakhsh Pendant — Artsakhi Khachanakhsh  — turquoise</v>
      </c>
      <c r="B404" s="21" t="str">
        <f aca="false">IFERROR(IF(Variants!$B405="","",VLOOKUP(Variants!$B405,Designs!$A$3:$AP$165,9,FALSE())&amp;" Handmade in Armenia."),"")</f>
        <v>Cross-ornament patterns from Artsakh, carrying the carved cross-stone heritage of the region. Handmade in Armenia.</v>
      </c>
      <c r="C404" s="18" t="n">
        <f aca="false">IF(Variants!$J405="","",Variants!$J405)</f>
        <v>49.4</v>
      </c>
      <c r="D404" s="21" t="n">
        <f aca="false">IF(Variants!$O405="","",Variants!$O405)</f>
        <v>0</v>
      </c>
      <c r="E404" s="21" t="str">
        <f aca="false">Variants!$A405</f>
        <v>KARNI-PEND-ARTSAKHIKHACHANAKHSH-M-TURQUOISE</v>
      </c>
      <c r="F404" s="21" t="str">
        <f aca="false">IF(Variants!$E405="","",Variants!$E405&amp;", Armenian, handmade, enamel, "&amp;Variants!$D405)</f>
        <v>Artsakhi Khachanakhsh, Armenian, handmade, enamel, Pendant</v>
      </c>
      <c r="G404" s="21" t="str">
        <f aca="false">IFERROR(VLOOKUP(Variants!$B405,Designs!$A$3:$AP$165,12,FALSE())&amp;", enamel","")</f>
        <v>925 Silver Gold-Plated, enamel</v>
      </c>
      <c r="H404" s="21" t="str">
        <f aca="false">IF(Variants!$B405="","","I did")</f>
        <v>I did</v>
      </c>
      <c r="I404" s="21" t="str">
        <f aca="false">IF(Variants!$B405="","","Made to order")</f>
        <v>Made to order</v>
      </c>
      <c r="J404" s="21" t="str">
        <f aca="false">IF(Variants!$D405="","",Variants!$D405)</f>
        <v>Pendant</v>
      </c>
      <c r="K404" s="21" t="str">
        <f aca="false">IF(Variants!$Y405="","",Variants!$Y405)</f>
        <v/>
      </c>
      <c r="L404" s="21" t="str">
        <f aca="false">IF(Variants!$H405="","",Variants!$H405)</f>
        <v>turquoise</v>
      </c>
      <c r="M404" s="21" t="str">
        <f aca="false">IF(Variants!$G405="","",Variants!$G405)</f>
        <v>medium</v>
      </c>
    </row>
    <row r="405" customFormat="false" ht="15.75" hidden="false" customHeight="true" outlineLevel="0" collapsed="false">
      <c r="A405" s="21" t="str">
        <f aca="false">IF(Variants!$B406="","",Variants!$C406&amp;" — "&amp;Variants!$E406&amp;IF(Variants!$F406=""," "," "&amp;Variants!$F406)&amp;" — "&amp;Variants!$H406)</f>
        <v>Vishab Pendant — Vishab  — white-blue</v>
      </c>
      <c r="B405" s="21" t="str">
        <f aca="false">IFERROR(IF(Variants!$B406="","",VLOOKUP(Variants!$B406,Designs!$A$3:$AP$165,9,FALSE())&amp;" Handmade in Armenia."),"")</f>
        <v>Vishaps are ancient Armenian dragon-stones (vishapakar) found in the highlands, among the oldest carved monuments in the region. Handmade in Armenia.</v>
      </c>
      <c r="C405" s="18" t="n">
        <f aca="false">IF(Variants!$J406="","",Variants!$J406)</f>
        <v>49.4</v>
      </c>
      <c r="D405" s="21" t="n">
        <f aca="false">IF(Variants!$O406="","",Variants!$O406)</f>
        <v>0</v>
      </c>
      <c r="E405" s="21" t="str">
        <f aca="false">Variants!$A406</f>
        <v>KARNI-PEND-VISHAB-M-WHITE-BLUE</v>
      </c>
      <c r="F405" s="21" t="str">
        <f aca="false">IF(Variants!$E406="","",Variants!$E406&amp;", Armenian, handmade, enamel, "&amp;Variants!$D406)</f>
        <v>Vishab, Armenian, handmade, enamel, Pendant</v>
      </c>
      <c r="G405" s="21" t="str">
        <f aca="false">IFERROR(VLOOKUP(Variants!$B406,Designs!$A$3:$AP$165,12,FALSE())&amp;", enamel","")</f>
        <v>925 Silver Gold-Plated, enamel</v>
      </c>
      <c r="H405" s="21" t="str">
        <f aca="false">IF(Variants!$B406="","","I did")</f>
        <v>I did</v>
      </c>
      <c r="I405" s="21" t="str">
        <f aca="false">IF(Variants!$B406="","","Made to order")</f>
        <v>Made to order</v>
      </c>
      <c r="J405" s="21" t="str">
        <f aca="false">IF(Variants!$D406="","",Variants!$D406)</f>
        <v>Pendant</v>
      </c>
      <c r="K405" s="21" t="str">
        <f aca="false">IF(Variants!$Y406="","",Variants!$Y406)</f>
        <v/>
      </c>
      <c r="L405" s="21" t="str">
        <f aca="false">IF(Variants!$H406="","",Variants!$H406)</f>
        <v>white-blue</v>
      </c>
      <c r="M405" s="21" t="str">
        <f aca="false">IF(Variants!$G406="","",Variants!$G406)</f>
        <v>medium</v>
      </c>
    </row>
    <row r="406" customFormat="false" ht="15.75" hidden="false" customHeight="true" outlineLevel="0" collapsed="false">
      <c r="A406" s="21" t="str">
        <f aca="false">IF(Variants!$B407="","",Variants!$C407&amp;" — "&amp;Variants!$E407&amp;IF(Variants!$F407=""," "," "&amp;Variants!$F407)&amp;" — "&amp;Variants!$H407)</f>
        <v>Vishab Pendant — Vishab  — blue-red</v>
      </c>
      <c r="B406" s="21" t="str">
        <f aca="false">IFERROR(IF(Variants!$B407="","",VLOOKUP(Variants!$B407,Designs!$A$3:$AP$165,9,FALSE())&amp;" Handmade in Armenia."),"")</f>
        <v>Vishaps are ancient Armenian dragon-stones (vishapakar) found in the highlands, among the oldest carved monuments in the region. Handmade in Armenia.</v>
      </c>
      <c r="C406" s="18" t="n">
        <f aca="false">IF(Variants!$J407="","",Variants!$J407)</f>
        <v>49.4</v>
      </c>
      <c r="D406" s="21" t="n">
        <f aca="false">IF(Variants!$O407="","",Variants!$O407)</f>
        <v>0</v>
      </c>
      <c r="E406" s="21" t="str">
        <f aca="false">Variants!$A407</f>
        <v>KARNI-PEND-VISHAB-M-BLUE-RED</v>
      </c>
      <c r="F406" s="21" t="str">
        <f aca="false">IF(Variants!$E407="","",Variants!$E407&amp;", Armenian, handmade, enamel, "&amp;Variants!$D407)</f>
        <v>Vishab, Armenian, handmade, enamel, Pendant</v>
      </c>
      <c r="G406" s="21" t="str">
        <f aca="false">IFERROR(VLOOKUP(Variants!$B407,Designs!$A$3:$AP$165,12,FALSE())&amp;", enamel","")</f>
        <v>925 Silver Gold-Plated, enamel</v>
      </c>
      <c r="H406" s="21" t="str">
        <f aca="false">IF(Variants!$B407="","","I did")</f>
        <v>I did</v>
      </c>
      <c r="I406" s="21" t="str">
        <f aca="false">IF(Variants!$B407="","","Made to order")</f>
        <v>Made to order</v>
      </c>
      <c r="J406" s="21" t="str">
        <f aca="false">IF(Variants!$D407="","",Variants!$D407)</f>
        <v>Pendant</v>
      </c>
      <c r="K406" s="21" t="str">
        <f aca="false">IF(Variants!$Y407="","",Variants!$Y407)</f>
        <v/>
      </c>
      <c r="L406" s="21" t="str">
        <f aca="false">IF(Variants!$H407="","",Variants!$H407)</f>
        <v>blue-red</v>
      </c>
      <c r="M406" s="21" t="str">
        <f aca="false">IF(Variants!$G407="","",Variants!$G407)</f>
        <v>medium</v>
      </c>
    </row>
    <row r="407" customFormat="false" ht="15.75" hidden="false" customHeight="true" outlineLevel="0" collapsed="false">
      <c r="A407" s="21" t="str">
        <f aca="false">IF(Variants!$B408="","",Variants!$C408&amp;" — "&amp;Variants!$E408&amp;IF(Variants!$F408=""," "," "&amp;Variants!$F408)&amp;" — "&amp;Variants!$H408)</f>
        <v>Vishab Pendant — Vishab  — white-bordeaux</v>
      </c>
      <c r="B407" s="21" t="str">
        <f aca="false">IFERROR(IF(Variants!$B408="","",VLOOKUP(Variants!$B408,Designs!$A$3:$AP$165,9,FALSE())&amp;" Handmade in Armenia."),"")</f>
        <v>Vishaps are ancient Armenian dragon-stones (vishapakar) found in the highlands, among the oldest carved monuments in the region. Handmade in Armenia.</v>
      </c>
      <c r="C407" s="18" t="n">
        <f aca="false">IF(Variants!$J408="","",Variants!$J408)</f>
        <v>49.4</v>
      </c>
      <c r="D407" s="21" t="n">
        <f aca="false">IF(Variants!$O408="","",Variants!$O408)</f>
        <v>0</v>
      </c>
      <c r="E407" s="21" t="str">
        <f aca="false">Variants!$A408</f>
        <v>KARNI-PEND-VISHAB-M-WHITE-BORDEAUX</v>
      </c>
      <c r="F407" s="21" t="str">
        <f aca="false">IF(Variants!$E408="","",Variants!$E408&amp;", Armenian, handmade, enamel, "&amp;Variants!$D408)</f>
        <v>Vishab, Armenian, handmade, enamel, Pendant</v>
      </c>
      <c r="G407" s="21" t="str">
        <f aca="false">IFERROR(VLOOKUP(Variants!$B408,Designs!$A$3:$AP$165,12,FALSE())&amp;", enamel","")</f>
        <v>925 Silver Gold-Plated, enamel</v>
      </c>
      <c r="H407" s="21" t="str">
        <f aca="false">IF(Variants!$B408="","","I did")</f>
        <v>I did</v>
      </c>
      <c r="I407" s="21" t="str">
        <f aca="false">IF(Variants!$B408="","","Made to order")</f>
        <v>Made to order</v>
      </c>
      <c r="J407" s="21" t="str">
        <f aca="false">IF(Variants!$D408="","",Variants!$D408)</f>
        <v>Pendant</v>
      </c>
      <c r="K407" s="21" t="str">
        <f aca="false">IF(Variants!$Y408="","",Variants!$Y408)</f>
        <v/>
      </c>
      <c r="L407" s="21" t="str">
        <f aca="false">IF(Variants!$H408="","",Variants!$H408)</f>
        <v>white-bordeaux</v>
      </c>
      <c r="M407" s="21" t="str">
        <f aca="false">IF(Variants!$G408="","",Variants!$G408)</f>
        <v>medium</v>
      </c>
    </row>
    <row r="408" customFormat="false" ht="15.75" hidden="false" customHeight="true" outlineLevel="0" collapsed="false">
      <c r="A408" s="21" t="str">
        <f aca="false">IF(Variants!$B409="","",Variants!$C409&amp;" — "&amp;Variants!$E409&amp;IF(Variants!$F409=""," "," "&amp;Variants!$F409)&amp;" — "&amp;Variants!$H409)</f>
        <v>Vishab Pendant — Vishab  — turquoise-blue</v>
      </c>
      <c r="B408" s="21" t="str">
        <f aca="false">IFERROR(IF(Variants!$B409="","",VLOOKUP(Variants!$B409,Designs!$A$3:$AP$165,9,FALSE())&amp;" Handmade in Armenia."),"")</f>
        <v>Vishaps are ancient Armenian dragon-stones (vishapakar) found in the highlands, among the oldest carved monuments in the region. Handmade in Armenia.</v>
      </c>
      <c r="C408" s="18" t="n">
        <f aca="false">IF(Variants!$J409="","",Variants!$J409)</f>
        <v>49.4</v>
      </c>
      <c r="D408" s="21" t="n">
        <f aca="false">IF(Variants!$O409="","",Variants!$O409)</f>
        <v>0</v>
      </c>
      <c r="E408" s="21" t="str">
        <f aca="false">Variants!$A409</f>
        <v>KARNI-PEND-VISHAB-M-TURQUOISE-BLUE</v>
      </c>
      <c r="F408" s="21" t="str">
        <f aca="false">IF(Variants!$E409="","",Variants!$E409&amp;", Armenian, handmade, enamel, "&amp;Variants!$D409)</f>
        <v>Vishab, Armenian, handmade, enamel, Pendant</v>
      </c>
      <c r="G408" s="21" t="str">
        <f aca="false">IFERROR(VLOOKUP(Variants!$B409,Designs!$A$3:$AP$165,12,FALSE())&amp;", enamel","")</f>
        <v>925 Silver Gold-Plated, enamel</v>
      </c>
      <c r="H408" s="21" t="str">
        <f aca="false">IF(Variants!$B409="","","I did")</f>
        <v>I did</v>
      </c>
      <c r="I408" s="21" t="str">
        <f aca="false">IF(Variants!$B409="","","Made to order")</f>
        <v>Made to order</v>
      </c>
      <c r="J408" s="21" t="str">
        <f aca="false">IF(Variants!$D409="","",Variants!$D409)</f>
        <v>Pendant</v>
      </c>
      <c r="K408" s="21" t="str">
        <f aca="false">IF(Variants!$Y409="","",Variants!$Y409)</f>
        <v/>
      </c>
      <c r="L408" s="21" t="str">
        <f aca="false">IF(Variants!$H409="","",Variants!$H409)</f>
        <v>turquoise-blue</v>
      </c>
      <c r="M408" s="21" t="str">
        <f aca="false">IF(Variants!$G409="","",Variants!$G409)</f>
        <v>medium</v>
      </c>
    </row>
    <row r="409" customFormat="false" ht="15.75" hidden="false" customHeight="true" outlineLevel="0" collapsed="false">
      <c r="A409" s="21" t="str">
        <f aca="false">IF(Variants!$B410="","",Variants!$C410&amp;" — "&amp;Variants!$E410&amp;IF(Variants!$F410=""," "," "&amp;Variants!$F410)&amp;" — "&amp;Variants!$H410)</f>
        <v>Արեւագորգի Վիշապ — Vishab Arevagorg  — white-blue-yellow</v>
      </c>
      <c r="B409" s="21" t="str">
        <f aca="false">IFERROR(IF(Variants!$B410="","",VLOOKUP(Variants!$B410,Designs!$A$3:$AP$165,9,FALSE())&amp;" Handmade in Armenia."),"")</f>
        <v>Combines the vishap (dragon) motif with the arevagorg (sun-carpet) — an Armenian solar ornament symbolising life and eternity. Handmade in Armenia.</v>
      </c>
      <c r="C409" s="18" t="n">
        <f aca="false">IF(Variants!$J410="","",Variants!$J410)</f>
        <v>49.4</v>
      </c>
      <c r="D409" s="21" t="n">
        <f aca="false">IF(Variants!$O410="","",Variants!$O410)</f>
        <v>0</v>
      </c>
      <c r="E409" s="21" t="str">
        <f aca="false">Variants!$A410</f>
        <v>KARNI-PEND-VISHABAREVAGORG-M-WHITE-BLUE-YELLOW</v>
      </c>
      <c r="F409" s="21" t="str">
        <f aca="false">IF(Variants!$E410="","",Variants!$E410&amp;", Armenian, handmade, enamel, "&amp;Variants!$D410)</f>
        <v>Vishab Arevagorg, Armenian, handmade, enamel, Pendant</v>
      </c>
      <c r="G409" s="21" t="str">
        <f aca="false">IFERROR(VLOOKUP(Variants!$B410,Designs!$A$3:$AP$165,12,FALSE())&amp;", enamel","")</f>
        <v>925 Silver Gold-Plated, enamel</v>
      </c>
      <c r="H409" s="21" t="str">
        <f aca="false">IF(Variants!$B410="","","I did")</f>
        <v>I did</v>
      </c>
      <c r="I409" s="21" t="str">
        <f aca="false">IF(Variants!$B410="","","Made to order")</f>
        <v>Made to order</v>
      </c>
      <c r="J409" s="21" t="str">
        <f aca="false">IF(Variants!$D410="","",Variants!$D410)</f>
        <v>Pendant</v>
      </c>
      <c r="K409" s="21" t="str">
        <f aca="false">IF(Variants!$Y410="","",Variants!$Y410)</f>
        <v/>
      </c>
      <c r="L409" s="21" t="str">
        <f aca="false">IF(Variants!$H410="","",Variants!$H410)</f>
        <v>white-blue-yellow</v>
      </c>
      <c r="M409" s="21" t="str">
        <f aca="false">IF(Variants!$G410="","",Variants!$G410)</f>
        <v>medium</v>
      </c>
    </row>
    <row r="410" customFormat="false" ht="15.75" hidden="false" customHeight="true" outlineLevel="0" collapsed="false">
      <c r="A410" s="21" t="str">
        <f aca="false">IF(Variants!$B411="","",Variants!$C411&amp;" — "&amp;Variants!$E411&amp;IF(Variants!$F411=""," "," "&amp;Variants!$F411)&amp;" — "&amp;Variants!$H411)</f>
        <v>Արեւագորգի Վիշապ — Vishab Arevagorg  — white-blue-red</v>
      </c>
      <c r="B410" s="21" t="str">
        <f aca="false">IFERROR(IF(Variants!$B411="","",VLOOKUP(Variants!$B411,Designs!$A$3:$AP$165,9,FALSE())&amp;" Handmade in Armenia."),"")</f>
        <v>Combines the vishap (dragon) motif with the arevagorg (sun-carpet) — an Armenian solar ornament symbolising life and eternity. Handmade in Armenia.</v>
      </c>
      <c r="C410" s="18" t="n">
        <f aca="false">IF(Variants!$J411="","",Variants!$J411)</f>
        <v>49.4</v>
      </c>
      <c r="D410" s="21" t="n">
        <f aca="false">IF(Variants!$O411="","",Variants!$O411)</f>
        <v>0</v>
      </c>
      <c r="E410" s="21" t="str">
        <f aca="false">Variants!$A411</f>
        <v>KARNI-PEND-VISHABAREVAGORG-M-WHITE-BLUE-RED</v>
      </c>
      <c r="F410" s="21" t="str">
        <f aca="false">IF(Variants!$E411="","",Variants!$E411&amp;", Armenian, handmade, enamel, "&amp;Variants!$D411)</f>
        <v>Vishab Arevagorg, Armenian, handmade, enamel, Pendant</v>
      </c>
      <c r="G410" s="21" t="str">
        <f aca="false">IFERROR(VLOOKUP(Variants!$B411,Designs!$A$3:$AP$165,12,FALSE())&amp;", enamel","")</f>
        <v>925 Silver Gold-Plated, enamel</v>
      </c>
      <c r="H410" s="21" t="str">
        <f aca="false">IF(Variants!$B411="","","I did")</f>
        <v>I did</v>
      </c>
      <c r="I410" s="21" t="str">
        <f aca="false">IF(Variants!$B411="","","Made to order")</f>
        <v>Made to order</v>
      </c>
      <c r="J410" s="21" t="str">
        <f aca="false">IF(Variants!$D411="","",Variants!$D411)</f>
        <v>Pendant</v>
      </c>
      <c r="K410" s="21" t="str">
        <f aca="false">IF(Variants!$Y411="","",Variants!$Y411)</f>
        <v/>
      </c>
      <c r="L410" s="21" t="str">
        <f aca="false">IF(Variants!$H411="","",Variants!$H411)</f>
        <v>white-blue-red</v>
      </c>
      <c r="M410" s="21" t="str">
        <f aca="false">IF(Variants!$G411="","",Variants!$G411)</f>
        <v>medium</v>
      </c>
    </row>
    <row r="411" customFormat="false" ht="15.75" hidden="false" customHeight="true" outlineLevel="0" collapsed="false">
      <c r="A411" s="21" t="str">
        <f aca="false">IF(Variants!$B412="","",Variants!$C412&amp;" — "&amp;Variants!$E412&amp;IF(Variants!$F412=""," "," "&amp;Variants!$F412)&amp;" — "&amp;Variants!$H412)</f>
        <v>Արեւագորգի Վիշապ — Vishab Arevagorg  — white-bordeaux-green</v>
      </c>
      <c r="B411" s="21" t="str">
        <f aca="false">IFERROR(IF(Variants!$B412="","",VLOOKUP(Variants!$B412,Designs!$A$3:$AP$165,9,FALSE())&amp;" Handmade in Armenia."),"")</f>
        <v>Combines the vishap (dragon) motif with the arevagorg (sun-carpet) — an Armenian solar ornament symbolising life and eternity. Handmade in Armenia.</v>
      </c>
      <c r="C411" s="18" t="n">
        <f aca="false">IF(Variants!$J412="","",Variants!$J412)</f>
        <v>49.4</v>
      </c>
      <c r="D411" s="21" t="n">
        <f aca="false">IF(Variants!$O412="","",Variants!$O412)</f>
        <v>0</v>
      </c>
      <c r="E411" s="21" t="str">
        <f aca="false">Variants!$A412</f>
        <v>KARNI-PEND-VISHABAREVAGORG-M-WHITE-BORDEAUX-GREEN</v>
      </c>
      <c r="F411" s="21" t="str">
        <f aca="false">IF(Variants!$E412="","",Variants!$E412&amp;", Armenian, handmade, enamel, "&amp;Variants!$D412)</f>
        <v>Vishab Arevagorg, Armenian, handmade, enamel, Pendant</v>
      </c>
      <c r="G411" s="21" t="str">
        <f aca="false">IFERROR(VLOOKUP(Variants!$B412,Designs!$A$3:$AP$165,12,FALSE())&amp;", enamel","")</f>
        <v>925 Silver Gold-Plated, enamel</v>
      </c>
      <c r="H411" s="21" t="str">
        <f aca="false">IF(Variants!$B412="","","I did")</f>
        <v>I did</v>
      </c>
      <c r="I411" s="21" t="str">
        <f aca="false">IF(Variants!$B412="","","Made to order")</f>
        <v>Made to order</v>
      </c>
      <c r="J411" s="21" t="str">
        <f aca="false">IF(Variants!$D412="","",Variants!$D412)</f>
        <v>Pendant</v>
      </c>
      <c r="K411" s="21" t="str">
        <f aca="false">IF(Variants!$Y412="","",Variants!$Y412)</f>
        <v/>
      </c>
      <c r="L411" s="21" t="str">
        <f aca="false">IF(Variants!$H412="","",Variants!$H412)</f>
        <v>white-bordeaux-green</v>
      </c>
      <c r="M411" s="21" t="str">
        <f aca="false">IF(Variants!$G412="","",Variants!$G412)</f>
        <v>medium</v>
      </c>
    </row>
    <row r="412" customFormat="false" ht="15.75" hidden="false" customHeight="true" outlineLevel="0" collapsed="false">
      <c r="A412" s="21" t="str">
        <f aca="false">IF(Variants!$B413="","",Variants!$C413&amp;" — "&amp;Variants!$E413&amp;IF(Variants!$F413=""," "," "&amp;Variants!$F413)&amp;" — "&amp;Variants!$H413)</f>
        <v>Արեւագորգի Վիշապ — Vishab Arevagorg  — blue-bordeaux-white</v>
      </c>
      <c r="B412" s="21" t="str">
        <f aca="false">IFERROR(IF(Variants!$B413="","",VLOOKUP(Variants!$B413,Designs!$A$3:$AP$165,9,FALSE())&amp;" Handmade in Armenia."),"")</f>
        <v>Combines the vishap (dragon) motif with the arevagorg (sun-carpet) — an Armenian solar ornament symbolising life and eternity. Handmade in Armenia.</v>
      </c>
      <c r="C412" s="18" t="n">
        <f aca="false">IF(Variants!$J413="","",Variants!$J413)</f>
        <v>49.4</v>
      </c>
      <c r="D412" s="21" t="n">
        <f aca="false">IF(Variants!$O413="","",Variants!$O413)</f>
        <v>0</v>
      </c>
      <c r="E412" s="21" t="str">
        <f aca="false">Variants!$A413</f>
        <v>KARNI-PEND-VISHABAREVAGORG-M-BLUE-BORDEAUX-WHITE</v>
      </c>
      <c r="F412" s="21" t="str">
        <f aca="false">IF(Variants!$E413="","",Variants!$E413&amp;", Armenian, handmade, enamel, "&amp;Variants!$D413)</f>
        <v>Vishab Arevagorg, Armenian, handmade, enamel, Pendant</v>
      </c>
      <c r="G412" s="21" t="str">
        <f aca="false">IFERROR(VLOOKUP(Variants!$B413,Designs!$A$3:$AP$165,12,FALSE())&amp;", enamel","")</f>
        <v>925 Silver Gold-Plated, enamel</v>
      </c>
      <c r="H412" s="21" t="str">
        <f aca="false">IF(Variants!$B413="","","I did")</f>
        <v>I did</v>
      </c>
      <c r="I412" s="21" t="str">
        <f aca="false">IF(Variants!$B413="","","Made to order")</f>
        <v>Made to order</v>
      </c>
      <c r="J412" s="21" t="str">
        <f aca="false">IF(Variants!$D413="","",Variants!$D413)</f>
        <v>Pendant</v>
      </c>
      <c r="K412" s="21" t="str">
        <f aca="false">IF(Variants!$Y413="","",Variants!$Y413)</f>
        <v/>
      </c>
      <c r="L412" s="21" t="str">
        <f aca="false">IF(Variants!$H413="","",Variants!$H413)</f>
        <v>blue-bordeaux-white</v>
      </c>
      <c r="M412" s="21" t="str">
        <f aca="false">IF(Variants!$G413="","",Variants!$G413)</f>
        <v>medium</v>
      </c>
    </row>
    <row r="413" customFormat="false" ht="15.75" hidden="false" customHeight="true" outlineLevel="0" collapsed="false">
      <c r="A413" s="21" t="str">
        <f aca="false">IF(Variants!$B414="","",Variants!$C414&amp;" — "&amp;Variants!$E414&amp;IF(Variants!$F414=""," "," "&amp;Variants!$F414)&amp;" — "&amp;Variants!$H414)</f>
        <v>Marash Pendant — Marash  — white-blue</v>
      </c>
      <c r="B413" s="21" t="str">
        <f aca="false">IFERROR(IF(Variants!$B414="","",VLOOKUP(Variants!$B414,Designs!$A$3:$AP$165,9,FALSE())&amp;" Handmade in Armenia."),"")</f>
        <v>Marash-work is a distinctive Armenian embroidery style from Cilician Marash, known for its interlaced geometric patterns. Handmade in Armenia.</v>
      </c>
      <c r="C413" s="18" t="n">
        <f aca="false">IF(Variants!$J414="","",Variants!$J414)</f>
        <v>76.7</v>
      </c>
      <c r="D413" s="21" t="n">
        <f aca="false">IF(Variants!$O414="","",Variants!$O414)</f>
        <v>0</v>
      </c>
      <c r="E413" s="21" t="str">
        <f aca="false">Variants!$A414</f>
        <v>KARNI-PEND-MARASH-L-WHITE-BLUE</v>
      </c>
      <c r="F413" s="21" t="str">
        <f aca="false">IF(Variants!$E414="","",Variants!$E414&amp;", Armenian, handmade, enamel, "&amp;Variants!$D414)</f>
        <v>Marash, Armenian, handmade, enamel, Pendant</v>
      </c>
      <c r="G413" s="21" t="str">
        <f aca="false">IFERROR(VLOOKUP(Variants!$B414,Designs!$A$3:$AP$165,12,FALSE())&amp;", enamel","")</f>
        <v>925 Silver Gold-Plated, enamel</v>
      </c>
      <c r="H413" s="21" t="str">
        <f aca="false">IF(Variants!$B414="","","I did")</f>
        <v>I did</v>
      </c>
      <c r="I413" s="21" t="str">
        <f aca="false">IF(Variants!$B414="","","Made to order")</f>
        <v>Made to order</v>
      </c>
      <c r="J413" s="21" t="str">
        <f aca="false">IF(Variants!$D414="","",Variants!$D414)</f>
        <v>Pendant</v>
      </c>
      <c r="K413" s="21" t="str">
        <f aca="false">IF(Variants!$Y414="","",Variants!$Y414)</f>
        <v/>
      </c>
      <c r="L413" s="21" t="str">
        <f aca="false">IF(Variants!$H414="","",Variants!$H414)</f>
        <v>white-blue</v>
      </c>
      <c r="M413" s="21" t="str">
        <f aca="false">IF(Variants!$G414="","",Variants!$G414)</f>
        <v>large</v>
      </c>
    </row>
    <row r="414" customFormat="false" ht="15.75" hidden="false" customHeight="true" outlineLevel="0" collapsed="false">
      <c r="A414" s="21" t="str">
        <f aca="false">IF(Variants!$B415="","",Variants!$C415&amp;" — "&amp;Variants!$E415&amp;IF(Variants!$F415=""," "," "&amp;Variants!$F415)&amp;" — "&amp;Variants!$H415)</f>
        <v>Marash Pendant — Marash  — white</v>
      </c>
      <c r="B414" s="21" t="str">
        <f aca="false">IFERROR(IF(Variants!$B415="","",VLOOKUP(Variants!$B415,Designs!$A$3:$AP$165,9,FALSE())&amp;" Handmade in Armenia."),"")</f>
        <v>Marash-work is a distinctive Armenian embroidery style from Cilician Marash, known for its interlaced geometric patterns. Handmade in Armenia.</v>
      </c>
      <c r="C414" s="18" t="n">
        <f aca="false">IF(Variants!$J415="","",Variants!$J415)</f>
        <v>76.7</v>
      </c>
      <c r="D414" s="21" t="n">
        <f aca="false">IF(Variants!$O415="","",Variants!$O415)</f>
        <v>0</v>
      </c>
      <c r="E414" s="21" t="str">
        <f aca="false">Variants!$A415</f>
        <v>KARNI-PEND-MARASH-L-WHITE</v>
      </c>
      <c r="F414" s="21" t="str">
        <f aca="false">IF(Variants!$E415="","",Variants!$E415&amp;", Armenian, handmade, enamel, "&amp;Variants!$D415)</f>
        <v>Marash, Armenian, handmade, enamel, Pendant</v>
      </c>
      <c r="G414" s="21" t="str">
        <f aca="false">IFERROR(VLOOKUP(Variants!$B415,Designs!$A$3:$AP$165,12,FALSE())&amp;", enamel","")</f>
        <v>925 Silver Gold-Plated, enamel</v>
      </c>
      <c r="H414" s="21" t="str">
        <f aca="false">IF(Variants!$B415="","","I did")</f>
        <v>I did</v>
      </c>
      <c r="I414" s="21" t="str">
        <f aca="false">IF(Variants!$B415="","","Made to order")</f>
        <v>Made to order</v>
      </c>
      <c r="J414" s="21" t="str">
        <f aca="false">IF(Variants!$D415="","",Variants!$D415)</f>
        <v>Pendant</v>
      </c>
      <c r="K414" s="21" t="str">
        <f aca="false">IF(Variants!$Y415="","",Variants!$Y415)</f>
        <v/>
      </c>
      <c r="L414" s="21" t="str">
        <f aca="false">IF(Variants!$H415="","",Variants!$H415)</f>
        <v>white</v>
      </c>
      <c r="M414" s="21" t="str">
        <f aca="false">IF(Variants!$G415="","",Variants!$G415)</f>
        <v>large</v>
      </c>
    </row>
    <row r="415" customFormat="false" ht="15.75" hidden="false" customHeight="true" outlineLevel="0" collapsed="false">
      <c r="A415" s="21" t="str">
        <f aca="false">IF(Variants!$B416="","",Variants!$C416&amp;" — "&amp;Variants!$E416&amp;IF(Variants!$F416=""," "," "&amp;Variants!$F416)&amp;" — "&amp;Variants!$H416)</f>
        <v>Marash Pendant — Marash  — bordeaux</v>
      </c>
      <c r="B415" s="21" t="str">
        <f aca="false">IFERROR(IF(Variants!$B416="","",VLOOKUP(Variants!$B416,Designs!$A$3:$AP$165,9,FALSE())&amp;" Handmade in Armenia."),"")</f>
        <v>Marash-work is a distinctive Armenian embroidery style from Cilician Marash, known for its interlaced geometric patterns. Handmade in Armenia.</v>
      </c>
      <c r="C415" s="18" t="n">
        <f aca="false">IF(Variants!$J416="","",Variants!$J416)</f>
        <v>76.7</v>
      </c>
      <c r="D415" s="21" t="n">
        <f aca="false">IF(Variants!$O416="","",Variants!$O416)</f>
        <v>0</v>
      </c>
      <c r="E415" s="21" t="str">
        <f aca="false">Variants!$A416</f>
        <v>KARNI-PEND-MARASH-L-BORDEAUX</v>
      </c>
      <c r="F415" s="21" t="str">
        <f aca="false">IF(Variants!$E416="","",Variants!$E416&amp;", Armenian, handmade, enamel, "&amp;Variants!$D416)</f>
        <v>Marash, Armenian, handmade, enamel, Pendant</v>
      </c>
      <c r="G415" s="21" t="str">
        <f aca="false">IFERROR(VLOOKUP(Variants!$B416,Designs!$A$3:$AP$165,12,FALSE())&amp;", enamel","")</f>
        <v>925 Silver Gold-Plated, enamel</v>
      </c>
      <c r="H415" s="21" t="str">
        <f aca="false">IF(Variants!$B416="","","I did")</f>
        <v>I did</v>
      </c>
      <c r="I415" s="21" t="str">
        <f aca="false">IF(Variants!$B416="","","Made to order")</f>
        <v>Made to order</v>
      </c>
      <c r="J415" s="21" t="str">
        <f aca="false">IF(Variants!$D416="","",Variants!$D416)</f>
        <v>Pendant</v>
      </c>
      <c r="K415" s="21" t="str">
        <f aca="false">IF(Variants!$Y416="","",Variants!$Y416)</f>
        <v/>
      </c>
      <c r="L415" s="21" t="str">
        <f aca="false">IF(Variants!$H416="","",Variants!$H416)</f>
        <v>bordeaux</v>
      </c>
      <c r="M415" s="21" t="str">
        <f aca="false">IF(Variants!$G416="","",Variants!$G416)</f>
        <v>large</v>
      </c>
    </row>
    <row r="416" customFormat="false" ht="15.75" hidden="false" customHeight="true" outlineLevel="0" collapsed="false">
      <c r="A416" s="21" t="str">
        <f aca="false">IF(Variants!$B417="","",Variants!$C417&amp;" — "&amp;Variants!$E417&amp;IF(Variants!$F417=""," "," "&amp;Variants!$F417)&amp;" — "&amp;Variants!$H417)</f>
        <v>Marash Pendant — Marash  — white-green</v>
      </c>
      <c r="B416" s="21" t="str">
        <f aca="false">IFERROR(IF(Variants!$B417="","",VLOOKUP(Variants!$B417,Designs!$A$3:$AP$165,9,FALSE())&amp;" Handmade in Armenia."),"")</f>
        <v>Marash-work is a distinctive Armenian embroidery style from Cilician Marash, known for its interlaced geometric patterns. Handmade in Armenia.</v>
      </c>
      <c r="C416" s="18" t="n">
        <f aca="false">IF(Variants!$J417="","",Variants!$J417)</f>
        <v>76.7</v>
      </c>
      <c r="D416" s="21" t="n">
        <f aca="false">IF(Variants!$O417="","",Variants!$O417)</f>
        <v>0</v>
      </c>
      <c r="E416" s="21" t="str">
        <f aca="false">Variants!$A417</f>
        <v>KARNI-PEND-MARASH-L-WHITE-GREEN</v>
      </c>
      <c r="F416" s="21" t="str">
        <f aca="false">IF(Variants!$E417="","",Variants!$E417&amp;", Armenian, handmade, enamel, "&amp;Variants!$D417)</f>
        <v>Marash, Armenian, handmade, enamel, Pendant</v>
      </c>
      <c r="G416" s="21" t="str">
        <f aca="false">IFERROR(VLOOKUP(Variants!$B417,Designs!$A$3:$AP$165,12,FALSE())&amp;", enamel","")</f>
        <v>925 Silver Gold-Plated, enamel</v>
      </c>
      <c r="H416" s="21" t="str">
        <f aca="false">IF(Variants!$B417="","","I did")</f>
        <v>I did</v>
      </c>
      <c r="I416" s="21" t="str">
        <f aca="false">IF(Variants!$B417="","","Made to order")</f>
        <v>Made to order</v>
      </c>
      <c r="J416" s="21" t="str">
        <f aca="false">IF(Variants!$D417="","",Variants!$D417)</f>
        <v>Pendant</v>
      </c>
      <c r="K416" s="21" t="str">
        <f aca="false">IF(Variants!$Y417="","",Variants!$Y417)</f>
        <v/>
      </c>
      <c r="L416" s="21" t="str">
        <f aca="false">IF(Variants!$H417="","",Variants!$H417)</f>
        <v>white-green</v>
      </c>
      <c r="M416" s="21" t="str">
        <f aca="false">IF(Variants!$G417="","",Variants!$G417)</f>
        <v>large</v>
      </c>
    </row>
    <row r="417" customFormat="false" ht="15.75" hidden="false" customHeight="true" outlineLevel="0" collapsed="false">
      <c r="A417" s="21" t="str">
        <f aca="false">IF(Variants!$B418="","",Variants!$C418&amp;" — "&amp;Variants!$E418&amp;IF(Variants!$F418=""," "," "&amp;Variants!$F418)&amp;" — "&amp;Variants!$H418)</f>
        <v>Marash Pendant — Marash  — white-golden</v>
      </c>
      <c r="B417" s="21" t="str">
        <f aca="false">IFERROR(IF(Variants!$B418="","",VLOOKUP(Variants!$B418,Designs!$A$3:$AP$165,9,FALSE())&amp;" Handmade in Armenia."),"")</f>
        <v>Marash-work is a distinctive Armenian embroidery style from Cilician Marash, known for its interlaced geometric patterns. Handmade in Armenia.</v>
      </c>
      <c r="C417" s="18" t="n">
        <f aca="false">IF(Variants!$J418="","",Variants!$J418)</f>
        <v>76.7</v>
      </c>
      <c r="D417" s="21" t="n">
        <f aca="false">IF(Variants!$O418="","",Variants!$O418)</f>
        <v>0</v>
      </c>
      <c r="E417" s="21" t="str">
        <f aca="false">Variants!$A418</f>
        <v>KARNI-PEND-MARASH-L-WHITE-GOLDEN</v>
      </c>
      <c r="F417" s="21" t="str">
        <f aca="false">IF(Variants!$E418="","",Variants!$E418&amp;", Armenian, handmade, enamel, "&amp;Variants!$D418)</f>
        <v>Marash, Armenian, handmade, enamel, Pendant</v>
      </c>
      <c r="G417" s="21" t="str">
        <f aca="false">IFERROR(VLOOKUP(Variants!$B418,Designs!$A$3:$AP$165,12,FALSE())&amp;", enamel","")</f>
        <v>925 Silver Gold-Plated, enamel</v>
      </c>
      <c r="H417" s="21" t="str">
        <f aca="false">IF(Variants!$B418="","","I did")</f>
        <v>I did</v>
      </c>
      <c r="I417" s="21" t="str">
        <f aca="false">IF(Variants!$B418="","","Made to order")</f>
        <v>Made to order</v>
      </c>
      <c r="J417" s="21" t="str">
        <f aca="false">IF(Variants!$D418="","",Variants!$D418)</f>
        <v>Pendant</v>
      </c>
      <c r="K417" s="21" t="str">
        <f aca="false">IF(Variants!$Y418="","",Variants!$Y418)</f>
        <v/>
      </c>
      <c r="L417" s="21" t="str">
        <f aca="false">IF(Variants!$H418="","",Variants!$H418)</f>
        <v>white-golden</v>
      </c>
      <c r="M417" s="21" t="str">
        <f aca="false">IF(Variants!$G418="","",Variants!$G418)</f>
        <v>large</v>
      </c>
    </row>
    <row r="418" customFormat="false" ht="15.75" hidden="false" customHeight="true" outlineLevel="0" collapsed="false">
      <c r="A418" s="21" t="str">
        <f aca="false">IF(Variants!$B419="","",Variants!$C419&amp;" — "&amp;Variants!$E419&amp;IF(Variants!$F419=""," "," "&amp;Variants!$F419)&amp;" — "&amp;Variants!$H419)</f>
        <v>Marash Pendant — Marash  — white-turquoise</v>
      </c>
      <c r="B418" s="21" t="str">
        <f aca="false">IFERROR(IF(Variants!$B419="","",VLOOKUP(Variants!$B419,Designs!$A$3:$AP$165,9,FALSE())&amp;" Handmade in Armenia."),"")</f>
        <v>Marash-work is a distinctive Armenian embroidery style from Cilician Marash, known for its interlaced geometric patterns. Handmade in Armenia.</v>
      </c>
      <c r="C418" s="18" t="n">
        <f aca="false">IF(Variants!$J419="","",Variants!$J419)</f>
        <v>76.7</v>
      </c>
      <c r="D418" s="21" t="n">
        <f aca="false">IF(Variants!$O419="","",Variants!$O419)</f>
        <v>0</v>
      </c>
      <c r="E418" s="21" t="str">
        <f aca="false">Variants!$A419</f>
        <v>KARNI-PEND-MARASH-L-WHITE-TURQUOISE</v>
      </c>
      <c r="F418" s="21" t="str">
        <f aca="false">IF(Variants!$E419="","",Variants!$E419&amp;", Armenian, handmade, enamel, "&amp;Variants!$D419)</f>
        <v>Marash, Armenian, handmade, enamel, Pendant</v>
      </c>
      <c r="G418" s="21" t="str">
        <f aca="false">IFERROR(VLOOKUP(Variants!$B419,Designs!$A$3:$AP$165,12,FALSE())&amp;", enamel","")</f>
        <v>925 Silver Gold-Plated, enamel</v>
      </c>
      <c r="H418" s="21" t="str">
        <f aca="false">IF(Variants!$B419="","","I did")</f>
        <v>I did</v>
      </c>
      <c r="I418" s="21" t="str">
        <f aca="false">IF(Variants!$B419="","","Made to order")</f>
        <v>Made to order</v>
      </c>
      <c r="J418" s="21" t="str">
        <f aca="false">IF(Variants!$D419="","",Variants!$D419)</f>
        <v>Pendant</v>
      </c>
      <c r="K418" s="21" t="str">
        <f aca="false">IF(Variants!$Y419="","",Variants!$Y419)</f>
        <v/>
      </c>
      <c r="L418" s="21" t="str">
        <f aca="false">IF(Variants!$H419="","",Variants!$H419)</f>
        <v>white-turquoise</v>
      </c>
      <c r="M418" s="21" t="str">
        <f aca="false">IF(Variants!$G419="","",Variants!$G419)</f>
        <v>large</v>
      </c>
    </row>
    <row r="419" customFormat="false" ht="15.75" hidden="false" customHeight="true" outlineLevel="0" collapsed="false">
      <c r="A419" s="21" t="str">
        <f aca="false">IF(Variants!$B420="","",Variants!$C420&amp;" — "&amp;Variants!$E420&amp;IF(Variants!$F420=""," "," "&amp;Variants!$F420)&amp;" — "&amp;Variants!$H420)</f>
        <v>Van Pendant — Van  — blue</v>
      </c>
      <c r="B419" s="21" t="str">
        <f aca="false">IFERROR(IF(Variants!$B420="","",VLOOKUP(Variants!$B420,Designs!$A$3:$AP$165,9,FALSE())&amp;" Handmade in Armenia."),"")</f>
        <v>Motifs from the Van/Vaspurakan region, echoing the ornament of the Lake Van heartland of historic Armenia. Handmade in Armenia.</v>
      </c>
      <c r="C419" s="18" t="n">
        <f aca="false">IF(Variants!$J420="","",Variants!$J420)</f>
        <v>76.7</v>
      </c>
      <c r="D419" s="21" t="n">
        <f aca="false">IF(Variants!$O420="","",Variants!$O420)</f>
        <v>0</v>
      </c>
      <c r="E419" s="21" t="str">
        <f aca="false">Variants!$A420</f>
        <v>KARNI-PEND-VAN-L-BLUE</v>
      </c>
      <c r="F419" s="21" t="str">
        <f aca="false">IF(Variants!$E420="","",Variants!$E420&amp;", Armenian, handmade, enamel, "&amp;Variants!$D420)</f>
        <v>Van, Armenian, handmade, enamel, Pendant</v>
      </c>
      <c r="G419" s="21" t="str">
        <f aca="false">IFERROR(VLOOKUP(Variants!$B420,Designs!$A$3:$AP$165,12,FALSE())&amp;", enamel","")</f>
        <v>925 Silver Gold-Plated, enamel</v>
      </c>
      <c r="H419" s="21" t="str">
        <f aca="false">IF(Variants!$B420="","","I did")</f>
        <v>I did</v>
      </c>
      <c r="I419" s="21" t="str">
        <f aca="false">IF(Variants!$B420="","","Made to order")</f>
        <v>Made to order</v>
      </c>
      <c r="J419" s="21" t="str">
        <f aca="false">IF(Variants!$D420="","",Variants!$D420)</f>
        <v>Pendant</v>
      </c>
      <c r="K419" s="21" t="str">
        <f aca="false">IF(Variants!$Y420="","",Variants!$Y420)</f>
        <v/>
      </c>
      <c r="L419" s="21" t="str">
        <f aca="false">IF(Variants!$H420="","",Variants!$H420)</f>
        <v>blue</v>
      </c>
      <c r="M419" s="21" t="str">
        <f aca="false">IF(Variants!$G420="","",Variants!$G420)</f>
        <v>large</v>
      </c>
    </row>
    <row r="420" customFormat="false" ht="15.75" hidden="false" customHeight="true" outlineLevel="0" collapsed="false">
      <c r="A420" s="21" t="str">
        <f aca="false">IF(Variants!$B421="","",Variants!$C421&amp;" — "&amp;Variants!$E421&amp;IF(Variants!$F421=""," "," "&amp;Variants!$F421)&amp;" — "&amp;Variants!$H421)</f>
        <v>Artsakhi Khachanakhsh Pendant — Artsakhi Khachanakhsh  — white-blue</v>
      </c>
      <c r="B420" s="21" t="str">
        <f aca="false">IFERROR(IF(Variants!$B421="","",VLOOKUP(Variants!$B421,Designs!$A$3:$AP$165,9,FALSE())&amp;" Handmade in Armenia."),"")</f>
        <v>Cross-ornament patterns from Artsakh, carrying the carved cross-stone heritage of the region. Handmade in Armenia.</v>
      </c>
      <c r="C420" s="18" t="n">
        <f aca="false">IF(Variants!$J421="","",Variants!$J421)</f>
        <v>76.7</v>
      </c>
      <c r="D420" s="21" t="n">
        <f aca="false">IF(Variants!$O421="","",Variants!$O421)</f>
        <v>0</v>
      </c>
      <c r="E420" s="21" t="str">
        <f aca="false">Variants!$A421</f>
        <v>KARNI-PEND-ARTSAKHIKHACHANAKHSH-L-WHITE-BLUE</v>
      </c>
      <c r="F420" s="21" t="str">
        <f aca="false">IF(Variants!$E421="","",Variants!$E421&amp;", Armenian, handmade, enamel, "&amp;Variants!$D421)</f>
        <v>Artsakhi Khachanakhsh, Armenian, handmade, enamel, Pendant</v>
      </c>
      <c r="G420" s="21" t="str">
        <f aca="false">IFERROR(VLOOKUP(Variants!$B421,Designs!$A$3:$AP$165,12,FALSE())&amp;", enamel","")</f>
        <v>925 Silver Gold-Plated, enamel</v>
      </c>
      <c r="H420" s="21" t="str">
        <f aca="false">IF(Variants!$B421="","","I did")</f>
        <v>I did</v>
      </c>
      <c r="I420" s="21" t="str">
        <f aca="false">IF(Variants!$B421="","","Made to order")</f>
        <v>Made to order</v>
      </c>
      <c r="J420" s="21" t="str">
        <f aca="false">IF(Variants!$D421="","",Variants!$D421)</f>
        <v>Pendant</v>
      </c>
      <c r="K420" s="21" t="str">
        <f aca="false">IF(Variants!$Y421="","",Variants!$Y421)</f>
        <v/>
      </c>
      <c r="L420" s="21" t="str">
        <f aca="false">IF(Variants!$H421="","",Variants!$H421)</f>
        <v>white-blue</v>
      </c>
      <c r="M420" s="21" t="str">
        <f aca="false">IF(Variants!$G421="","",Variants!$G421)</f>
        <v>large</v>
      </c>
    </row>
    <row r="421" customFormat="false" ht="15.75" hidden="false" customHeight="true" outlineLevel="0" collapsed="false">
      <c r="A421" s="21" t="str">
        <f aca="false">IF(Variants!$B422="","",Variants!$C422&amp;" — "&amp;Variants!$E422&amp;IF(Variants!$F422=""," "," "&amp;Variants!$F422)&amp;" — "&amp;Variants!$H422)</f>
        <v>Artsakhi Khachanakhsh Pendant — Artsakhi Khachanakhsh  — white-bordeaux</v>
      </c>
      <c r="B421" s="21" t="str">
        <f aca="false">IFERROR(IF(Variants!$B422="","",VLOOKUP(Variants!$B422,Designs!$A$3:$AP$165,9,FALSE())&amp;" Handmade in Armenia."),"")</f>
        <v>Cross-ornament patterns from Artsakh, carrying the carved cross-stone heritage of the region. Handmade in Armenia.</v>
      </c>
      <c r="C421" s="18" t="n">
        <f aca="false">IF(Variants!$J422="","",Variants!$J422)</f>
        <v>76.7</v>
      </c>
      <c r="D421" s="21" t="n">
        <f aca="false">IF(Variants!$O422="","",Variants!$O422)</f>
        <v>0</v>
      </c>
      <c r="E421" s="21" t="str">
        <f aca="false">Variants!$A422</f>
        <v>KARNI-PEND-ARTSAKHIKHACHANAKHSH-L-WHITE-BORDEAUX</v>
      </c>
      <c r="F421" s="21" t="str">
        <f aca="false">IF(Variants!$E422="","",Variants!$E422&amp;", Armenian, handmade, enamel, "&amp;Variants!$D422)</f>
        <v>Artsakhi Khachanakhsh, Armenian, handmade, enamel, Pendant</v>
      </c>
      <c r="G421" s="21" t="str">
        <f aca="false">IFERROR(VLOOKUP(Variants!$B422,Designs!$A$3:$AP$165,12,FALSE())&amp;", enamel","")</f>
        <v>925 Silver Gold-Plated, enamel</v>
      </c>
      <c r="H421" s="21" t="str">
        <f aca="false">IF(Variants!$B422="","","I did")</f>
        <v>I did</v>
      </c>
      <c r="I421" s="21" t="str">
        <f aca="false">IF(Variants!$B422="","","Made to order")</f>
        <v>Made to order</v>
      </c>
      <c r="J421" s="21" t="str">
        <f aca="false">IF(Variants!$D422="","",Variants!$D422)</f>
        <v>Pendant</v>
      </c>
      <c r="K421" s="21" t="str">
        <f aca="false">IF(Variants!$Y422="","",Variants!$Y422)</f>
        <v/>
      </c>
      <c r="L421" s="21" t="str">
        <f aca="false">IF(Variants!$H422="","",Variants!$H422)</f>
        <v>white-bordeaux</v>
      </c>
      <c r="M421" s="21" t="str">
        <f aca="false">IF(Variants!$G422="","",Variants!$G422)</f>
        <v>large</v>
      </c>
    </row>
    <row r="422" customFormat="false" ht="15.75" hidden="false" customHeight="true" outlineLevel="0" collapsed="false">
      <c r="A422" s="21" t="str">
        <f aca="false">IF(Variants!$B423="","",Variants!$C423&amp;" — "&amp;Variants!$E423&amp;IF(Variants!$F423=""," "," "&amp;Variants!$F423)&amp;" — "&amp;Variants!$H423)</f>
        <v>Vishab Pendant — Vishab  — white-blue</v>
      </c>
      <c r="B422" s="21" t="str">
        <f aca="false">IFERROR(IF(Variants!$B423="","",VLOOKUP(Variants!$B423,Designs!$A$3:$AP$165,9,FALSE())&amp;" Handmade in Armenia."),"")</f>
        <v>Vishaps are ancient Armenian dragon-stones (vishapakar) found in the highlands, among the oldest carved monuments in the region. Handmade in Armenia.</v>
      </c>
      <c r="C422" s="18" t="n">
        <f aca="false">IF(Variants!$J423="","",Variants!$J423)</f>
        <v>76.7</v>
      </c>
      <c r="D422" s="21" t="n">
        <f aca="false">IF(Variants!$O423="","",Variants!$O423)</f>
        <v>0</v>
      </c>
      <c r="E422" s="21" t="str">
        <f aca="false">Variants!$A423</f>
        <v>KARNI-PEND-VISHAB-L-WHITE-BLUE</v>
      </c>
      <c r="F422" s="21" t="str">
        <f aca="false">IF(Variants!$E423="","",Variants!$E423&amp;", Armenian, handmade, enamel, "&amp;Variants!$D423)</f>
        <v>Vishab, Armenian, handmade, enamel, Pendant</v>
      </c>
      <c r="G422" s="21" t="str">
        <f aca="false">IFERROR(VLOOKUP(Variants!$B423,Designs!$A$3:$AP$165,12,FALSE())&amp;", enamel","")</f>
        <v>925 Silver Gold-Plated, enamel</v>
      </c>
      <c r="H422" s="21" t="str">
        <f aca="false">IF(Variants!$B423="","","I did")</f>
        <v>I did</v>
      </c>
      <c r="I422" s="21" t="str">
        <f aca="false">IF(Variants!$B423="","","Made to order")</f>
        <v>Made to order</v>
      </c>
      <c r="J422" s="21" t="str">
        <f aca="false">IF(Variants!$D423="","",Variants!$D423)</f>
        <v>Pendant</v>
      </c>
      <c r="K422" s="21" t="str">
        <f aca="false">IF(Variants!$Y423="","",Variants!$Y423)</f>
        <v/>
      </c>
      <c r="L422" s="21" t="str">
        <f aca="false">IF(Variants!$H423="","",Variants!$H423)</f>
        <v>white-blue</v>
      </c>
      <c r="M422" s="21" t="str">
        <f aca="false">IF(Variants!$G423="","",Variants!$G423)</f>
        <v>large</v>
      </c>
    </row>
    <row r="423" customFormat="false" ht="15.75" hidden="false" customHeight="true" outlineLevel="0" collapsed="false">
      <c r="A423" s="21" t="str">
        <f aca="false">IF(Variants!$B424="","",Variants!$C424&amp;" — "&amp;Variants!$E424&amp;IF(Variants!$F424=""," "," "&amp;Variants!$F424)&amp;" — "&amp;Variants!$H424)</f>
        <v>Vishab Pendant — Vishab  — white-bordeaux</v>
      </c>
      <c r="B423" s="21" t="str">
        <f aca="false">IFERROR(IF(Variants!$B424="","",VLOOKUP(Variants!$B424,Designs!$A$3:$AP$165,9,FALSE())&amp;" Handmade in Armenia."),"")</f>
        <v>Vishaps are ancient Armenian dragon-stones (vishapakar) found in the highlands, among the oldest carved monuments in the region. Handmade in Armenia.</v>
      </c>
      <c r="C423" s="18" t="n">
        <f aca="false">IF(Variants!$J424="","",Variants!$J424)</f>
        <v>76.7</v>
      </c>
      <c r="D423" s="21" t="n">
        <f aca="false">IF(Variants!$O424="","",Variants!$O424)</f>
        <v>0</v>
      </c>
      <c r="E423" s="21" t="str">
        <f aca="false">Variants!$A424</f>
        <v>KARNI-PEND-VISHAB-L-WHITE-BORDEAUX</v>
      </c>
      <c r="F423" s="21" t="str">
        <f aca="false">IF(Variants!$E424="","",Variants!$E424&amp;", Armenian, handmade, enamel, "&amp;Variants!$D424)</f>
        <v>Vishab, Armenian, handmade, enamel, Pendant</v>
      </c>
      <c r="G423" s="21" t="str">
        <f aca="false">IFERROR(VLOOKUP(Variants!$B424,Designs!$A$3:$AP$165,12,FALSE())&amp;", enamel","")</f>
        <v>925 Silver Gold-Plated, enamel</v>
      </c>
      <c r="H423" s="21" t="str">
        <f aca="false">IF(Variants!$B424="","","I did")</f>
        <v>I did</v>
      </c>
      <c r="I423" s="21" t="str">
        <f aca="false">IF(Variants!$B424="","","Made to order")</f>
        <v>Made to order</v>
      </c>
      <c r="J423" s="21" t="str">
        <f aca="false">IF(Variants!$D424="","",Variants!$D424)</f>
        <v>Pendant</v>
      </c>
      <c r="K423" s="21" t="str">
        <f aca="false">IF(Variants!$Y424="","",Variants!$Y424)</f>
        <v/>
      </c>
      <c r="L423" s="21" t="str">
        <f aca="false">IF(Variants!$H424="","",Variants!$H424)</f>
        <v>white-bordeaux</v>
      </c>
      <c r="M423" s="21" t="str">
        <f aca="false">IF(Variants!$G424="","",Variants!$G424)</f>
        <v>large</v>
      </c>
    </row>
    <row r="424" customFormat="false" ht="15.75" hidden="false" customHeight="true" outlineLevel="0" collapsed="false">
      <c r="A424" s="21" t="str">
        <f aca="false">IF(Variants!$B425="","",Variants!$C425&amp;" — "&amp;Variants!$E425&amp;IF(Variants!$F425=""," "," "&amp;Variants!$F425)&amp;" — "&amp;Variants!$H425)</f>
        <v>Արեւագորգի Վիշապ — Vishab Arevagorg  — white</v>
      </c>
      <c r="B424" s="21" t="str">
        <f aca="false">IFERROR(IF(Variants!$B425="","",VLOOKUP(Variants!$B425,Designs!$A$3:$AP$165,9,FALSE())&amp;" Handmade in Armenia."),"")</f>
        <v>Combines the vishap (dragon) motif with the arevagorg (sun-carpet) — an Armenian solar ornament symbolising life and eternity. Handmade in Armenia.</v>
      </c>
      <c r="C424" s="18" t="n">
        <f aca="false">IF(Variants!$J425="","",Variants!$J425)</f>
        <v>76.7</v>
      </c>
      <c r="D424" s="21" t="n">
        <f aca="false">IF(Variants!$O425="","",Variants!$O425)</f>
        <v>0</v>
      </c>
      <c r="E424" s="21" t="str">
        <f aca="false">Variants!$A425</f>
        <v>KARNI-PEND-VISHABAREVAGORG-L-WHITE</v>
      </c>
      <c r="F424" s="21" t="str">
        <f aca="false">IF(Variants!$E425="","",Variants!$E425&amp;", Armenian, handmade, enamel, "&amp;Variants!$D425)</f>
        <v>Vishab Arevagorg, Armenian, handmade, enamel, Pendant</v>
      </c>
      <c r="G424" s="21" t="str">
        <f aca="false">IFERROR(VLOOKUP(Variants!$B425,Designs!$A$3:$AP$165,12,FALSE())&amp;", enamel","")</f>
        <v>925 Silver Gold-Plated, enamel</v>
      </c>
      <c r="H424" s="21" t="str">
        <f aca="false">IF(Variants!$B425="","","I did")</f>
        <v>I did</v>
      </c>
      <c r="I424" s="21" t="str">
        <f aca="false">IF(Variants!$B425="","","Made to order")</f>
        <v>Made to order</v>
      </c>
      <c r="J424" s="21" t="str">
        <f aca="false">IF(Variants!$D425="","",Variants!$D425)</f>
        <v>Pendant</v>
      </c>
      <c r="K424" s="21" t="str">
        <f aca="false">IF(Variants!$Y425="","",Variants!$Y425)</f>
        <v/>
      </c>
      <c r="L424" s="21" t="str">
        <f aca="false">IF(Variants!$H425="","",Variants!$H425)</f>
        <v>white</v>
      </c>
      <c r="M424" s="21" t="str">
        <f aca="false">IF(Variants!$G425="","",Variants!$G425)</f>
        <v>large</v>
      </c>
    </row>
    <row r="425" customFormat="false" ht="15.75" hidden="false" customHeight="true" outlineLevel="0" collapsed="false">
      <c r="A425" s="21" t="str">
        <f aca="false">IF(Variants!$B426="","",Variants!$C426&amp;" — "&amp;Variants!$E426&amp;IF(Variants!$F426=""," "," "&amp;Variants!$F426)&amp;" — "&amp;Variants!$H426)</f>
        <v>Արեւագորգի Վիշապ — Vishab Arevagorg  — turquoise</v>
      </c>
      <c r="B425" s="21" t="str">
        <f aca="false">IFERROR(IF(Variants!$B426="","",VLOOKUP(Variants!$B426,Designs!$A$3:$AP$165,9,FALSE())&amp;" Handmade in Armenia."),"")</f>
        <v>Combines the vishap (dragon) motif with the arevagorg (sun-carpet) — an Armenian solar ornament symbolising life and eternity. Handmade in Armenia.</v>
      </c>
      <c r="C425" s="18" t="n">
        <f aca="false">IF(Variants!$J426="","",Variants!$J426)</f>
        <v>76.7</v>
      </c>
      <c r="D425" s="21" t="n">
        <f aca="false">IF(Variants!$O426="","",Variants!$O426)</f>
        <v>0</v>
      </c>
      <c r="E425" s="21" t="str">
        <f aca="false">Variants!$A426</f>
        <v>KARNI-PEND-VISHABAREVAGORG-L-TURQUOISE</v>
      </c>
      <c r="F425" s="21" t="str">
        <f aca="false">IF(Variants!$E426="","",Variants!$E426&amp;", Armenian, handmade, enamel, "&amp;Variants!$D426)</f>
        <v>Vishab Arevagorg, Armenian, handmade, enamel, Pendant</v>
      </c>
      <c r="G425" s="21" t="str">
        <f aca="false">IFERROR(VLOOKUP(Variants!$B426,Designs!$A$3:$AP$165,12,FALSE())&amp;", enamel","")</f>
        <v>925 Silver Gold-Plated, enamel</v>
      </c>
      <c r="H425" s="21" t="str">
        <f aca="false">IF(Variants!$B426="","","I did")</f>
        <v>I did</v>
      </c>
      <c r="I425" s="21" t="str">
        <f aca="false">IF(Variants!$B426="","","Made to order")</f>
        <v>Made to order</v>
      </c>
      <c r="J425" s="21" t="str">
        <f aca="false">IF(Variants!$D426="","",Variants!$D426)</f>
        <v>Pendant</v>
      </c>
      <c r="K425" s="21" t="str">
        <f aca="false">IF(Variants!$Y426="","",Variants!$Y426)</f>
        <v/>
      </c>
      <c r="L425" s="21" t="str">
        <f aca="false">IF(Variants!$H426="","",Variants!$H426)</f>
        <v>turquoise</v>
      </c>
      <c r="M425" s="21" t="str">
        <f aca="false">IF(Variants!$G426="","",Variants!$G426)</f>
        <v>large</v>
      </c>
    </row>
    <row r="426" customFormat="false" ht="15.75" hidden="false" customHeight="true" outlineLevel="0" collapsed="false">
      <c r="A426" s="21" t="str">
        <f aca="false">IF(Variants!$B427="","",Variants!$C427&amp;" — "&amp;Variants!$E427&amp;IF(Variants!$F427=""," "," "&amp;Variants!$F427)&amp;" — "&amp;Variants!$H427)</f>
        <v>Marash Chain Necklace — Marash  — blue</v>
      </c>
      <c r="B426" s="21" t="str">
        <f aca="false">IFERROR(IF(Variants!$B427="","",VLOOKUP(Variants!$B427,Designs!$A$3:$AP$165,9,FALSE())&amp;" Handmade in Armenia."),"")</f>
        <v>Marash-work is a distinctive Armenian embroidery style from Cilician Marash, known for its interlaced geometric patterns. Handmade in Armenia.</v>
      </c>
      <c r="C426" s="18" t="n">
        <f aca="false">IF(Variants!$J427="","",Variants!$J427)</f>
        <v>52</v>
      </c>
      <c r="D426" s="21" t="n">
        <f aca="false">IF(Variants!$O427="","",Variants!$O427)</f>
        <v>0</v>
      </c>
      <c r="E426" s="21" t="str">
        <f aca="false">Variants!$A427</f>
        <v>KARNI-CHNECK-MARASH-BLUE</v>
      </c>
      <c r="F426" s="21" t="str">
        <f aca="false">IF(Variants!$E427="","",Variants!$E427&amp;", Armenian, handmade, enamel, "&amp;Variants!$D427)</f>
        <v>Marash, Armenian, handmade, enamel, chain necklace</v>
      </c>
      <c r="G426" s="21" t="str">
        <f aca="false">IFERROR(VLOOKUP(Variants!$B427,Designs!$A$3:$AP$165,12,FALSE())&amp;", enamel","")</f>
        <v>925 Silver Gold-Plated, enamel</v>
      </c>
      <c r="H426" s="21" t="str">
        <f aca="false">IF(Variants!$B427="","","I did")</f>
        <v>I did</v>
      </c>
      <c r="I426" s="21" t="str">
        <f aca="false">IF(Variants!$B427="","","Made to order")</f>
        <v>Made to order</v>
      </c>
      <c r="J426" s="21" t="str">
        <f aca="false">IF(Variants!$D427="","",Variants!$D427)</f>
        <v>chain necklace</v>
      </c>
      <c r="K426" s="21" t="str">
        <f aca="false">IF(Variants!$Y427="","",Variants!$Y427)</f>
        <v/>
      </c>
      <c r="L426" s="21" t="str">
        <f aca="false">IF(Variants!$H427="","",Variants!$H427)</f>
        <v>blue</v>
      </c>
      <c r="M426" s="21" t="str">
        <f aca="false">IF(Variants!$G427="","",Variants!$G427)</f>
        <v/>
      </c>
    </row>
    <row r="427" customFormat="false" ht="15.75" hidden="false" customHeight="true" outlineLevel="0" collapsed="false">
      <c r="A427" s="21" t="str">
        <f aca="false">IF(Variants!$B428="","",Variants!$C428&amp;" — "&amp;Variants!$E428&amp;IF(Variants!$F428=""," "," "&amp;Variants!$F428)&amp;" — "&amp;Variants!$H428)</f>
        <v>Marash Chain Necklace — Marash  — white</v>
      </c>
      <c r="B427" s="21" t="str">
        <f aca="false">IFERROR(IF(Variants!$B428="","",VLOOKUP(Variants!$B428,Designs!$A$3:$AP$165,9,FALSE())&amp;" Handmade in Armenia."),"")</f>
        <v>Marash-work is a distinctive Armenian embroidery style from Cilician Marash, known for its interlaced geometric patterns. Handmade in Armenia.</v>
      </c>
      <c r="C427" s="18" t="n">
        <f aca="false">IF(Variants!$J428="","",Variants!$J428)</f>
        <v>52</v>
      </c>
      <c r="D427" s="21" t="n">
        <f aca="false">IF(Variants!$O428="","",Variants!$O428)</f>
        <v>0</v>
      </c>
      <c r="E427" s="21" t="str">
        <f aca="false">Variants!$A428</f>
        <v>KARNI-CHNECK-MARASH-WHITE</v>
      </c>
      <c r="F427" s="21" t="str">
        <f aca="false">IF(Variants!$E428="","",Variants!$E428&amp;", Armenian, handmade, enamel, "&amp;Variants!$D428)</f>
        <v>Marash, Armenian, handmade, enamel, chain necklace</v>
      </c>
      <c r="G427" s="21" t="str">
        <f aca="false">IFERROR(VLOOKUP(Variants!$B428,Designs!$A$3:$AP$165,12,FALSE())&amp;", enamel","")</f>
        <v>925 Silver Gold-Plated, enamel</v>
      </c>
      <c r="H427" s="21" t="str">
        <f aca="false">IF(Variants!$B428="","","I did")</f>
        <v>I did</v>
      </c>
      <c r="I427" s="21" t="str">
        <f aca="false">IF(Variants!$B428="","","Made to order")</f>
        <v>Made to order</v>
      </c>
      <c r="J427" s="21" t="str">
        <f aca="false">IF(Variants!$D428="","",Variants!$D428)</f>
        <v>chain necklace</v>
      </c>
      <c r="K427" s="21" t="str">
        <f aca="false">IF(Variants!$Y428="","",Variants!$Y428)</f>
        <v/>
      </c>
      <c r="L427" s="21" t="str">
        <f aca="false">IF(Variants!$H428="","",Variants!$H428)</f>
        <v>white</v>
      </c>
      <c r="M427" s="21" t="str">
        <f aca="false">IF(Variants!$G428="","",Variants!$G428)</f>
        <v/>
      </c>
    </row>
    <row r="428" customFormat="false" ht="15.75" hidden="false" customHeight="true" outlineLevel="0" collapsed="false">
      <c r="A428" s="21" t="str">
        <f aca="false">IF(Variants!$B429="","",Variants!$C429&amp;" — "&amp;Variants!$E429&amp;IF(Variants!$F429=""," "," "&amp;Variants!$F429)&amp;" — "&amp;Variants!$H429)</f>
        <v>Marash Chain Necklace — Marash  — bordeaux</v>
      </c>
      <c r="B428" s="21" t="str">
        <f aca="false">IFERROR(IF(Variants!$B429="","",VLOOKUP(Variants!$B429,Designs!$A$3:$AP$165,9,FALSE())&amp;" Handmade in Armenia."),"")</f>
        <v>Marash-work is a distinctive Armenian embroidery style from Cilician Marash, known for its interlaced geometric patterns. Handmade in Armenia.</v>
      </c>
      <c r="C428" s="18" t="n">
        <f aca="false">IF(Variants!$J429="","",Variants!$J429)</f>
        <v>52</v>
      </c>
      <c r="D428" s="21" t="n">
        <f aca="false">IF(Variants!$O429="","",Variants!$O429)</f>
        <v>0</v>
      </c>
      <c r="E428" s="21" t="str">
        <f aca="false">Variants!$A429</f>
        <v>KARNI-CHNECK-MARASH-BORDEAUX</v>
      </c>
      <c r="F428" s="21" t="str">
        <f aca="false">IF(Variants!$E429="","",Variants!$E429&amp;", Armenian, handmade, enamel, "&amp;Variants!$D429)</f>
        <v>Marash, Armenian, handmade, enamel, chain necklace</v>
      </c>
      <c r="G428" s="21" t="str">
        <f aca="false">IFERROR(VLOOKUP(Variants!$B429,Designs!$A$3:$AP$165,12,FALSE())&amp;", enamel","")</f>
        <v>925 Silver Gold-Plated, enamel</v>
      </c>
      <c r="H428" s="21" t="str">
        <f aca="false">IF(Variants!$B429="","","I did")</f>
        <v>I did</v>
      </c>
      <c r="I428" s="21" t="str">
        <f aca="false">IF(Variants!$B429="","","Made to order")</f>
        <v>Made to order</v>
      </c>
      <c r="J428" s="21" t="str">
        <f aca="false">IF(Variants!$D429="","",Variants!$D429)</f>
        <v>chain necklace</v>
      </c>
      <c r="K428" s="21" t="str">
        <f aca="false">IF(Variants!$Y429="","",Variants!$Y429)</f>
        <v/>
      </c>
      <c r="L428" s="21" t="str">
        <f aca="false">IF(Variants!$H429="","",Variants!$H429)</f>
        <v>bordeaux</v>
      </c>
      <c r="M428" s="21" t="str">
        <f aca="false">IF(Variants!$G429="","",Variants!$G429)</f>
        <v/>
      </c>
    </row>
    <row r="429" customFormat="false" ht="15.75" hidden="false" customHeight="true" outlineLevel="0" collapsed="false">
      <c r="A429" s="21" t="str">
        <f aca="false">IF(Variants!$B430="","",Variants!$C430&amp;" — "&amp;Variants!$E430&amp;IF(Variants!$F430=""," "," "&amp;Variants!$F430)&amp;" — "&amp;Variants!$H430)</f>
        <v>Marash Chain Necklace — Marash  — turquoise</v>
      </c>
      <c r="B429" s="21" t="str">
        <f aca="false">IFERROR(IF(Variants!$B430="","",VLOOKUP(Variants!$B430,Designs!$A$3:$AP$165,9,FALSE())&amp;" Handmade in Armenia."),"")</f>
        <v>Marash-work is a distinctive Armenian embroidery style from Cilician Marash, known for its interlaced geometric patterns. Handmade in Armenia.</v>
      </c>
      <c r="C429" s="18" t="n">
        <f aca="false">IF(Variants!$J430="","",Variants!$J430)</f>
        <v>52</v>
      </c>
      <c r="D429" s="21" t="n">
        <f aca="false">IF(Variants!$O430="","",Variants!$O430)</f>
        <v>0</v>
      </c>
      <c r="E429" s="21" t="str">
        <f aca="false">Variants!$A430</f>
        <v>KARNI-CHNECK-MARASH-TURQUOISE</v>
      </c>
      <c r="F429" s="21" t="str">
        <f aca="false">IF(Variants!$E430="","",Variants!$E430&amp;", Armenian, handmade, enamel, "&amp;Variants!$D430)</f>
        <v>Marash, Armenian, handmade, enamel, chain necklace</v>
      </c>
      <c r="G429" s="21" t="str">
        <f aca="false">IFERROR(VLOOKUP(Variants!$B430,Designs!$A$3:$AP$165,12,FALSE())&amp;", enamel","")</f>
        <v>925 Silver Gold-Plated, enamel</v>
      </c>
      <c r="H429" s="21" t="str">
        <f aca="false">IF(Variants!$B430="","","I did")</f>
        <v>I did</v>
      </c>
      <c r="I429" s="21" t="str">
        <f aca="false">IF(Variants!$B430="","","Made to order")</f>
        <v>Made to order</v>
      </c>
      <c r="J429" s="21" t="str">
        <f aca="false">IF(Variants!$D430="","",Variants!$D430)</f>
        <v>chain necklace</v>
      </c>
      <c r="K429" s="21" t="str">
        <f aca="false">IF(Variants!$Y430="","",Variants!$Y430)</f>
        <v/>
      </c>
      <c r="L429" s="21" t="str">
        <f aca="false">IF(Variants!$H430="","",Variants!$H430)</f>
        <v>turquoise</v>
      </c>
      <c r="M429" s="21" t="str">
        <f aca="false">IF(Variants!$G430="","",Variants!$G430)</f>
        <v/>
      </c>
    </row>
    <row r="430" customFormat="false" ht="15.75" hidden="false" customHeight="true" outlineLevel="0" collapsed="false">
      <c r="A430" s="21" t="str">
        <f aca="false">IF(Variants!$B431="","",Variants!$C431&amp;" — "&amp;Variants!$E431&amp;IF(Variants!$F431=""," "," "&amp;Variants!$F431)&amp;" — "&amp;Variants!$H431)</f>
        <v>Marash Chain Necklace — Marash  — green</v>
      </c>
      <c r="B430" s="21" t="str">
        <f aca="false">IFERROR(IF(Variants!$B431="","",VLOOKUP(Variants!$B431,Designs!$A$3:$AP$165,9,FALSE())&amp;" Handmade in Armenia."),"")</f>
        <v>Marash-work is a distinctive Armenian embroidery style from Cilician Marash, known for its interlaced geometric patterns. Handmade in Armenia.</v>
      </c>
      <c r="C430" s="18" t="n">
        <f aca="false">IF(Variants!$J431="","",Variants!$J431)</f>
        <v>52</v>
      </c>
      <c r="D430" s="21" t="n">
        <f aca="false">IF(Variants!$O431="","",Variants!$O431)</f>
        <v>0</v>
      </c>
      <c r="E430" s="21" t="str">
        <f aca="false">Variants!$A431</f>
        <v>KARNI-CHNECK-MARASH-GREEN</v>
      </c>
      <c r="F430" s="21" t="str">
        <f aca="false">IF(Variants!$E431="","",Variants!$E431&amp;", Armenian, handmade, enamel, "&amp;Variants!$D431)</f>
        <v>Marash, Armenian, handmade, enamel, chain necklace</v>
      </c>
      <c r="G430" s="21" t="str">
        <f aca="false">IFERROR(VLOOKUP(Variants!$B431,Designs!$A$3:$AP$165,12,FALSE())&amp;", enamel","")</f>
        <v>925 Silver Gold-Plated, enamel</v>
      </c>
      <c r="H430" s="21" t="str">
        <f aca="false">IF(Variants!$B431="","","I did")</f>
        <v>I did</v>
      </c>
      <c r="I430" s="21" t="str">
        <f aca="false">IF(Variants!$B431="","","Made to order")</f>
        <v>Made to order</v>
      </c>
      <c r="J430" s="21" t="str">
        <f aca="false">IF(Variants!$D431="","",Variants!$D431)</f>
        <v>chain necklace</v>
      </c>
      <c r="K430" s="21" t="str">
        <f aca="false">IF(Variants!$Y431="","",Variants!$Y431)</f>
        <v/>
      </c>
      <c r="L430" s="21" t="str">
        <f aca="false">IF(Variants!$H431="","",Variants!$H431)</f>
        <v>green</v>
      </c>
      <c r="M430" s="21" t="str">
        <f aca="false">IF(Variants!$G431="","",Variants!$G431)</f>
        <v/>
      </c>
    </row>
    <row r="431" customFormat="false" ht="15.75" hidden="false" customHeight="true" outlineLevel="0" collapsed="false">
      <c r="A431" s="21" t="str">
        <f aca="false">IF(Variants!$B432="","",Variants!$C432&amp;" — "&amp;Variants!$E432&amp;IF(Variants!$F432=""," "," "&amp;Variants!$F432)&amp;" — "&amp;Variants!$H432)</f>
        <v>Van Chain Necklace — Van  — blue</v>
      </c>
      <c r="B431" s="21" t="str">
        <f aca="false">IFERROR(IF(Variants!$B432="","",VLOOKUP(Variants!$B432,Designs!$A$3:$AP$165,9,FALSE())&amp;" Handmade in Armenia."),"")</f>
        <v>Motifs from the Van/Vaspurakan region, echoing the ornament of the Lake Van heartland of historic Armenia. Handmade in Armenia.</v>
      </c>
      <c r="C431" s="18" t="n">
        <f aca="false">IF(Variants!$J432="","",Variants!$J432)</f>
        <v>52</v>
      </c>
      <c r="D431" s="21" t="n">
        <f aca="false">IF(Variants!$O432="","",Variants!$O432)</f>
        <v>0</v>
      </c>
      <c r="E431" s="21" t="str">
        <f aca="false">Variants!$A432</f>
        <v>KARNI-CHNECK-VAN-BLUE</v>
      </c>
      <c r="F431" s="21" t="str">
        <f aca="false">IF(Variants!$E432="","",Variants!$E432&amp;", Armenian, handmade, enamel, "&amp;Variants!$D432)</f>
        <v>Van, Armenian, handmade, enamel, chain necklace</v>
      </c>
      <c r="G431" s="21" t="str">
        <f aca="false">IFERROR(VLOOKUP(Variants!$B432,Designs!$A$3:$AP$165,12,FALSE())&amp;", enamel","")</f>
        <v>925 Silver Gold-Plated, enamel</v>
      </c>
      <c r="H431" s="21" t="str">
        <f aca="false">IF(Variants!$B432="","","I did")</f>
        <v>I did</v>
      </c>
      <c r="I431" s="21" t="str">
        <f aca="false">IF(Variants!$B432="","","Made to order")</f>
        <v>Made to order</v>
      </c>
      <c r="J431" s="21" t="str">
        <f aca="false">IF(Variants!$D432="","",Variants!$D432)</f>
        <v>chain necklace</v>
      </c>
      <c r="K431" s="21" t="str">
        <f aca="false">IF(Variants!$Y432="","",Variants!$Y432)</f>
        <v/>
      </c>
      <c r="L431" s="21" t="str">
        <f aca="false">IF(Variants!$H432="","",Variants!$H432)</f>
        <v>blue</v>
      </c>
      <c r="M431" s="21" t="str">
        <f aca="false">IF(Variants!$G432="","",Variants!$G432)</f>
        <v/>
      </c>
    </row>
    <row r="432" customFormat="false" ht="15.75" hidden="false" customHeight="true" outlineLevel="0" collapsed="false">
      <c r="A432" s="21" t="str">
        <f aca="false">IF(Variants!$B433="","",Variants!$C433&amp;" — "&amp;Variants!$E433&amp;IF(Variants!$F433=""," "," "&amp;Variants!$F433)&amp;" — "&amp;Variants!$H433)</f>
        <v>Van Chain Necklace — Van  — white</v>
      </c>
      <c r="B432" s="21" t="str">
        <f aca="false">IFERROR(IF(Variants!$B433="","",VLOOKUP(Variants!$B433,Designs!$A$3:$AP$165,9,FALSE())&amp;" Handmade in Armenia."),"")</f>
        <v>Motifs from the Van/Vaspurakan region, echoing the ornament of the Lake Van heartland of historic Armenia. Handmade in Armenia.</v>
      </c>
      <c r="C432" s="18" t="n">
        <f aca="false">IF(Variants!$J433="","",Variants!$J433)</f>
        <v>52</v>
      </c>
      <c r="D432" s="21" t="n">
        <f aca="false">IF(Variants!$O433="","",Variants!$O433)</f>
        <v>0</v>
      </c>
      <c r="E432" s="21" t="str">
        <f aca="false">Variants!$A433</f>
        <v>KARNI-CHNECK-VAN-WHITE</v>
      </c>
      <c r="F432" s="21" t="str">
        <f aca="false">IF(Variants!$E433="","",Variants!$E433&amp;", Armenian, handmade, enamel, "&amp;Variants!$D433)</f>
        <v>Van, Armenian, handmade, enamel, chain necklace</v>
      </c>
      <c r="G432" s="21" t="str">
        <f aca="false">IFERROR(VLOOKUP(Variants!$B433,Designs!$A$3:$AP$165,12,FALSE())&amp;", enamel","")</f>
        <v>925 Silver Gold-Plated, enamel</v>
      </c>
      <c r="H432" s="21" t="str">
        <f aca="false">IF(Variants!$B433="","","I did")</f>
        <v>I did</v>
      </c>
      <c r="I432" s="21" t="str">
        <f aca="false">IF(Variants!$B433="","","Made to order")</f>
        <v>Made to order</v>
      </c>
      <c r="J432" s="21" t="str">
        <f aca="false">IF(Variants!$D433="","",Variants!$D433)</f>
        <v>chain necklace</v>
      </c>
      <c r="K432" s="21" t="str">
        <f aca="false">IF(Variants!$Y433="","",Variants!$Y433)</f>
        <v/>
      </c>
      <c r="L432" s="21" t="str">
        <f aca="false">IF(Variants!$H433="","",Variants!$H433)</f>
        <v>white</v>
      </c>
      <c r="M432" s="21" t="str">
        <f aca="false">IF(Variants!$G433="","",Variants!$G433)</f>
        <v/>
      </c>
    </row>
    <row r="433" customFormat="false" ht="15.75" hidden="false" customHeight="true" outlineLevel="0" collapsed="false">
      <c r="A433" s="21" t="str">
        <f aca="false">IF(Variants!$B434="","",Variants!$C434&amp;" — "&amp;Variants!$E434&amp;IF(Variants!$F434=""," "," "&amp;Variants!$F434)&amp;" — "&amp;Variants!$H434)</f>
        <v>Van Chain Necklace — Van  — bordeaux</v>
      </c>
      <c r="B433" s="21" t="str">
        <f aca="false">IFERROR(IF(Variants!$B434="","",VLOOKUP(Variants!$B434,Designs!$A$3:$AP$165,9,FALSE())&amp;" Handmade in Armenia."),"")</f>
        <v>Motifs from the Van/Vaspurakan region, echoing the ornament of the Lake Van heartland of historic Armenia. Handmade in Armenia.</v>
      </c>
      <c r="C433" s="18" t="n">
        <f aca="false">IF(Variants!$J434="","",Variants!$J434)</f>
        <v>52</v>
      </c>
      <c r="D433" s="21" t="n">
        <f aca="false">IF(Variants!$O434="","",Variants!$O434)</f>
        <v>0</v>
      </c>
      <c r="E433" s="21" t="str">
        <f aca="false">Variants!$A434</f>
        <v>KARNI-CHNECK-VAN-BORDEAUX</v>
      </c>
      <c r="F433" s="21" t="str">
        <f aca="false">IF(Variants!$E434="","",Variants!$E434&amp;", Armenian, handmade, enamel, "&amp;Variants!$D434)</f>
        <v>Van, Armenian, handmade, enamel, chain necklace</v>
      </c>
      <c r="G433" s="21" t="str">
        <f aca="false">IFERROR(VLOOKUP(Variants!$B434,Designs!$A$3:$AP$165,12,FALSE())&amp;", enamel","")</f>
        <v>925 Silver Gold-Plated, enamel</v>
      </c>
      <c r="H433" s="21" t="str">
        <f aca="false">IF(Variants!$B434="","","I did")</f>
        <v>I did</v>
      </c>
      <c r="I433" s="21" t="str">
        <f aca="false">IF(Variants!$B434="","","Made to order")</f>
        <v>Made to order</v>
      </c>
      <c r="J433" s="21" t="str">
        <f aca="false">IF(Variants!$D434="","",Variants!$D434)</f>
        <v>chain necklace</v>
      </c>
      <c r="K433" s="21" t="str">
        <f aca="false">IF(Variants!$Y434="","",Variants!$Y434)</f>
        <v/>
      </c>
      <c r="L433" s="21" t="str">
        <f aca="false">IF(Variants!$H434="","",Variants!$H434)</f>
        <v>bordeaux</v>
      </c>
      <c r="M433" s="21" t="str">
        <f aca="false">IF(Variants!$G434="","",Variants!$G434)</f>
        <v/>
      </c>
    </row>
    <row r="434" customFormat="false" ht="15.75" hidden="false" customHeight="true" outlineLevel="0" collapsed="false">
      <c r="A434" s="21" t="str">
        <f aca="false">IF(Variants!$B435="","",Variants!$C435&amp;" — "&amp;Variants!$E435&amp;IF(Variants!$F435=""," "," "&amp;Variants!$F435)&amp;" — "&amp;Variants!$H435)</f>
        <v>Van Chain Necklace — Van  — turquoise</v>
      </c>
      <c r="B434" s="21" t="str">
        <f aca="false">IFERROR(IF(Variants!$B435="","",VLOOKUP(Variants!$B435,Designs!$A$3:$AP$165,9,FALSE())&amp;" Handmade in Armenia."),"")</f>
        <v>Motifs from the Van/Vaspurakan region, echoing the ornament of the Lake Van heartland of historic Armenia. Handmade in Armenia.</v>
      </c>
      <c r="C434" s="18" t="n">
        <f aca="false">IF(Variants!$J435="","",Variants!$J435)</f>
        <v>52</v>
      </c>
      <c r="D434" s="21" t="n">
        <f aca="false">IF(Variants!$O435="","",Variants!$O435)</f>
        <v>0</v>
      </c>
      <c r="E434" s="21" t="str">
        <f aca="false">Variants!$A435</f>
        <v>KARNI-CHNECK-VAN-TURQUOISE</v>
      </c>
      <c r="F434" s="21" t="str">
        <f aca="false">IF(Variants!$E435="","",Variants!$E435&amp;", Armenian, handmade, enamel, "&amp;Variants!$D435)</f>
        <v>Van, Armenian, handmade, enamel, chain necklace</v>
      </c>
      <c r="G434" s="21" t="str">
        <f aca="false">IFERROR(VLOOKUP(Variants!$B435,Designs!$A$3:$AP$165,12,FALSE())&amp;", enamel","")</f>
        <v>925 Silver Gold-Plated, enamel</v>
      </c>
      <c r="H434" s="21" t="str">
        <f aca="false">IF(Variants!$B435="","","I did")</f>
        <v>I did</v>
      </c>
      <c r="I434" s="21" t="str">
        <f aca="false">IF(Variants!$B435="","","Made to order")</f>
        <v>Made to order</v>
      </c>
      <c r="J434" s="21" t="str">
        <f aca="false">IF(Variants!$D435="","",Variants!$D435)</f>
        <v>chain necklace</v>
      </c>
      <c r="K434" s="21" t="str">
        <f aca="false">IF(Variants!$Y435="","",Variants!$Y435)</f>
        <v/>
      </c>
      <c r="L434" s="21" t="str">
        <f aca="false">IF(Variants!$H435="","",Variants!$H435)</f>
        <v>turquoise</v>
      </c>
      <c r="M434" s="21" t="str">
        <f aca="false">IF(Variants!$G435="","",Variants!$G435)</f>
        <v/>
      </c>
    </row>
    <row r="435" customFormat="false" ht="15.75" hidden="false" customHeight="true" outlineLevel="0" collapsed="false">
      <c r="A435" s="21" t="str">
        <f aca="false">IF(Variants!$B436="","",Variants!$C436&amp;" — "&amp;Variants!$E436&amp;IF(Variants!$F436=""," "," "&amp;Variants!$F436)&amp;" — "&amp;Variants!$H436)</f>
        <v>Van Chain Necklace — Van  — green</v>
      </c>
      <c r="B435" s="21" t="str">
        <f aca="false">IFERROR(IF(Variants!$B436="","",VLOOKUP(Variants!$B436,Designs!$A$3:$AP$165,9,FALSE())&amp;" Handmade in Armenia."),"")</f>
        <v>Motifs from the Van/Vaspurakan region, echoing the ornament of the Lake Van heartland of historic Armenia. Handmade in Armenia.</v>
      </c>
      <c r="C435" s="18" t="n">
        <f aca="false">IF(Variants!$J436="","",Variants!$J436)</f>
        <v>52</v>
      </c>
      <c r="D435" s="21" t="n">
        <f aca="false">IF(Variants!$O436="","",Variants!$O436)</f>
        <v>0</v>
      </c>
      <c r="E435" s="21" t="str">
        <f aca="false">Variants!$A436</f>
        <v>KARNI-CHNECK-VAN-GREEN</v>
      </c>
      <c r="F435" s="21" t="str">
        <f aca="false">IF(Variants!$E436="","",Variants!$E436&amp;", Armenian, handmade, enamel, "&amp;Variants!$D436)</f>
        <v>Van, Armenian, handmade, enamel, chain necklace</v>
      </c>
      <c r="G435" s="21" t="str">
        <f aca="false">IFERROR(VLOOKUP(Variants!$B436,Designs!$A$3:$AP$165,12,FALSE())&amp;", enamel","")</f>
        <v>925 Silver Gold-Plated, enamel</v>
      </c>
      <c r="H435" s="21" t="str">
        <f aca="false">IF(Variants!$B436="","","I did")</f>
        <v>I did</v>
      </c>
      <c r="I435" s="21" t="str">
        <f aca="false">IF(Variants!$B436="","","Made to order")</f>
        <v>Made to order</v>
      </c>
      <c r="J435" s="21" t="str">
        <f aca="false">IF(Variants!$D436="","",Variants!$D436)</f>
        <v>chain necklace</v>
      </c>
      <c r="K435" s="21" t="str">
        <f aca="false">IF(Variants!$Y436="","",Variants!$Y436)</f>
        <v/>
      </c>
      <c r="L435" s="21" t="str">
        <f aca="false">IF(Variants!$H436="","",Variants!$H436)</f>
        <v>green</v>
      </c>
      <c r="M435" s="21" t="str">
        <f aca="false">IF(Variants!$G436="","",Variants!$G436)</f>
        <v/>
      </c>
    </row>
    <row r="436" customFormat="false" ht="15.75" hidden="false" customHeight="true" outlineLevel="0" collapsed="false">
      <c r="A436" s="21" t="str">
        <f aca="false">IF(Variants!$B437="","",Variants!$C437&amp;" — "&amp;Variants!$E437&amp;IF(Variants!$F437=""," "," "&amp;Variants!$F437)&amp;" — "&amp;Variants!$H437)</f>
        <v>Vishab Chain Necklace — Vishab  — blue</v>
      </c>
      <c r="B436" s="21" t="str">
        <f aca="false">IFERROR(IF(Variants!$B437="","",VLOOKUP(Variants!$B437,Designs!$A$3:$AP$165,9,FALSE())&amp;" Handmade in Armenia."),"")</f>
        <v>Vishaps are ancient Armenian dragon-stones (vishapakar) found in the highlands, among the oldest carved monuments in the region. Handmade in Armenia.</v>
      </c>
      <c r="C436" s="18" t="n">
        <f aca="false">IF(Variants!$J437="","",Variants!$J437)</f>
        <v>52</v>
      </c>
      <c r="D436" s="21" t="n">
        <f aca="false">IF(Variants!$O437="","",Variants!$O437)</f>
        <v>0</v>
      </c>
      <c r="E436" s="21" t="str">
        <f aca="false">Variants!$A437</f>
        <v>KARNI-CHNECK-VISHAB-BLUE</v>
      </c>
      <c r="F436" s="21" t="str">
        <f aca="false">IF(Variants!$E437="","",Variants!$E437&amp;", Armenian, handmade, enamel, "&amp;Variants!$D437)</f>
        <v>Vishab, Armenian, handmade, enamel, chain necklace</v>
      </c>
      <c r="G436" s="21" t="str">
        <f aca="false">IFERROR(VLOOKUP(Variants!$B437,Designs!$A$3:$AP$165,12,FALSE())&amp;", enamel","")</f>
        <v>925 Silver Gold-Plated, enamel</v>
      </c>
      <c r="H436" s="21" t="str">
        <f aca="false">IF(Variants!$B437="","","I did")</f>
        <v>I did</v>
      </c>
      <c r="I436" s="21" t="str">
        <f aca="false">IF(Variants!$B437="","","Made to order")</f>
        <v>Made to order</v>
      </c>
      <c r="J436" s="21" t="str">
        <f aca="false">IF(Variants!$D437="","",Variants!$D437)</f>
        <v>chain necklace</v>
      </c>
      <c r="K436" s="21" t="str">
        <f aca="false">IF(Variants!$Y437="","",Variants!$Y437)</f>
        <v/>
      </c>
      <c r="L436" s="21" t="str">
        <f aca="false">IF(Variants!$H437="","",Variants!$H437)</f>
        <v>blue</v>
      </c>
      <c r="M436" s="21" t="str">
        <f aca="false">IF(Variants!$G437="","",Variants!$G437)</f>
        <v/>
      </c>
    </row>
    <row r="437" customFormat="false" ht="15.75" hidden="false" customHeight="true" outlineLevel="0" collapsed="false">
      <c r="A437" s="21" t="str">
        <f aca="false">IF(Variants!$B438="","",Variants!$C438&amp;" — "&amp;Variants!$E438&amp;IF(Variants!$F438=""," "," "&amp;Variants!$F438)&amp;" — "&amp;Variants!$H438)</f>
        <v>Vishab Chain Necklace — Vishab  — white</v>
      </c>
      <c r="B437" s="21" t="str">
        <f aca="false">IFERROR(IF(Variants!$B438="","",VLOOKUP(Variants!$B438,Designs!$A$3:$AP$165,9,FALSE())&amp;" Handmade in Armenia."),"")</f>
        <v>Vishaps are ancient Armenian dragon-stones (vishapakar) found in the highlands, among the oldest carved monuments in the region. Handmade in Armenia.</v>
      </c>
      <c r="C437" s="18" t="n">
        <f aca="false">IF(Variants!$J438="","",Variants!$J438)</f>
        <v>52</v>
      </c>
      <c r="D437" s="21" t="n">
        <f aca="false">IF(Variants!$O438="","",Variants!$O438)</f>
        <v>0</v>
      </c>
      <c r="E437" s="21" t="str">
        <f aca="false">Variants!$A438</f>
        <v>KARNI-CHNECK-VISHAB-WHITE</v>
      </c>
      <c r="F437" s="21" t="str">
        <f aca="false">IF(Variants!$E438="","",Variants!$E438&amp;", Armenian, handmade, enamel, "&amp;Variants!$D438)</f>
        <v>Vishab, Armenian, handmade, enamel, chain necklace</v>
      </c>
      <c r="G437" s="21" t="str">
        <f aca="false">IFERROR(VLOOKUP(Variants!$B438,Designs!$A$3:$AP$165,12,FALSE())&amp;", enamel","")</f>
        <v>925 Silver Gold-Plated, enamel</v>
      </c>
      <c r="H437" s="21" t="str">
        <f aca="false">IF(Variants!$B438="","","I did")</f>
        <v>I did</v>
      </c>
      <c r="I437" s="21" t="str">
        <f aca="false">IF(Variants!$B438="","","Made to order")</f>
        <v>Made to order</v>
      </c>
      <c r="J437" s="21" t="str">
        <f aca="false">IF(Variants!$D438="","",Variants!$D438)</f>
        <v>chain necklace</v>
      </c>
      <c r="K437" s="21" t="str">
        <f aca="false">IF(Variants!$Y438="","",Variants!$Y438)</f>
        <v/>
      </c>
      <c r="L437" s="21" t="str">
        <f aca="false">IF(Variants!$H438="","",Variants!$H438)</f>
        <v>white</v>
      </c>
      <c r="M437" s="21" t="str">
        <f aca="false">IF(Variants!$G438="","",Variants!$G438)</f>
        <v/>
      </c>
    </row>
    <row r="438" customFormat="false" ht="15.75" hidden="false" customHeight="true" outlineLevel="0" collapsed="false">
      <c r="A438" s="21" t="str">
        <f aca="false">IF(Variants!$B439="","",Variants!$C439&amp;" — "&amp;Variants!$E439&amp;IF(Variants!$F439=""," "," "&amp;Variants!$F439)&amp;" — "&amp;Variants!$H439)</f>
        <v>Vishab Chain Necklace — Vishab  — bordeaux</v>
      </c>
      <c r="B438" s="21" t="str">
        <f aca="false">IFERROR(IF(Variants!$B439="","",VLOOKUP(Variants!$B439,Designs!$A$3:$AP$165,9,FALSE())&amp;" Handmade in Armenia."),"")</f>
        <v>Vishaps are ancient Armenian dragon-stones (vishapakar) found in the highlands, among the oldest carved monuments in the region. Handmade in Armenia.</v>
      </c>
      <c r="C438" s="18" t="n">
        <f aca="false">IF(Variants!$J439="","",Variants!$J439)</f>
        <v>52</v>
      </c>
      <c r="D438" s="21" t="n">
        <f aca="false">IF(Variants!$O439="","",Variants!$O439)</f>
        <v>0</v>
      </c>
      <c r="E438" s="21" t="str">
        <f aca="false">Variants!$A439</f>
        <v>KARNI-CHNECK-VISHAB-BORDEAUX</v>
      </c>
      <c r="F438" s="21" t="str">
        <f aca="false">IF(Variants!$E439="","",Variants!$E439&amp;", Armenian, handmade, enamel, "&amp;Variants!$D439)</f>
        <v>Vishab, Armenian, handmade, enamel, chain necklace</v>
      </c>
      <c r="G438" s="21" t="str">
        <f aca="false">IFERROR(VLOOKUP(Variants!$B439,Designs!$A$3:$AP$165,12,FALSE())&amp;", enamel","")</f>
        <v>925 Silver Gold-Plated, enamel</v>
      </c>
      <c r="H438" s="21" t="str">
        <f aca="false">IF(Variants!$B439="","","I did")</f>
        <v>I did</v>
      </c>
      <c r="I438" s="21" t="str">
        <f aca="false">IF(Variants!$B439="","","Made to order")</f>
        <v>Made to order</v>
      </c>
      <c r="J438" s="21" t="str">
        <f aca="false">IF(Variants!$D439="","",Variants!$D439)</f>
        <v>chain necklace</v>
      </c>
      <c r="K438" s="21" t="str">
        <f aca="false">IF(Variants!$Y439="","",Variants!$Y439)</f>
        <v/>
      </c>
      <c r="L438" s="21" t="str">
        <f aca="false">IF(Variants!$H439="","",Variants!$H439)</f>
        <v>bordeaux</v>
      </c>
      <c r="M438" s="21" t="str">
        <f aca="false">IF(Variants!$G439="","",Variants!$G439)</f>
        <v/>
      </c>
    </row>
    <row r="439" customFormat="false" ht="15.75" hidden="false" customHeight="true" outlineLevel="0" collapsed="false">
      <c r="A439" s="21" t="str">
        <f aca="false">IF(Variants!$B440="","",Variants!$C440&amp;" — "&amp;Variants!$E440&amp;IF(Variants!$F440=""," "," "&amp;Variants!$F440)&amp;" — "&amp;Variants!$H440)</f>
        <v>Vishab Chain Necklace — Vishab  — turquoise</v>
      </c>
      <c r="B439" s="21" t="str">
        <f aca="false">IFERROR(IF(Variants!$B440="","",VLOOKUP(Variants!$B440,Designs!$A$3:$AP$165,9,FALSE())&amp;" Handmade in Armenia."),"")</f>
        <v>Vishaps are ancient Armenian dragon-stones (vishapakar) found in the highlands, among the oldest carved monuments in the region. Handmade in Armenia.</v>
      </c>
      <c r="C439" s="18" t="n">
        <f aca="false">IF(Variants!$J440="","",Variants!$J440)</f>
        <v>52</v>
      </c>
      <c r="D439" s="21" t="n">
        <f aca="false">IF(Variants!$O440="","",Variants!$O440)</f>
        <v>0</v>
      </c>
      <c r="E439" s="21" t="str">
        <f aca="false">Variants!$A440</f>
        <v>KARNI-CHNECK-VISHAB-TURQUOISE</v>
      </c>
      <c r="F439" s="21" t="str">
        <f aca="false">IF(Variants!$E440="","",Variants!$E440&amp;", Armenian, handmade, enamel, "&amp;Variants!$D440)</f>
        <v>Vishab, Armenian, handmade, enamel, chain necklace</v>
      </c>
      <c r="G439" s="21" t="str">
        <f aca="false">IFERROR(VLOOKUP(Variants!$B440,Designs!$A$3:$AP$165,12,FALSE())&amp;", enamel","")</f>
        <v>925 Silver Gold-Plated, enamel</v>
      </c>
      <c r="H439" s="21" t="str">
        <f aca="false">IF(Variants!$B440="","","I did")</f>
        <v>I did</v>
      </c>
      <c r="I439" s="21" t="str">
        <f aca="false">IF(Variants!$B440="","","Made to order")</f>
        <v>Made to order</v>
      </c>
      <c r="J439" s="21" t="str">
        <f aca="false">IF(Variants!$D440="","",Variants!$D440)</f>
        <v>chain necklace</v>
      </c>
      <c r="K439" s="21" t="str">
        <f aca="false">IF(Variants!$Y440="","",Variants!$Y440)</f>
        <v/>
      </c>
      <c r="L439" s="21" t="str">
        <f aca="false">IF(Variants!$H440="","",Variants!$H440)</f>
        <v>turquoise</v>
      </c>
      <c r="M439" s="21" t="str">
        <f aca="false">IF(Variants!$G440="","",Variants!$G440)</f>
        <v/>
      </c>
    </row>
    <row r="440" customFormat="false" ht="15.75" hidden="false" customHeight="true" outlineLevel="0" collapsed="false">
      <c r="A440" s="21" t="str">
        <f aca="false">IF(Variants!$B441="","",Variants!$C441&amp;" — "&amp;Variants!$E441&amp;IF(Variants!$F441=""," "," "&amp;Variants!$F441)&amp;" — "&amp;Variants!$H441)</f>
        <v>Vishab Chain Necklace — Vishab  — green</v>
      </c>
      <c r="B440" s="21" t="str">
        <f aca="false">IFERROR(IF(Variants!$B441="","",VLOOKUP(Variants!$B441,Designs!$A$3:$AP$165,9,FALSE())&amp;" Handmade in Armenia."),"")</f>
        <v>Vishaps are ancient Armenian dragon-stones (vishapakar) found in the highlands, among the oldest carved monuments in the region. Handmade in Armenia.</v>
      </c>
      <c r="C440" s="18" t="n">
        <f aca="false">IF(Variants!$J441="","",Variants!$J441)</f>
        <v>52</v>
      </c>
      <c r="D440" s="21" t="n">
        <f aca="false">IF(Variants!$O441="","",Variants!$O441)</f>
        <v>0</v>
      </c>
      <c r="E440" s="21" t="str">
        <f aca="false">Variants!$A441</f>
        <v>KARNI-CHNECK-VISHAB-GREEN</v>
      </c>
      <c r="F440" s="21" t="str">
        <f aca="false">IF(Variants!$E441="","",Variants!$E441&amp;", Armenian, handmade, enamel, "&amp;Variants!$D441)</f>
        <v>Vishab, Armenian, handmade, enamel, chain necklace</v>
      </c>
      <c r="G440" s="21" t="str">
        <f aca="false">IFERROR(VLOOKUP(Variants!$B441,Designs!$A$3:$AP$165,12,FALSE())&amp;", enamel","")</f>
        <v>925 Silver Gold-Plated, enamel</v>
      </c>
      <c r="H440" s="21" t="str">
        <f aca="false">IF(Variants!$B441="","","I did")</f>
        <v>I did</v>
      </c>
      <c r="I440" s="21" t="str">
        <f aca="false">IF(Variants!$B441="","","Made to order")</f>
        <v>Made to order</v>
      </c>
      <c r="J440" s="21" t="str">
        <f aca="false">IF(Variants!$D441="","",Variants!$D441)</f>
        <v>chain necklace</v>
      </c>
      <c r="K440" s="21" t="str">
        <f aca="false">IF(Variants!$Y441="","",Variants!$Y441)</f>
        <v/>
      </c>
      <c r="L440" s="21" t="str">
        <f aca="false">IF(Variants!$H441="","",Variants!$H441)</f>
        <v>green</v>
      </c>
      <c r="M440" s="21" t="str">
        <f aca="false">IF(Variants!$G441="","",Variants!$G441)</f>
        <v/>
      </c>
    </row>
    <row r="441" customFormat="false" ht="15.75" hidden="false" customHeight="true" outlineLevel="0" collapsed="false">
      <c r="A441" s="21" t="str">
        <f aca="false">IF(Variants!$B442="","",Variants!$C442&amp;" — "&amp;Variants!$E442&amp;IF(Variants!$F442=""," "," "&amp;Variants!$F442)&amp;" — "&amp;Variants!$H442)</f>
        <v>Արեւագորգի Վիշապ — Vishab Arevagorg  — blue</v>
      </c>
      <c r="B441" s="21" t="str">
        <f aca="false">IFERROR(IF(Variants!$B442="","",VLOOKUP(Variants!$B442,Designs!$A$3:$AP$165,9,FALSE())&amp;" Handmade in Armenia."),"")</f>
        <v>Combines the vishap (dragon) motif with the arevagorg (sun-carpet) — an Armenian solar ornament symbolising life and eternity. Handmade in Armenia.</v>
      </c>
      <c r="C441" s="18" t="n">
        <f aca="false">IF(Variants!$J442="","",Variants!$J442)</f>
        <v>52</v>
      </c>
      <c r="D441" s="21" t="n">
        <f aca="false">IF(Variants!$O442="","",Variants!$O442)</f>
        <v>0</v>
      </c>
      <c r="E441" s="21" t="str">
        <f aca="false">Variants!$A442</f>
        <v>KARNI-CHNECK-VISHABAREVAGORG-BLUE</v>
      </c>
      <c r="F441" s="21" t="str">
        <f aca="false">IF(Variants!$E442="","",Variants!$E442&amp;", Armenian, handmade, enamel, "&amp;Variants!$D442)</f>
        <v>Vishab Arevagorg, Armenian, handmade, enamel, chain necklace</v>
      </c>
      <c r="G441" s="21" t="str">
        <f aca="false">IFERROR(VLOOKUP(Variants!$B442,Designs!$A$3:$AP$165,12,FALSE())&amp;", enamel","")</f>
        <v>925 Silver Gold-Plated, enamel</v>
      </c>
      <c r="H441" s="21" t="str">
        <f aca="false">IF(Variants!$B442="","","I did")</f>
        <v>I did</v>
      </c>
      <c r="I441" s="21" t="str">
        <f aca="false">IF(Variants!$B442="","","Made to order")</f>
        <v>Made to order</v>
      </c>
      <c r="J441" s="21" t="str">
        <f aca="false">IF(Variants!$D442="","",Variants!$D442)</f>
        <v>chain necklace</v>
      </c>
      <c r="K441" s="21" t="str">
        <f aca="false">IF(Variants!$Y442="","",Variants!$Y442)</f>
        <v/>
      </c>
      <c r="L441" s="21" t="str">
        <f aca="false">IF(Variants!$H442="","",Variants!$H442)</f>
        <v>blue</v>
      </c>
      <c r="M441" s="21" t="str">
        <f aca="false">IF(Variants!$G442="","",Variants!$G442)</f>
        <v/>
      </c>
    </row>
    <row r="442" customFormat="false" ht="15.75" hidden="false" customHeight="true" outlineLevel="0" collapsed="false">
      <c r="A442" s="21" t="str">
        <f aca="false">IF(Variants!$B443="","",Variants!$C443&amp;" — "&amp;Variants!$E443&amp;IF(Variants!$F443=""," "," "&amp;Variants!$F443)&amp;" — "&amp;Variants!$H443)</f>
        <v>Արեւագորգի Վիշապ — Vishab Arevagorg  — white</v>
      </c>
      <c r="B442" s="21" t="str">
        <f aca="false">IFERROR(IF(Variants!$B443="","",VLOOKUP(Variants!$B443,Designs!$A$3:$AP$165,9,FALSE())&amp;" Handmade in Armenia."),"")</f>
        <v>Combines the vishap (dragon) motif with the arevagorg (sun-carpet) — an Armenian solar ornament symbolising life and eternity. Handmade in Armenia.</v>
      </c>
      <c r="C442" s="18" t="n">
        <f aca="false">IF(Variants!$J443="","",Variants!$J443)</f>
        <v>52</v>
      </c>
      <c r="D442" s="21" t="n">
        <f aca="false">IF(Variants!$O443="","",Variants!$O443)</f>
        <v>0</v>
      </c>
      <c r="E442" s="21" t="str">
        <f aca="false">Variants!$A443</f>
        <v>KARNI-CHNECK-VISHABAREVAGORG-WHITE</v>
      </c>
      <c r="F442" s="21" t="str">
        <f aca="false">IF(Variants!$E443="","",Variants!$E443&amp;", Armenian, handmade, enamel, "&amp;Variants!$D443)</f>
        <v>Vishab Arevagorg, Armenian, handmade, enamel, chain necklace</v>
      </c>
      <c r="G442" s="21" t="str">
        <f aca="false">IFERROR(VLOOKUP(Variants!$B443,Designs!$A$3:$AP$165,12,FALSE())&amp;", enamel","")</f>
        <v>925 Silver Gold-Plated, enamel</v>
      </c>
      <c r="H442" s="21" t="str">
        <f aca="false">IF(Variants!$B443="","","I did")</f>
        <v>I did</v>
      </c>
      <c r="I442" s="21" t="str">
        <f aca="false">IF(Variants!$B443="","","Made to order")</f>
        <v>Made to order</v>
      </c>
      <c r="J442" s="21" t="str">
        <f aca="false">IF(Variants!$D443="","",Variants!$D443)</f>
        <v>chain necklace</v>
      </c>
      <c r="K442" s="21" t="str">
        <f aca="false">IF(Variants!$Y443="","",Variants!$Y443)</f>
        <v/>
      </c>
      <c r="L442" s="21" t="str">
        <f aca="false">IF(Variants!$H443="","",Variants!$H443)</f>
        <v>white</v>
      </c>
      <c r="M442" s="21" t="str">
        <f aca="false">IF(Variants!$G443="","",Variants!$G443)</f>
        <v/>
      </c>
    </row>
    <row r="443" customFormat="false" ht="15.75" hidden="false" customHeight="true" outlineLevel="0" collapsed="false">
      <c r="A443" s="21" t="str">
        <f aca="false">IF(Variants!$B444="","",Variants!$C444&amp;" — "&amp;Variants!$E444&amp;IF(Variants!$F444=""," "," "&amp;Variants!$F444)&amp;" — "&amp;Variants!$H444)</f>
        <v>Արեւագորգի Վիշապ — Vishab Arevagorg  — bordeaux</v>
      </c>
      <c r="B443" s="21" t="str">
        <f aca="false">IFERROR(IF(Variants!$B444="","",VLOOKUP(Variants!$B444,Designs!$A$3:$AP$165,9,FALSE())&amp;" Handmade in Armenia."),"")</f>
        <v>Combines the vishap (dragon) motif with the arevagorg (sun-carpet) — an Armenian solar ornament symbolising life and eternity. Handmade in Armenia.</v>
      </c>
      <c r="C443" s="18" t="n">
        <f aca="false">IF(Variants!$J444="","",Variants!$J444)</f>
        <v>52</v>
      </c>
      <c r="D443" s="21" t="n">
        <f aca="false">IF(Variants!$O444="","",Variants!$O444)</f>
        <v>0</v>
      </c>
      <c r="E443" s="21" t="str">
        <f aca="false">Variants!$A444</f>
        <v>KARNI-CHNECK-VISHABAREVAGORG-BORDEAUX</v>
      </c>
      <c r="F443" s="21" t="str">
        <f aca="false">IF(Variants!$E444="","",Variants!$E444&amp;", Armenian, handmade, enamel, "&amp;Variants!$D444)</f>
        <v>Vishab Arevagorg, Armenian, handmade, enamel, chain necklace</v>
      </c>
      <c r="G443" s="21" t="str">
        <f aca="false">IFERROR(VLOOKUP(Variants!$B444,Designs!$A$3:$AP$165,12,FALSE())&amp;", enamel","")</f>
        <v>925 Silver Gold-Plated, enamel</v>
      </c>
      <c r="H443" s="21" t="str">
        <f aca="false">IF(Variants!$B444="","","I did")</f>
        <v>I did</v>
      </c>
      <c r="I443" s="21" t="str">
        <f aca="false">IF(Variants!$B444="","","Made to order")</f>
        <v>Made to order</v>
      </c>
      <c r="J443" s="21" t="str">
        <f aca="false">IF(Variants!$D444="","",Variants!$D444)</f>
        <v>chain necklace</v>
      </c>
      <c r="K443" s="21" t="str">
        <f aca="false">IF(Variants!$Y444="","",Variants!$Y444)</f>
        <v/>
      </c>
      <c r="L443" s="21" t="str">
        <f aca="false">IF(Variants!$H444="","",Variants!$H444)</f>
        <v>bordeaux</v>
      </c>
      <c r="M443" s="21" t="str">
        <f aca="false">IF(Variants!$G444="","",Variants!$G444)</f>
        <v/>
      </c>
    </row>
    <row r="444" customFormat="false" ht="15.75" hidden="false" customHeight="true" outlineLevel="0" collapsed="false">
      <c r="A444" s="21" t="str">
        <f aca="false">IF(Variants!$B445="","",Variants!$C445&amp;" — "&amp;Variants!$E445&amp;IF(Variants!$F445=""," "," "&amp;Variants!$F445)&amp;" — "&amp;Variants!$H445)</f>
        <v>Արեւագորգի Վիշապ — Vishab Arevagorg  — turquoise</v>
      </c>
      <c r="B444" s="21" t="str">
        <f aca="false">IFERROR(IF(Variants!$B445="","",VLOOKUP(Variants!$B445,Designs!$A$3:$AP$165,9,FALSE())&amp;" Handmade in Armenia."),"")</f>
        <v>Combines the vishap (dragon) motif with the arevagorg (sun-carpet) — an Armenian solar ornament symbolising life and eternity. Handmade in Armenia.</v>
      </c>
      <c r="C444" s="18" t="n">
        <f aca="false">IF(Variants!$J445="","",Variants!$J445)</f>
        <v>52</v>
      </c>
      <c r="D444" s="21" t="n">
        <f aca="false">IF(Variants!$O445="","",Variants!$O445)</f>
        <v>0</v>
      </c>
      <c r="E444" s="21" t="str">
        <f aca="false">Variants!$A445</f>
        <v>KARNI-CHNECK-VISHABAREVAGORG-TURQUOISE</v>
      </c>
      <c r="F444" s="21" t="str">
        <f aca="false">IF(Variants!$E445="","",Variants!$E445&amp;", Armenian, handmade, enamel, "&amp;Variants!$D445)</f>
        <v>Vishab Arevagorg, Armenian, handmade, enamel, chain necklace</v>
      </c>
      <c r="G444" s="21" t="str">
        <f aca="false">IFERROR(VLOOKUP(Variants!$B445,Designs!$A$3:$AP$165,12,FALSE())&amp;", enamel","")</f>
        <v>925 Silver Gold-Plated, enamel</v>
      </c>
      <c r="H444" s="21" t="str">
        <f aca="false">IF(Variants!$B445="","","I did")</f>
        <v>I did</v>
      </c>
      <c r="I444" s="21" t="str">
        <f aca="false">IF(Variants!$B445="","","Made to order")</f>
        <v>Made to order</v>
      </c>
      <c r="J444" s="21" t="str">
        <f aca="false">IF(Variants!$D445="","",Variants!$D445)</f>
        <v>chain necklace</v>
      </c>
      <c r="K444" s="21" t="str">
        <f aca="false">IF(Variants!$Y445="","",Variants!$Y445)</f>
        <v/>
      </c>
      <c r="L444" s="21" t="str">
        <f aca="false">IF(Variants!$H445="","",Variants!$H445)</f>
        <v>turquoise</v>
      </c>
      <c r="M444" s="21" t="str">
        <f aca="false">IF(Variants!$G445="","",Variants!$G445)</f>
        <v/>
      </c>
    </row>
    <row r="445" customFormat="false" ht="15.75" hidden="false" customHeight="true" outlineLevel="0" collapsed="false">
      <c r="A445" s="21" t="str">
        <f aca="false">IF(Variants!$B446="","",Variants!$C446&amp;" — "&amp;Variants!$E446&amp;IF(Variants!$F446=""," "," "&amp;Variants!$F446)&amp;" — "&amp;Variants!$H446)</f>
        <v>Արեւագորգի Վիշապ — Vishab Arevagorg  — green</v>
      </c>
      <c r="B445" s="21" t="str">
        <f aca="false">IFERROR(IF(Variants!$B446="","",VLOOKUP(Variants!$B446,Designs!$A$3:$AP$165,9,FALSE())&amp;" Handmade in Armenia."),"")</f>
        <v>Combines the vishap (dragon) motif with the arevagorg (sun-carpet) — an Armenian solar ornament symbolising life and eternity. Handmade in Armenia.</v>
      </c>
      <c r="C445" s="18" t="n">
        <f aca="false">IF(Variants!$J446="","",Variants!$J446)</f>
        <v>52</v>
      </c>
      <c r="D445" s="21" t="n">
        <f aca="false">IF(Variants!$O446="","",Variants!$O446)</f>
        <v>0</v>
      </c>
      <c r="E445" s="21" t="str">
        <f aca="false">Variants!$A446</f>
        <v>KARNI-CHNECK-VISHABAREVAGORG-GREEN</v>
      </c>
      <c r="F445" s="21" t="str">
        <f aca="false">IF(Variants!$E446="","",Variants!$E446&amp;", Armenian, handmade, enamel, "&amp;Variants!$D446)</f>
        <v>Vishab Arevagorg, Armenian, handmade, enamel, chain necklace</v>
      </c>
      <c r="G445" s="21" t="str">
        <f aca="false">IFERROR(VLOOKUP(Variants!$B446,Designs!$A$3:$AP$165,12,FALSE())&amp;", enamel","")</f>
        <v>925 Silver Gold-Plated, enamel</v>
      </c>
      <c r="H445" s="21" t="str">
        <f aca="false">IF(Variants!$B446="","","I did")</f>
        <v>I did</v>
      </c>
      <c r="I445" s="21" t="str">
        <f aca="false">IF(Variants!$B446="","","Made to order")</f>
        <v>Made to order</v>
      </c>
      <c r="J445" s="21" t="str">
        <f aca="false">IF(Variants!$D446="","",Variants!$D446)</f>
        <v>chain necklace</v>
      </c>
      <c r="K445" s="21" t="str">
        <f aca="false">IF(Variants!$Y446="","",Variants!$Y446)</f>
        <v/>
      </c>
      <c r="L445" s="21" t="str">
        <f aca="false">IF(Variants!$H446="","",Variants!$H446)</f>
        <v>green</v>
      </c>
      <c r="M445" s="21" t="str">
        <f aca="false">IF(Variants!$G446="","",Variants!$G446)</f>
        <v/>
      </c>
    </row>
    <row r="446" customFormat="false" ht="15.75" hidden="false" customHeight="true" outlineLevel="0" collapsed="false">
      <c r="A446" s="21" t="str">
        <f aca="false">IF(Variants!$B447="","",Variants!$C447&amp;" — "&amp;Variants!$E447&amp;IF(Variants!$F447=""," "," "&amp;Variants!$F447)&amp;" — "&amp;Variants!$H447)</f>
        <v>Artsakhi Khachanakhsh Chain Necklace — Artsakhi Khachanakhsh  — white</v>
      </c>
      <c r="B446" s="21" t="str">
        <f aca="false">IFERROR(IF(Variants!$B447="","",VLOOKUP(Variants!$B447,Designs!$A$3:$AP$165,9,FALSE())&amp;" Handmade in Armenia."),"")</f>
        <v>Cross-ornament patterns from Artsakh, carrying the carved cross-stone heritage of the region. Handmade in Armenia.</v>
      </c>
      <c r="C446" s="18" t="n">
        <f aca="false">IF(Variants!$J447="","",Variants!$J447)</f>
        <v>52</v>
      </c>
      <c r="D446" s="21" t="n">
        <f aca="false">IF(Variants!$O447="","",Variants!$O447)</f>
        <v>0</v>
      </c>
      <c r="E446" s="21" t="str">
        <f aca="false">Variants!$A447</f>
        <v>KARNI-CHNECK-ARTSAKHIKHACHANAKHSH-WHITE</v>
      </c>
      <c r="F446" s="21" t="str">
        <f aca="false">IF(Variants!$E447="","",Variants!$E447&amp;", Armenian, handmade, enamel, "&amp;Variants!$D447)</f>
        <v>Artsakhi Khachanakhsh, Armenian, handmade, enamel, chain necklace</v>
      </c>
      <c r="G446" s="21" t="str">
        <f aca="false">IFERROR(VLOOKUP(Variants!$B447,Designs!$A$3:$AP$165,12,FALSE())&amp;", enamel","")</f>
        <v>925 Silver Gold-Plated, enamel</v>
      </c>
      <c r="H446" s="21" t="str">
        <f aca="false">IF(Variants!$B447="","","I did")</f>
        <v>I did</v>
      </c>
      <c r="I446" s="21" t="str">
        <f aca="false">IF(Variants!$B447="","","Made to order")</f>
        <v>Made to order</v>
      </c>
      <c r="J446" s="21" t="str">
        <f aca="false">IF(Variants!$D447="","",Variants!$D447)</f>
        <v>chain necklace</v>
      </c>
      <c r="K446" s="21" t="str">
        <f aca="false">IF(Variants!$Y447="","",Variants!$Y447)</f>
        <v/>
      </c>
      <c r="L446" s="21" t="str">
        <f aca="false">IF(Variants!$H447="","",Variants!$H447)</f>
        <v>white</v>
      </c>
      <c r="M446" s="21" t="str">
        <f aca="false">IF(Variants!$G447="","",Variants!$G447)</f>
        <v/>
      </c>
    </row>
    <row r="447" customFormat="false" ht="15.75" hidden="false" customHeight="true" outlineLevel="0" collapsed="false">
      <c r="A447" s="21" t="str">
        <f aca="false">IF(Variants!$B448="","",Variants!$C448&amp;" — "&amp;Variants!$E448&amp;IF(Variants!$F448=""," "," "&amp;Variants!$F448)&amp;" — "&amp;Variants!$H448)</f>
        <v>Artsakhi Khachanakhsh Chain Necklace — Artsakhi Khachanakhsh  — white-red</v>
      </c>
      <c r="B447" s="21" t="str">
        <f aca="false">IFERROR(IF(Variants!$B448="","",VLOOKUP(Variants!$B448,Designs!$A$3:$AP$165,9,FALSE())&amp;" Handmade in Armenia."),"")</f>
        <v>Cross-ornament patterns from Artsakh, carrying the carved cross-stone heritage of the region. Handmade in Armenia.</v>
      </c>
      <c r="C447" s="18" t="n">
        <f aca="false">IF(Variants!$J448="","",Variants!$J448)</f>
        <v>52</v>
      </c>
      <c r="D447" s="21" t="n">
        <f aca="false">IF(Variants!$O448="","",Variants!$O448)</f>
        <v>0</v>
      </c>
      <c r="E447" s="21" t="str">
        <f aca="false">Variants!$A448</f>
        <v>KARNI-CHNECK-ARTSAKHIKHACHANAKHSH-WHITE-RED</v>
      </c>
      <c r="F447" s="21" t="str">
        <f aca="false">IF(Variants!$E448="","",Variants!$E448&amp;", Armenian, handmade, enamel, "&amp;Variants!$D448)</f>
        <v>Artsakhi Khachanakhsh, Armenian, handmade, enamel, chain necklace</v>
      </c>
      <c r="G447" s="21" t="str">
        <f aca="false">IFERROR(VLOOKUP(Variants!$B448,Designs!$A$3:$AP$165,12,FALSE())&amp;", enamel","")</f>
        <v>925 Silver Gold-Plated, enamel</v>
      </c>
      <c r="H447" s="21" t="str">
        <f aca="false">IF(Variants!$B448="","","I did")</f>
        <v>I did</v>
      </c>
      <c r="I447" s="21" t="str">
        <f aca="false">IF(Variants!$B448="","","Made to order")</f>
        <v>Made to order</v>
      </c>
      <c r="J447" s="21" t="str">
        <f aca="false">IF(Variants!$D448="","",Variants!$D448)</f>
        <v>chain necklace</v>
      </c>
      <c r="K447" s="21" t="str">
        <f aca="false">IF(Variants!$Y448="","",Variants!$Y448)</f>
        <v/>
      </c>
      <c r="L447" s="21" t="str">
        <f aca="false">IF(Variants!$H448="","",Variants!$H448)</f>
        <v>white-red</v>
      </c>
      <c r="M447" s="21" t="str">
        <f aca="false">IF(Variants!$G448="","",Variants!$G448)</f>
        <v/>
      </c>
    </row>
    <row r="448" customFormat="false" ht="15.75" hidden="false" customHeight="true" outlineLevel="0" collapsed="false">
      <c r="A448" s="21" t="str">
        <f aca="false">IF(Variants!$B449="","",Variants!$C449&amp;" — "&amp;Variants!$E449&amp;IF(Variants!$F449=""," "," "&amp;Variants!$F449)&amp;" — "&amp;Variants!$H449)</f>
        <v>Artsakhi Khachanakhsh Chain Necklace — Artsakhi Khachanakhsh  — white-blue</v>
      </c>
      <c r="B448" s="21" t="str">
        <f aca="false">IFERROR(IF(Variants!$B449="","",VLOOKUP(Variants!$B449,Designs!$A$3:$AP$165,9,FALSE())&amp;" Handmade in Armenia."),"")</f>
        <v>Cross-ornament patterns from Artsakh, carrying the carved cross-stone heritage of the region. Handmade in Armenia.</v>
      </c>
      <c r="C448" s="18" t="n">
        <f aca="false">IF(Variants!$J449="","",Variants!$J449)</f>
        <v>52</v>
      </c>
      <c r="D448" s="21" t="n">
        <f aca="false">IF(Variants!$O449="","",Variants!$O449)</f>
        <v>0</v>
      </c>
      <c r="E448" s="21" t="str">
        <f aca="false">Variants!$A449</f>
        <v>KARNI-CHNECK-ARTSAKHIKHACHANAKHSH-WHITE-BLUE</v>
      </c>
      <c r="F448" s="21" t="str">
        <f aca="false">IF(Variants!$E449="","",Variants!$E449&amp;", Armenian, handmade, enamel, "&amp;Variants!$D449)</f>
        <v>Artsakhi Khachanakhsh, Armenian, handmade, enamel, chain necklace</v>
      </c>
      <c r="G448" s="21" t="str">
        <f aca="false">IFERROR(VLOOKUP(Variants!$B449,Designs!$A$3:$AP$165,12,FALSE())&amp;", enamel","")</f>
        <v>925 Silver Gold-Plated, enamel</v>
      </c>
      <c r="H448" s="21" t="str">
        <f aca="false">IF(Variants!$B449="","","I did")</f>
        <v>I did</v>
      </c>
      <c r="I448" s="21" t="str">
        <f aca="false">IF(Variants!$B449="","","Made to order")</f>
        <v>Made to order</v>
      </c>
      <c r="J448" s="21" t="str">
        <f aca="false">IF(Variants!$D449="","",Variants!$D449)</f>
        <v>chain necklace</v>
      </c>
      <c r="K448" s="21" t="str">
        <f aca="false">IF(Variants!$Y449="","",Variants!$Y449)</f>
        <v/>
      </c>
      <c r="L448" s="21" t="str">
        <f aca="false">IF(Variants!$H449="","",Variants!$H449)</f>
        <v>white-blue</v>
      </c>
      <c r="M448" s="21" t="str">
        <f aca="false">IF(Variants!$G449="","",Variants!$G449)</f>
        <v/>
      </c>
    </row>
    <row r="449" customFormat="false" ht="15.75" hidden="false" customHeight="true" outlineLevel="0" collapsed="false">
      <c r="A449" s="21" t="str">
        <f aca="false">IF(Variants!$B450="","",Variants!$C450&amp;" — "&amp;Variants!$E450&amp;IF(Variants!$F450=""," "," "&amp;Variants!$F450)&amp;" — "&amp;Variants!$H450)</f>
        <v>Artsakhi Khachanakhsh Chain Necklace — Artsakhi Khachanakhsh  — blue</v>
      </c>
      <c r="B449" s="21" t="str">
        <f aca="false">IFERROR(IF(Variants!$B450="","",VLOOKUP(Variants!$B450,Designs!$A$3:$AP$165,9,FALSE())&amp;" Handmade in Armenia."),"")</f>
        <v>Cross-ornament patterns from Artsakh, carrying the carved cross-stone heritage of the region. Handmade in Armenia.</v>
      </c>
      <c r="C449" s="18" t="n">
        <f aca="false">IF(Variants!$J450="","",Variants!$J450)</f>
        <v>52</v>
      </c>
      <c r="D449" s="21" t="n">
        <f aca="false">IF(Variants!$O450="","",Variants!$O450)</f>
        <v>0</v>
      </c>
      <c r="E449" s="21" t="str">
        <f aca="false">Variants!$A450</f>
        <v>KARNI-CHNECK-ARTSAKHIKHACHANAKHSH-BLUE</v>
      </c>
      <c r="F449" s="21" t="str">
        <f aca="false">IF(Variants!$E450="","",Variants!$E450&amp;", Armenian, handmade, enamel, "&amp;Variants!$D450)</f>
        <v>Artsakhi Khachanakhsh, Armenian, handmade, enamel, chain necklace</v>
      </c>
      <c r="G449" s="21" t="str">
        <f aca="false">IFERROR(VLOOKUP(Variants!$B450,Designs!$A$3:$AP$165,12,FALSE())&amp;", enamel","")</f>
        <v>925 Silver Gold-Plated, enamel</v>
      </c>
      <c r="H449" s="21" t="str">
        <f aca="false">IF(Variants!$B450="","","I did")</f>
        <v>I did</v>
      </c>
      <c r="I449" s="21" t="str">
        <f aca="false">IF(Variants!$B450="","","Made to order")</f>
        <v>Made to order</v>
      </c>
      <c r="J449" s="21" t="str">
        <f aca="false">IF(Variants!$D450="","",Variants!$D450)</f>
        <v>chain necklace</v>
      </c>
      <c r="K449" s="21" t="str">
        <f aca="false">IF(Variants!$Y450="","",Variants!$Y450)</f>
        <v/>
      </c>
      <c r="L449" s="21" t="str">
        <f aca="false">IF(Variants!$H450="","",Variants!$H450)</f>
        <v>blue</v>
      </c>
      <c r="M449" s="21" t="str">
        <f aca="false">IF(Variants!$G450="","",Variants!$G450)</f>
        <v/>
      </c>
    </row>
    <row r="450" customFormat="false" ht="15.75" hidden="false" customHeight="true" outlineLevel="0" collapsed="false">
      <c r="A450" s="21" t="str">
        <f aca="false">IF(Variants!$B451="","",Variants!$C451&amp;" — "&amp;Variants!$E451&amp;IF(Variants!$F451=""," "," "&amp;Variants!$F451)&amp;" — "&amp;Variants!$H451)</f>
        <v>Artsakhi Khachanakhsh Chain Necklace — Artsakhi Khachanakhsh  — bordeaux-green</v>
      </c>
      <c r="B450" s="21" t="str">
        <f aca="false">IFERROR(IF(Variants!$B451="","",VLOOKUP(Variants!$B451,Designs!$A$3:$AP$165,9,FALSE())&amp;" Handmade in Armenia."),"")</f>
        <v>Cross-ornament patterns from Artsakh, carrying the carved cross-stone heritage of the region. Handmade in Armenia.</v>
      </c>
      <c r="C450" s="18" t="n">
        <f aca="false">IF(Variants!$J451="","",Variants!$J451)</f>
        <v>52</v>
      </c>
      <c r="D450" s="21" t="n">
        <f aca="false">IF(Variants!$O451="","",Variants!$O451)</f>
        <v>0</v>
      </c>
      <c r="E450" s="21" t="str">
        <f aca="false">Variants!$A451</f>
        <v>KARNI-CHNECK-ARTSAKHIKHACHANAKHSH-BORDEAUX-GREEN</v>
      </c>
      <c r="F450" s="21" t="str">
        <f aca="false">IF(Variants!$E451="","",Variants!$E451&amp;", Armenian, handmade, enamel, "&amp;Variants!$D451)</f>
        <v>Artsakhi Khachanakhsh, Armenian, handmade, enamel, chain necklace</v>
      </c>
      <c r="G450" s="21" t="str">
        <f aca="false">IFERROR(VLOOKUP(Variants!$B451,Designs!$A$3:$AP$165,12,FALSE())&amp;", enamel","")</f>
        <v>925 Silver Gold-Plated, enamel</v>
      </c>
      <c r="H450" s="21" t="str">
        <f aca="false">IF(Variants!$B451="","","I did")</f>
        <v>I did</v>
      </c>
      <c r="I450" s="21" t="str">
        <f aca="false">IF(Variants!$B451="","","Made to order")</f>
        <v>Made to order</v>
      </c>
      <c r="J450" s="21" t="str">
        <f aca="false">IF(Variants!$D451="","",Variants!$D451)</f>
        <v>chain necklace</v>
      </c>
      <c r="K450" s="21" t="str">
        <f aca="false">IF(Variants!$Y451="","",Variants!$Y451)</f>
        <v/>
      </c>
      <c r="L450" s="21" t="str">
        <f aca="false">IF(Variants!$H451="","",Variants!$H451)</f>
        <v>bordeaux-green</v>
      </c>
      <c r="M450" s="21" t="str">
        <f aca="false">IF(Variants!$G451="","",Variants!$G451)</f>
        <v/>
      </c>
    </row>
    <row r="451" customFormat="false" ht="15.75" hidden="false" customHeight="true" outlineLevel="0" collapsed="false">
      <c r="A451" s="21" t="str">
        <f aca="false">IF(Variants!$B452="","",Variants!$C452&amp;" — "&amp;Variants!$E452&amp;IF(Variants!$F452=""," "," "&amp;Variants!$F452)&amp;" — "&amp;Variants!$H452)</f>
        <v>Artsakhi Khachanakhsh Chain Bracelet — Artsakhi Khachanakhsh  — white</v>
      </c>
      <c r="B451" s="21" t="str">
        <f aca="false">IFERROR(IF(Variants!$B452="","",VLOOKUP(Variants!$B452,Designs!$A$3:$AP$165,9,FALSE())&amp;" Handmade in Armenia."),"")</f>
        <v>Cross-ornament patterns from Artsakh, carrying the carved cross-stone heritage of the region. Handmade in Armenia.</v>
      </c>
      <c r="C451" s="18" t="n">
        <f aca="false">IF(Variants!$J452="","",Variants!$J452)</f>
        <v>44.2</v>
      </c>
      <c r="D451" s="21" t="n">
        <f aca="false">IF(Variants!$O452="","",Variants!$O452)</f>
        <v>0</v>
      </c>
      <c r="E451" s="21" t="str">
        <f aca="false">Variants!$A452</f>
        <v>KARNI-CHBRAC-ARTSAKHIKHACHANAKHSH-WHITE</v>
      </c>
      <c r="F451" s="21" t="str">
        <f aca="false">IF(Variants!$E452="","",Variants!$E452&amp;", Armenian, handmade, enamel, "&amp;Variants!$D452)</f>
        <v>Artsakhi Khachanakhsh, Armenian, handmade, enamel, chain bracelet</v>
      </c>
      <c r="G451" s="21" t="str">
        <f aca="false">IFERROR(VLOOKUP(Variants!$B452,Designs!$A$3:$AP$165,12,FALSE())&amp;", enamel","")</f>
        <v>925 Silver Gold-Plated, enamel</v>
      </c>
      <c r="H451" s="21" t="str">
        <f aca="false">IF(Variants!$B452="","","I did")</f>
        <v>I did</v>
      </c>
      <c r="I451" s="21" t="str">
        <f aca="false">IF(Variants!$B452="","","Made to order")</f>
        <v>Made to order</v>
      </c>
      <c r="J451" s="21" t="str">
        <f aca="false">IF(Variants!$D452="","",Variants!$D452)</f>
        <v>chain bracelet</v>
      </c>
      <c r="K451" s="21" t="str">
        <f aca="false">IF(Variants!$Y452="","",Variants!$Y452)</f>
        <v/>
      </c>
      <c r="L451" s="21" t="str">
        <f aca="false">IF(Variants!$H452="","",Variants!$H452)</f>
        <v>white</v>
      </c>
      <c r="M451" s="21" t="str">
        <f aca="false">IF(Variants!$G452="","",Variants!$G452)</f>
        <v/>
      </c>
    </row>
    <row r="452" customFormat="false" ht="15.75" hidden="false" customHeight="true" outlineLevel="0" collapsed="false">
      <c r="A452" s="21" t="str">
        <f aca="false">IF(Variants!$B453="","",Variants!$C453&amp;" — "&amp;Variants!$E453&amp;IF(Variants!$F453=""," "," "&amp;Variants!$F453)&amp;" — "&amp;Variants!$H453)</f>
        <v>Artsakhi Khachanakhsh Chain Bracelet — Artsakhi Khachanakhsh  — white-red</v>
      </c>
      <c r="B452" s="21" t="str">
        <f aca="false">IFERROR(IF(Variants!$B453="","",VLOOKUP(Variants!$B453,Designs!$A$3:$AP$165,9,FALSE())&amp;" Handmade in Armenia."),"")</f>
        <v>Cross-ornament patterns from Artsakh, carrying the carved cross-stone heritage of the region. Handmade in Armenia.</v>
      </c>
      <c r="C452" s="18" t="n">
        <f aca="false">IF(Variants!$J453="","",Variants!$J453)</f>
        <v>44.2</v>
      </c>
      <c r="D452" s="21" t="n">
        <f aca="false">IF(Variants!$O453="","",Variants!$O453)</f>
        <v>0</v>
      </c>
      <c r="E452" s="21" t="str">
        <f aca="false">Variants!$A453</f>
        <v>KARNI-CHBRAC-ARTSAKHIKHACHANAKHSH-WHITE-RED</v>
      </c>
      <c r="F452" s="21" t="str">
        <f aca="false">IF(Variants!$E453="","",Variants!$E453&amp;", Armenian, handmade, enamel, "&amp;Variants!$D453)</f>
        <v>Artsakhi Khachanakhsh, Armenian, handmade, enamel, chain bracelet</v>
      </c>
      <c r="G452" s="21" t="str">
        <f aca="false">IFERROR(VLOOKUP(Variants!$B453,Designs!$A$3:$AP$165,12,FALSE())&amp;", enamel","")</f>
        <v>925 Silver Gold-Plated, enamel</v>
      </c>
      <c r="H452" s="21" t="str">
        <f aca="false">IF(Variants!$B453="","","I did")</f>
        <v>I did</v>
      </c>
      <c r="I452" s="21" t="str">
        <f aca="false">IF(Variants!$B453="","","Made to order")</f>
        <v>Made to order</v>
      </c>
      <c r="J452" s="21" t="str">
        <f aca="false">IF(Variants!$D453="","",Variants!$D453)</f>
        <v>chain bracelet</v>
      </c>
      <c r="K452" s="21" t="str">
        <f aca="false">IF(Variants!$Y453="","",Variants!$Y453)</f>
        <v/>
      </c>
      <c r="L452" s="21" t="str">
        <f aca="false">IF(Variants!$H453="","",Variants!$H453)</f>
        <v>white-red</v>
      </c>
      <c r="M452" s="21" t="str">
        <f aca="false">IF(Variants!$G453="","",Variants!$G453)</f>
        <v/>
      </c>
    </row>
    <row r="453" customFormat="false" ht="15.75" hidden="false" customHeight="true" outlineLevel="0" collapsed="false">
      <c r="A453" s="21" t="str">
        <f aca="false">IF(Variants!$B454="","",Variants!$C454&amp;" — "&amp;Variants!$E454&amp;IF(Variants!$F454=""," "," "&amp;Variants!$F454)&amp;" — "&amp;Variants!$H454)</f>
        <v>Artsakhi Khachanakhsh Chain Bracelet — Artsakhi Khachanakhsh  — white-blue</v>
      </c>
      <c r="B453" s="21" t="str">
        <f aca="false">IFERROR(IF(Variants!$B454="","",VLOOKUP(Variants!$B454,Designs!$A$3:$AP$165,9,FALSE())&amp;" Handmade in Armenia."),"")</f>
        <v>Cross-ornament patterns from Artsakh, carrying the carved cross-stone heritage of the region. Handmade in Armenia.</v>
      </c>
      <c r="C453" s="18" t="n">
        <f aca="false">IF(Variants!$J454="","",Variants!$J454)</f>
        <v>44.2</v>
      </c>
      <c r="D453" s="21" t="n">
        <f aca="false">IF(Variants!$O454="","",Variants!$O454)</f>
        <v>0</v>
      </c>
      <c r="E453" s="21" t="str">
        <f aca="false">Variants!$A454</f>
        <v>KARNI-CHBRAC-ARTSAKHIKHACHANAKHSH-WHITE-BLUE</v>
      </c>
      <c r="F453" s="21" t="str">
        <f aca="false">IF(Variants!$E454="","",Variants!$E454&amp;", Armenian, handmade, enamel, "&amp;Variants!$D454)</f>
        <v>Artsakhi Khachanakhsh, Armenian, handmade, enamel, chain bracelet</v>
      </c>
      <c r="G453" s="21" t="str">
        <f aca="false">IFERROR(VLOOKUP(Variants!$B454,Designs!$A$3:$AP$165,12,FALSE())&amp;", enamel","")</f>
        <v>925 Silver Gold-Plated, enamel</v>
      </c>
      <c r="H453" s="21" t="str">
        <f aca="false">IF(Variants!$B454="","","I did")</f>
        <v>I did</v>
      </c>
      <c r="I453" s="21" t="str">
        <f aca="false">IF(Variants!$B454="","","Made to order")</f>
        <v>Made to order</v>
      </c>
      <c r="J453" s="21" t="str">
        <f aca="false">IF(Variants!$D454="","",Variants!$D454)</f>
        <v>chain bracelet</v>
      </c>
      <c r="K453" s="21" t="str">
        <f aca="false">IF(Variants!$Y454="","",Variants!$Y454)</f>
        <v/>
      </c>
      <c r="L453" s="21" t="str">
        <f aca="false">IF(Variants!$H454="","",Variants!$H454)</f>
        <v>white-blue</v>
      </c>
      <c r="M453" s="21" t="str">
        <f aca="false">IF(Variants!$G454="","",Variants!$G454)</f>
        <v/>
      </c>
    </row>
    <row r="454" customFormat="false" ht="15.75" hidden="false" customHeight="true" outlineLevel="0" collapsed="false">
      <c r="A454" s="21" t="str">
        <f aca="false">IF(Variants!$B455="","",Variants!$C455&amp;" — "&amp;Variants!$E455&amp;IF(Variants!$F455=""," "," "&amp;Variants!$F455)&amp;" — "&amp;Variants!$H455)</f>
        <v>Artsakhi Khachanakhsh Chain Bracelet — Artsakhi Khachanakhsh  — blue</v>
      </c>
      <c r="B454" s="21" t="str">
        <f aca="false">IFERROR(IF(Variants!$B455="","",VLOOKUP(Variants!$B455,Designs!$A$3:$AP$165,9,FALSE())&amp;" Handmade in Armenia."),"")</f>
        <v>Cross-ornament patterns from Artsakh, carrying the carved cross-stone heritage of the region. Handmade in Armenia.</v>
      </c>
      <c r="C454" s="18" t="n">
        <f aca="false">IF(Variants!$J455="","",Variants!$J455)</f>
        <v>44.2</v>
      </c>
      <c r="D454" s="21" t="n">
        <f aca="false">IF(Variants!$O455="","",Variants!$O455)</f>
        <v>0</v>
      </c>
      <c r="E454" s="21" t="str">
        <f aca="false">Variants!$A455</f>
        <v>KARNI-CHBRAC-ARTSAKHIKHACHANAKHSH-BLUE</v>
      </c>
      <c r="F454" s="21" t="str">
        <f aca="false">IF(Variants!$E455="","",Variants!$E455&amp;", Armenian, handmade, enamel, "&amp;Variants!$D455)</f>
        <v>Artsakhi Khachanakhsh, Armenian, handmade, enamel, chain bracelet</v>
      </c>
      <c r="G454" s="21" t="str">
        <f aca="false">IFERROR(VLOOKUP(Variants!$B455,Designs!$A$3:$AP$165,12,FALSE())&amp;", enamel","")</f>
        <v>925 Silver Gold-Plated, enamel</v>
      </c>
      <c r="H454" s="21" t="str">
        <f aca="false">IF(Variants!$B455="","","I did")</f>
        <v>I did</v>
      </c>
      <c r="I454" s="21" t="str">
        <f aca="false">IF(Variants!$B455="","","Made to order")</f>
        <v>Made to order</v>
      </c>
      <c r="J454" s="21" t="str">
        <f aca="false">IF(Variants!$D455="","",Variants!$D455)</f>
        <v>chain bracelet</v>
      </c>
      <c r="K454" s="21" t="str">
        <f aca="false">IF(Variants!$Y455="","",Variants!$Y455)</f>
        <v/>
      </c>
      <c r="L454" s="21" t="str">
        <f aca="false">IF(Variants!$H455="","",Variants!$H455)</f>
        <v>blue</v>
      </c>
      <c r="M454" s="21" t="str">
        <f aca="false">IF(Variants!$G455="","",Variants!$G455)</f>
        <v/>
      </c>
    </row>
    <row r="455" customFormat="false" ht="15.75" hidden="false" customHeight="true" outlineLevel="0" collapsed="false">
      <c r="A455" s="21" t="str">
        <f aca="false">IF(Variants!$B456="","",Variants!$C456&amp;" — "&amp;Variants!$E456&amp;IF(Variants!$F456=""," "," "&amp;Variants!$F456)&amp;" — "&amp;Variants!$H456)</f>
        <v>Artsakhi Khachanakhsh Chain Bracelet — Artsakhi Khachanakhsh  — bordeaux-green</v>
      </c>
      <c r="B455" s="21" t="str">
        <f aca="false">IFERROR(IF(Variants!$B456="","",VLOOKUP(Variants!$B456,Designs!$A$3:$AP$165,9,FALSE())&amp;" Handmade in Armenia."),"")</f>
        <v>Cross-ornament patterns from Artsakh, carrying the carved cross-stone heritage of the region. Handmade in Armenia.</v>
      </c>
      <c r="C455" s="18" t="n">
        <f aca="false">IF(Variants!$J456="","",Variants!$J456)</f>
        <v>44.2</v>
      </c>
      <c r="D455" s="21" t="n">
        <f aca="false">IF(Variants!$O456="","",Variants!$O456)</f>
        <v>0</v>
      </c>
      <c r="E455" s="21" t="str">
        <f aca="false">Variants!$A456</f>
        <v>KARNI-CHBRAC-ARTSAKHIKHACHANAKHSH-BORDEAUX-GREEN</v>
      </c>
      <c r="F455" s="21" t="str">
        <f aca="false">IF(Variants!$E456="","",Variants!$E456&amp;", Armenian, handmade, enamel, "&amp;Variants!$D456)</f>
        <v>Artsakhi Khachanakhsh, Armenian, handmade, enamel, chain bracelet</v>
      </c>
      <c r="G455" s="21" t="str">
        <f aca="false">IFERROR(VLOOKUP(Variants!$B456,Designs!$A$3:$AP$165,12,FALSE())&amp;", enamel","")</f>
        <v>925 Silver Gold-Plated, enamel</v>
      </c>
      <c r="H455" s="21" t="str">
        <f aca="false">IF(Variants!$B456="","","I did")</f>
        <v>I did</v>
      </c>
      <c r="I455" s="21" t="str">
        <f aca="false">IF(Variants!$B456="","","Made to order")</f>
        <v>Made to order</v>
      </c>
      <c r="J455" s="21" t="str">
        <f aca="false">IF(Variants!$D456="","",Variants!$D456)</f>
        <v>chain bracelet</v>
      </c>
      <c r="K455" s="21" t="str">
        <f aca="false">IF(Variants!$Y456="","",Variants!$Y456)</f>
        <v/>
      </c>
      <c r="L455" s="21" t="str">
        <f aca="false">IF(Variants!$H456="","",Variants!$H456)</f>
        <v>bordeaux-green</v>
      </c>
      <c r="M455" s="21" t="str">
        <f aca="false">IF(Variants!$G456="","",Variants!$G456)</f>
        <v/>
      </c>
    </row>
    <row r="456" customFormat="false" ht="15.75" hidden="false" customHeight="true" outlineLevel="0" collapsed="false">
      <c r="A456" s="21" t="str">
        <f aca="false">IF(Variants!$B457="","",Variants!$C457&amp;" — "&amp;Variants!$E457&amp;IF(Variants!$F457=""," "," "&amp;Variants!$F457)&amp;" — "&amp;Variants!$H457)</f>
        <v>Marash Chain Bracelet — Marash  — blue</v>
      </c>
      <c r="B456" s="21" t="str">
        <f aca="false">IFERROR(IF(Variants!$B457="","",VLOOKUP(Variants!$B457,Designs!$A$3:$AP$165,9,FALSE())&amp;" Handmade in Armenia."),"")</f>
        <v>Marash-work is a distinctive Armenian embroidery style from Cilician Marash, known for its interlaced geometric patterns. Handmade in Armenia.</v>
      </c>
      <c r="C456" s="18" t="n">
        <f aca="false">IF(Variants!$J457="","",Variants!$J457)</f>
        <v>44.2</v>
      </c>
      <c r="D456" s="21" t="n">
        <f aca="false">IF(Variants!$O457="","",Variants!$O457)</f>
        <v>0</v>
      </c>
      <c r="E456" s="21" t="str">
        <f aca="false">Variants!$A457</f>
        <v>KARNI-CHBRAC-MARASH-BLUE</v>
      </c>
      <c r="F456" s="21" t="str">
        <f aca="false">IF(Variants!$E457="","",Variants!$E457&amp;", Armenian, handmade, enamel, "&amp;Variants!$D457)</f>
        <v>Marash, Armenian, handmade, enamel, chain bracelet</v>
      </c>
      <c r="G456" s="21" t="str">
        <f aca="false">IFERROR(VLOOKUP(Variants!$B457,Designs!$A$3:$AP$165,12,FALSE())&amp;", enamel","")</f>
        <v>925 Silver Gold-Plated, enamel</v>
      </c>
      <c r="H456" s="21" t="str">
        <f aca="false">IF(Variants!$B457="","","I did")</f>
        <v>I did</v>
      </c>
      <c r="I456" s="21" t="str">
        <f aca="false">IF(Variants!$B457="","","Made to order")</f>
        <v>Made to order</v>
      </c>
      <c r="J456" s="21" t="str">
        <f aca="false">IF(Variants!$D457="","",Variants!$D457)</f>
        <v>chain bracelet</v>
      </c>
      <c r="K456" s="21" t="str">
        <f aca="false">IF(Variants!$Y457="","",Variants!$Y457)</f>
        <v/>
      </c>
      <c r="L456" s="21" t="str">
        <f aca="false">IF(Variants!$H457="","",Variants!$H457)</f>
        <v>blue</v>
      </c>
      <c r="M456" s="21" t="str">
        <f aca="false">IF(Variants!$G457="","",Variants!$G457)</f>
        <v/>
      </c>
    </row>
    <row r="457" customFormat="false" ht="15.75" hidden="false" customHeight="true" outlineLevel="0" collapsed="false">
      <c r="A457" s="21" t="str">
        <f aca="false">IF(Variants!$B458="","",Variants!$C458&amp;" — "&amp;Variants!$E458&amp;IF(Variants!$F458=""," "," "&amp;Variants!$F458)&amp;" — "&amp;Variants!$H458)</f>
        <v>Marash Chain Bracelet — Marash  — white</v>
      </c>
      <c r="B457" s="21" t="str">
        <f aca="false">IFERROR(IF(Variants!$B458="","",VLOOKUP(Variants!$B458,Designs!$A$3:$AP$165,9,FALSE())&amp;" Handmade in Armenia."),"")</f>
        <v>Marash-work is a distinctive Armenian embroidery style from Cilician Marash, known for its interlaced geometric patterns. Handmade in Armenia.</v>
      </c>
      <c r="C457" s="18" t="n">
        <f aca="false">IF(Variants!$J458="","",Variants!$J458)</f>
        <v>44.2</v>
      </c>
      <c r="D457" s="21" t="n">
        <f aca="false">IF(Variants!$O458="","",Variants!$O458)</f>
        <v>0</v>
      </c>
      <c r="E457" s="21" t="str">
        <f aca="false">Variants!$A458</f>
        <v>KARNI-CHBRAC-MARASH-WHITE</v>
      </c>
      <c r="F457" s="21" t="str">
        <f aca="false">IF(Variants!$E458="","",Variants!$E458&amp;", Armenian, handmade, enamel, "&amp;Variants!$D458)</f>
        <v>Marash, Armenian, handmade, enamel, chain bracelet</v>
      </c>
      <c r="G457" s="21" t="str">
        <f aca="false">IFERROR(VLOOKUP(Variants!$B458,Designs!$A$3:$AP$165,12,FALSE())&amp;", enamel","")</f>
        <v>925 Silver Gold-Plated, enamel</v>
      </c>
      <c r="H457" s="21" t="str">
        <f aca="false">IF(Variants!$B458="","","I did")</f>
        <v>I did</v>
      </c>
      <c r="I457" s="21" t="str">
        <f aca="false">IF(Variants!$B458="","","Made to order")</f>
        <v>Made to order</v>
      </c>
      <c r="J457" s="21" t="str">
        <f aca="false">IF(Variants!$D458="","",Variants!$D458)</f>
        <v>chain bracelet</v>
      </c>
      <c r="K457" s="21" t="str">
        <f aca="false">IF(Variants!$Y458="","",Variants!$Y458)</f>
        <v/>
      </c>
      <c r="L457" s="21" t="str">
        <f aca="false">IF(Variants!$H458="","",Variants!$H458)</f>
        <v>white</v>
      </c>
      <c r="M457" s="21" t="str">
        <f aca="false">IF(Variants!$G458="","",Variants!$G458)</f>
        <v/>
      </c>
    </row>
    <row r="458" customFormat="false" ht="15.75" hidden="false" customHeight="true" outlineLevel="0" collapsed="false">
      <c r="A458" s="21" t="str">
        <f aca="false">IF(Variants!$B459="","",Variants!$C459&amp;" — "&amp;Variants!$E459&amp;IF(Variants!$F459=""," "," "&amp;Variants!$F459)&amp;" — "&amp;Variants!$H459)</f>
        <v>Marash Chain Bracelet — Marash  — bordeaux</v>
      </c>
      <c r="B458" s="21" t="str">
        <f aca="false">IFERROR(IF(Variants!$B459="","",VLOOKUP(Variants!$B459,Designs!$A$3:$AP$165,9,FALSE())&amp;" Handmade in Armenia."),"")</f>
        <v>Marash-work is a distinctive Armenian embroidery style from Cilician Marash, known for its interlaced geometric patterns. Handmade in Armenia.</v>
      </c>
      <c r="C458" s="18" t="n">
        <f aca="false">IF(Variants!$J459="","",Variants!$J459)</f>
        <v>44.2</v>
      </c>
      <c r="D458" s="21" t="n">
        <f aca="false">IF(Variants!$O459="","",Variants!$O459)</f>
        <v>0</v>
      </c>
      <c r="E458" s="21" t="str">
        <f aca="false">Variants!$A459</f>
        <v>KARNI-CHBRAC-MARASH-BORDEAUX</v>
      </c>
      <c r="F458" s="21" t="str">
        <f aca="false">IF(Variants!$E459="","",Variants!$E459&amp;", Armenian, handmade, enamel, "&amp;Variants!$D459)</f>
        <v>Marash, Armenian, handmade, enamel, chain bracelet</v>
      </c>
      <c r="G458" s="21" t="str">
        <f aca="false">IFERROR(VLOOKUP(Variants!$B459,Designs!$A$3:$AP$165,12,FALSE())&amp;", enamel","")</f>
        <v>925 Silver Gold-Plated, enamel</v>
      </c>
      <c r="H458" s="21" t="str">
        <f aca="false">IF(Variants!$B459="","","I did")</f>
        <v>I did</v>
      </c>
      <c r="I458" s="21" t="str">
        <f aca="false">IF(Variants!$B459="","","Made to order")</f>
        <v>Made to order</v>
      </c>
      <c r="J458" s="21" t="str">
        <f aca="false">IF(Variants!$D459="","",Variants!$D459)</f>
        <v>chain bracelet</v>
      </c>
      <c r="K458" s="21" t="str">
        <f aca="false">IF(Variants!$Y459="","",Variants!$Y459)</f>
        <v/>
      </c>
      <c r="L458" s="21" t="str">
        <f aca="false">IF(Variants!$H459="","",Variants!$H459)</f>
        <v>bordeaux</v>
      </c>
      <c r="M458" s="21" t="str">
        <f aca="false">IF(Variants!$G459="","",Variants!$G459)</f>
        <v/>
      </c>
    </row>
    <row r="459" customFormat="false" ht="15.75" hidden="false" customHeight="true" outlineLevel="0" collapsed="false">
      <c r="A459" s="21" t="str">
        <f aca="false">IF(Variants!$B460="","",Variants!$C460&amp;" — "&amp;Variants!$E460&amp;IF(Variants!$F460=""," "," "&amp;Variants!$F460)&amp;" — "&amp;Variants!$H460)</f>
        <v>Marash Chain Bracelet — Marash  — turquoise</v>
      </c>
      <c r="B459" s="21" t="str">
        <f aca="false">IFERROR(IF(Variants!$B460="","",VLOOKUP(Variants!$B460,Designs!$A$3:$AP$165,9,FALSE())&amp;" Handmade in Armenia."),"")</f>
        <v>Marash-work is a distinctive Armenian embroidery style from Cilician Marash, known for its interlaced geometric patterns. Handmade in Armenia.</v>
      </c>
      <c r="C459" s="18" t="n">
        <f aca="false">IF(Variants!$J460="","",Variants!$J460)</f>
        <v>44.2</v>
      </c>
      <c r="D459" s="21" t="n">
        <f aca="false">IF(Variants!$O460="","",Variants!$O460)</f>
        <v>0</v>
      </c>
      <c r="E459" s="21" t="str">
        <f aca="false">Variants!$A460</f>
        <v>KARNI-CHBRAC-MARASH-TURQUOISE</v>
      </c>
      <c r="F459" s="21" t="str">
        <f aca="false">IF(Variants!$E460="","",Variants!$E460&amp;", Armenian, handmade, enamel, "&amp;Variants!$D460)</f>
        <v>Marash, Armenian, handmade, enamel, chain bracelet</v>
      </c>
      <c r="G459" s="21" t="str">
        <f aca="false">IFERROR(VLOOKUP(Variants!$B460,Designs!$A$3:$AP$165,12,FALSE())&amp;", enamel","")</f>
        <v>925 Silver Gold-Plated, enamel</v>
      </c>
      <c r="H459" s="21" t="str">
        <f aca="false">IF(Variants!$B460="","","I did")</f>
        <v>I did</v>
      </c>
      <c r="I459" s="21" t="str">
        <f aca="false">IF(Variants!$B460="","","Made to order")</f>
        <v>Made to order</v>
      </c>
      <c r="J459" s="21" t="str">
        <f aca="false">IF(Variants!$D460="","",Variants!$D460)</f>
        <v>chain bracelet</v>
      </c>
      <c r="K459" s="21" t="str">
        <f aca="false">IF(Variants!$Y460="","",Variants!$Y460)</f>
        <v/>
      </c>
      <c r="L459" s="21" t="str">
        <f aca="false">IF(Variants!$H460="","",Variants!$H460)</f>
        <v>turquoise</v>
      </c>
      <c r="M459" s="21" t="str">
        <f aca="false">IF(Variants!$G460="","",Variants!$G460)</f>
        <v/>
      </c>
    </row>
    <row r="460" customFormat="false" ht="15.75" hidden="false" customHeight="true" outlineLevel="0" collapsed="false">
      <c r="A460" s="21" t="str">
        <f aca="false">IF(Variants!$B461="","",Variants!$C461&amp;" — "&amp;Variants!$E461&amp;IF(Variants!$F461=""," "," "&amp;Variants!$F461)&amp;" — "&amp;Variants!$H461)</f>
        <v>Marash Chain Bracelet — Marash  — green</v>
      </c>
      <c r="B460" s="21" t="str">
        <f aca="false">IFERROR(IF(Variants!$B461="","",VLOOKUP(Variants!$B461,Designs!$A$3:$AP$165,9,FALSE())&amp;" Handmade in Armenia."),"")</f>
        <v>Marash-work is a distinctive Armenian embroidery style from Cilician Marash, known for its interlaced geometric patterns. Handmade in Armenia.</v>
      </c>
      <c r="C460" s="18" t="n">
        <f aca="false">IF(Variants!$J461="","",Variants!$J461)</f>
        <v>44.2</v>
      </c>
      <c r="D460" s="21" t="n">
        <f aca="false">IF(Variants!$O461="","",Variants!$O461)</f>
        <v>0</v>
      </c>
      <c r="E460" s="21" t="str">
        <f aca="false">Variants!$A461</f>
        <v>KARNI-CHBRAC-MARASH-GREEN</v>
      </c>
      <c r="F460" s="21" t="str">
        <f aca="false">IF(Variants!$E461="","",Variants!$E461&amp;", Armenian, handmade, enamel, "&amp;Variants!$D461)</f>
        <v>Marash, Armenian, handmade, enamel, chain bracelet</v>
      </c>
      <c r="G460" s="21" t="str">
        <f aca="false">IFERROR(VLOOKUP(Variants!$B461,Designs!$A$3:$AP$165,12,FALSE())&amp;", enamel","")</f>
        <v>925 Silver Gold-Plated, enamel</v>
      </c>
      <c r="H460" s="21" t="str">
        <f aca="false">IF(Variants!$B461="","","I did")</f>
        <v>I did</v>
      </c>
      <c r="I460" s="21" t="str">
        <f aca="false">IF(Variants!$B461="","","Made to order")</f>
        <v>Made to order</v>
      </c>
      <c r="J460" s="21" t="str">
        <f aca="false">IF(Variants!$D461="","",Variants!$D461)</f>
        <v>chain bracelet</v>
      </c>
      <c r="K460" s="21" t="str">
        <f aca="false">IF(Variants!$Y461="","",Variants!$Y461)</f>
        <v/>
      </c>
      <c r="L460" s="21" t="str">
        <f aca="false">IF(Variants!$H461="","",Variants!$H461)</f>
        <v>green</v>
      </c>
      <c r="M460" s="21" t="str">
        <f aca="false">IF(Variants!$G461="","",Variants!$G461)</f>
        <v/>
      </c>
    </row>
    <row r="461" customFormat="false" ht="15.75" hidden="false" customHeight="true" outlineLevel="0" collapsed="false">
      <c r="A461" s="21" t="str">
        <f aca="false">IF(Variants!$B462="","",Variants!$C462&amp;" — "&amp;Variants!$E462&amp;IF(Variants!$F462=""," "," "&amp;Variants!$F462)&amp;" — "&amp;Variants!$H462)</f>
        <v>Van Chain Bracelet — Van  — blue</v>
      </c>
      <c r="B461" s="21" t="str">
        <f aca="false">IFERROR(IF(Variants!$B462="","",VLOOKUP(Variants!$B462,Designs!$A$3:$AP$165,9,FALSE())&amp;" Handmade in Armenia."),"")</f>
        <v>Motifs from the Van/Vaspurakan region, echoing the ornament of the Lake Van heartland of historic Armenia. Handmade in Armenia.</v>
      </c>
      <c r="C461" s="18" t="n">
        <f aca="false">IF(Variants!$J462="","",Variants!$J462)</f>
        <v>44.2</v>
      </c>
      <c r="D461" s="21" t="n">
        <f aca="false">IF(Variants!$O462="","",Variants!$O462)</f>
        <v>0</v>
      </c>
      <c r="E461" s="21" t="str">
        <f aca="false">Variants!$A462</f>
        <v>KARNI-CHBRAC-VAN-BLUE</v>
      </c>
      <c r="F461" s="21" t="str">
        <f aca="false">IF(Variants!$E462="","",Variants!$E462&amp;", Armenian, handmade, enamel, "&amp;Variants!$D462)</f>
        <v>Van, Armenian, handmade, enamel, chain bracelet</v>
      </c>
      <c r="G461" s="21" t="str">
        <f aca="false">IFERROR(VLOOKUP(Variants!$B462,Designs!$A$3:$AP$165,12,FALSE())&amp;", enamel","")</f>
        <v>925 Silver Gold-Plated, enamel</v>
      </c>
      <c r="H461" s="21" t="str">
        <f aca="false">IF(Variants!$B462="","","I did")</f>
        <v>I did</v>
      </c>
      <c r="I461" s="21" t="str">
        <f aca="false">IF(Variants!$B462="","","Made to order")</f>
        <v>Made to order</v>
      </c>
      <c r="J461" s="21" t="str">
        <f aca="false">IF(Variants!$D462="","",Variants!$D462)</f>
        <v>chain bracelet</v>
      </c>
      <c r="K461" s="21" t="str">
        <f aca="false">IF(Variants!$Y462="","",Variants!$Y462)</f>
        <v/>
      </c>
      <c r="L461" s="21" t="str">
        <f aca="false">IF(Variants!$H462="","",Variants!$H462)</f>
        <v>blue</v>
      </c>
      <c r="M461" s="21" t="str">
        <f aca="false">IF(Variants!$G462="","",Variants!$G462)</f>
        <v/>
      </c>
    </row>
    <row r="462" customFormat="false" ht="15.75" hidden="false" customHeight="true" outlineLevel="0" collapsed="false">
      <c r="A462" s="21" t="str">
        <f aca="false">IF(Variants!$B463="","",Variants!$C463&amp;" — "&amp;Variants!$E463&amp;IF(Variants!$F463=""," "," "&amp;Variants!$F463)&amp;" — "&amp;Variants!$H463)</f>
        <v>Van Chain Bracelet — Van  — white</v>
      </c>
      <c r="B462" s="21" t="str">
        <f aca="false">IFERROR(IF(Variants!$B463="","",VLOOKUP(Variants!$B463,Designs!$A$3:$AP$165,9,FALSE())&amp;" Handmade in Armenia."),"")</f>
        <v>Motifs from the Van/Vaspurakan region, echoing the ornament of the Lake Van heartland of historic Armenia. Handmade in Armenia.</v>
      </c>
      <c r="C462" s="18" t="n">
        <f aca="false">IF(Variants!$J463="","",Variants!$J463)</f>
        <v>44.2</v>
      </c>
      <c r="D462" s="21" t="n">
        <f aca="false">IF(Variants!$O463="","",Variants!$O463)</f>
        <v>0</v>
      </c>
      <c r="E462" s="21" t="str">
        <f aca="false">Variants!$A463</f>
        <v>KARNI-CHBRAC-VAN-WHITE</v>
      </c>
      <c r="F462" s="21" t="str">
        <f aca="false">IF(Variants!$E463="","",Variants!$E463&amp;", Armenian, handmade, enamel, "&amp;Variants!$D463)</f>
        <v>Van, Armenian, handmade, enamel, chain bracelet</v>
      </c>
      <c r="G462" s="21" t="str">
        <f aca="false">IFERROR(VLOOKUP(Variants!$B463,Designs!$A$3:$AP$165,12,FALSE())&amp;", enamel","")</f>
        <v>925 Silver Gold-Plated, enamel</v>
      </c>
      <c r="H462" s="21" t="str">
        <f aca="false">IF(Variants!$B463="","","I did")</f>
        <v>I did</v>
      </c>
      <c r="I462" s="21" t="str">
        <f aca="false">IF(Variants!$B463="","","Made to order")</f>
        <v>Made to order</v>
      </c>
      <c r="J462" s="21" t="str">
        <f aca="false">IF(Variants!$D463="","",Variants!$D463)</f>
        <v>chain bracelet</v>
      </c>
      <c r="K462" s="21" t="str">
        <f aca="false">IF(Variants!$Y463="","",Variants!$Y463)</f>
        <v/>
      </c>
      <c r="L462" s="21" t="str">
        <f aca="false">IF(Variants!$H463="","",Variants!$H463)</f>
        <v>white</v>
      </c>
      <c r="M462" s="21" t="str">
        <f aca="false">IF(Variants!$G463="","",Variants!$G463)</f>
        <v/>
      </c>
    </row>
    <row r="463" customFormat="false" ht="15.75" hidden="false" customHeight="true" outlineLevel="0" collapsed="false">
      <c r="A463" s="21" t="str">
        <f aca="false">IF(Variants!$B464="","",Variants!$C464&amp;" — "&amp;Variants!$E464&amp;IF(Variants!$F464=""," "," "&amp;Variants!$F464)&amp;" — "&amp;Variants!$H464)</f>
        <v>Van Chain Bracelet — Van  — bordeaux</v>
      </c>
      <c r="B463" s="21" t="str">
        <f aca="false">IFERROR(IF(Variants!$B464="","",VLOOKUP(Variants!$B464,Designs!$A$3:$AP$165,9,FALSE())&amp;" Handmade in Armenia."),"")</f>
        <v>Motifs from the Van/Vaspurakan region, echoing the ornament of the Lake Van heartland of historic Armenia. Handmade in Armenia.</v>
      </c>
      <c r="C463" s="18" t="n">
        <f aca="false">IF(Variants!$J464="","",Variants!$J464)</f>
        <v>44.2</v>
      </c>
      <c r="D463" s="21" t="n">
        <f aca="false">IF(Variants!$O464="","",Variants!$O464)</f>
        <v>0</v>
      </c>
      <c r="E463" s="21" t="str">
        <f aca="false">Variants!$A464</f>
        <v>KARNI-CHBRAC-VAN-BORDEAUX</v>
      </c>
      <c r="F463" s="21" t="str">
        <f aca="false">IF(Variants!$E464="","",Variants!$E464&amp;", Armenian, handmade, enamel, "&amp;Variants!$D464)</f>
        <v>Van, Armenian, handmade, enamel, chain bracelet</v>
      </c>
      <c r="G463" s="21" t="str">
        <f aca="false">IFERROR(VLOOKUP(Variants!$B464,Designs!$A$3:$AP$165,12,FALSE())&amp;", enamel","")</f>
        <v>925 Silver Gold-Plated, enamel</v>
      </c>
      <c r="H463" s="21" t="str">
        <f aca="false">IF(Variants!$B464="","","I did")</f>
        <v>I did</v>
      </c>
      <c r="I463" s="21" t="str">
        <f aca="false">IF(Variants!$B464="","","Made to order")</f>
        <v>Made to order</v>
      </c>
      <c r="J463" s="21" t="str">
        <f aca="false">IF(Variants!$D464="","",Variants!$D464)</f>
        <v>chain bracelet</v>
      </c>
      <c r="K463" s="21" t="str">
        <f aca="false">IF(Variants!$Y464="","",Variants!$Y464)</f>
        <v/>
      </c>
      <c r="L463" s="21" t="str">
        <f aca="false">IF(Variants!$H464="","",Variants!$H464)</f>
        <v>bordeaux</v>
      </c>
      <c r="M463" s="21" t="str">
        <f aca="false">IF(Variants!$G464="","",Variants!$G464)</f>
        <v/>
      </c>
    </row>
    <row r="464" customFormat="false" ht="15.75" hidden="false" customHeight="true" outlineLevel="0" collapsed="false">
      <c r="A464" s="21" t="str">
        <f aca="false">IF(Variants!$B465="","",Variants!$C465&amp;" — "&amp;Variants!$E465&amp;IF(Variants!$F465=""," "," "&amp;Variants!$F465)&amp;" — "&amp;Variants!$H465)</f>
        <v>Van Chain Bracelet — Van  — turquoise</v>
      </c>
      <c r="B464" s="21" t="str">
        <f aca="false">IFERROR(IF(Variants!$B465="","",VLOOKUP(Variants!$B465,Designs!$A$3:$AP$165,9,FALSE())&amp;" Handmade in Armenia."),"")</f>
        <v>Motifs from the Van/Vaspurakan region, echoing the ornament of the Lake Van heartland of historic Armenia. Handmade in Armenia.</v>
      </c>
      <c r="C464" s="18" t="n">
        <f aca="false">IF(Variants!$J465="","",Variants!$J465)</f>
        <v>44.2</v>
      </c>
      <c r="D464" s="21" t="n">
        <f aca="false">IF(Variants!$O465="","",Variants!$O465)</f>
        <v>0</v>
      </c>
      <c r="E464" s="21" t="str">
        <f aca="false">Variants!$A465</f>
        <v>KARNI-CHBRAC-VAN-TURQUOISE</v>
      </c>
      <c r="F464" s="21" t="str">
        <f aca="false">IF(Variants!$E465="","",Variants!$E465&amp;", Armenian, handmade, enamel, "&amp;Variants!$D465)</f>
        <v>Van, Armenian, handmade, enamel, chain bracelet</v>
      </c>
      <c r="G464" s="21" t="str">
        <f aca="false">IFERROR(VLOOKUP(Variants!$B465,Designs!$A$3:$AP$165,12,FALSE())&amp;", enamel","")</f>
        <v>925 Silver Gold-Plated, enamel</v>
      </c>
      <c r="H464" s="21" t="str">
        <f aca="false">IF(Variants!$B465="","","I did")</f>
        <v>I did</v>
      </c>
      <c r="I464" s="21" t="str">
        <f aca="false">IF(Variants!$B465="","","Made to order")</f>
        <v>Made to order</v>
      </c>
      <c r="J464" s="21" t="str">
        <f aca="false">IF(Variants!$D465="","",Variants!$D465)</f>
        <v>chain bracelet</v>
      </c>
      <c r="K464" s="21" t="str">
        <f aca="false">IF(Variants!$Y465="","",Variants!$Y465)</f>
        <v/>
      </c>
      <c r="L464" s="21" t="str">
        <f aca="false">IF(Variants!$H465="","",Variants!$H465)</f>
        <v>turquoise</v>
      </c>
      <c r="M464" s="21" t="str">
        <f aca="false">IF(Variants!$G465="","",Variants!$G465)</f>
        <v/>
      </c>
    </row>
    <row r="465" customFormat="false" ht="15.75" hidden="false" customHeight="true" outlineLevel="0" collapsed="false">
      <c r="A465" s="21" t="str">
        <f aca="false">IF(Variants!$B466="","",Variants!$C466&amp;" — "&amp;Variants!$E466&amp;IF(Variants!$F466=""," "," "&amp;Variants!$F466)&amp;" — "&amp;Variants!$H466)</f>
        <v>Van Chain Bracelet — Van  — green</v>
      </c>
      <c r="B465" s="21" t="str">
        <f aca="false">IFERROR(IF(Variants!$B466="","",VLOOKUP(Variants!$B466,Designs!$A$3:$AP$165,9,FALSE())&amp;" Handmade in Armenia."),"")</f>
        <v>Motifs from the Van/Vaspurakan region, echoing the ornament of the Lake Van heartland of historic Armenia. Handmade in Armenia.</v>
      </c>
      <c r="C465" s="18" t="n">
        <f aca="false">IF(Variants!$J466="","",Variants!$J466)</f>
        <v>44.2</v>
      </c>
      <c r="D465" s="21" t="n">
        <f aca="false">IF(Variants!$O466="","",Variants!$O466)</f>
        <v>0</v>
      </c>
      <c r="E465" s="21" t="str">
        <f aca="false">Variants!$A466</f>
        <v>KARNI-CHBRAC-VAN-GREEN</v>
      </c>
      <c r="F465" s="21" t="str">
        <f aca="false">IF(Variants!$E466="","",Variants!$E466&amp;", Armenian, handmade, enamel, "&amp;Variants!$D466)</f>
        <v>Van, Armenian, handmade, enamel, chain bracelet</v>
      </c>
      <c r="G465" s="21" t="str">
        <f aca="false">IFERROR(VLOOKUP(Variants!$B466,Designs!$A$3:$AP$165,12,FALSE())&amp;", enamel","")</f>
        <v>925 Silver Gold-Plated, enamel</v>
      </c>
      <c r="H465" s="21" t="str">
        <f aca="false">IF(Variants!$B466="","","I did")</f>
        <v>I did</v>
      </c>
      <c r="I465" s="21" t="str">
        <f aca="false">IF(Variants!$B466="","","Made to order")</f>
        <v>Made to order</v>
      </c>
      <c r="J465" s="21" t="str">
        <f aca="false">IF(Variants!$D466="","",Variants!$D466)</f>
        <v>chain bracelet</v>
      </c>
      <c r="K465" s="21" t="str">
        <f aca="false">IF(Variants!$Y466="","",Variants!$Y466)</f>
        <v/>
      </c>
      <c r="L465" s="21" t="str">
        <f aca="false">IF(Variants!$H466="","",Variants!$H466)</f>
        <v>green</v>
      </c>
      <c r="M465" s="21" t="str">
        <f aca="false">IF(Variants!$G466="","",Variants!$G466)</f>
        <v/>
      </c>
    </row>
    <row r="466" customFormat="false" ht="15.75" hidden="false" customHeight="true" outlineLevel="0" collapsed="false">
      <c r="A466" s="21" t="str">
        <f aca="false">IF(Variants!$B467="","",Variants!$C467&amp;" — "&amp;Variants!$E467&amp;IF(Variants!$F467=""," "," "&amp;Variants!$F467)&amp;" — "&amp;Variants!$H467)</f>
        <v>Vishab Chain Bracelet — Vishab  — blue</v>
      </c>
      <c r="B466" s="21" t="str">
        <f aca="false">IFERROR(IF(Variants!$B467="","",VLOOKUP(Variants!$B467,Designs!$A$3:$AP$165,9,FALSE())&amp;" Handmade in Armenia."),"")</f>
        <v>Vishaps are ancient Armenian dragon-stones (vishapakar) found in the highlands, among the oldest carved monuments in the region. Handmade in Armenia.</v>
      </c>
      <c r="C466" s="18" t="n">
        <f aca="false">IF(Variants!$J467="","",Variants!$J467)</f>
        <v>44.2</v>
      </c>
      <c r="D466" s="21" t="n">
        <f aca="false">IF(Variants!$O467="","",Variants!$O467)</f>
        <v>0</v>
      </c>
      <c r="E466" s="21" t="str">
        <f aca="false">Variants!$A467</f>
        <v>KARNI-CHBRAC-VISHAB-BLUE</v>
      </c>
      <c r="F466" s="21" t="str">
        <f aca="false">IF(Variants!$E467="","",Variants!$E467&amp;", Armenian, handmade, enamel, "&amp;Variants!$D467)</f>
        <v>Vishab, Armenian, handmade, enamel, chain bracelet</v>
      </c>
      <c r="G466" s="21" t="str">
        <f aca="false">IFERROR(VLOOKUP(Variants!$B467,Designs!$A$3:$AP$165,12,FALSE())&amp;", enamel","")</f>
        <v>925 Silver Gold-Plated, enamel</v>
      </c>
      <c r="H466" s="21" t="str">
        <f aca="false">IF(Variants!$B467="","","I did")</f>
        <v>I did</v>
      </c>
      <c r="I466" s="21" t="str">
        <f aca="false">IF(Variants!$B467="","","Made to order")</f>
        <v>Made to order</v>
      </c>
      <c r="J466" s="21" t="str">
        <f aca="false">IF(Variants!$D467="","",Variants!$D467)</f>
        <v>chain bracelet</v>
      </c>
      <c r="K466" s="21" t="str">
        <f aca="false">IF(Variants!$Y467="","",Variants!$Y467)</f>
        <v/>
      </c>
      <c r="L466" s="21" t="str">
        <f aca="false">IF(Variants!$H467="","",Variants!$H467)</f>
        <v>blue</v>
      </c>
      <c r="M466" s="21" t="str">
        <f aca="false">IF(Variants!$G467="","",Variants!$G467)</f>
        <v/>
      </c>
    </row>
    <row r="467" customFormat="false" ht="15.75" hidden="false" customHeight="true" outlineLevel="0" collapsed="false">
      <c r="A467" s="21" t="str">
        <f aca="false">IF(Variants!$B468="","",Variants!$C468&amp;" — "&amp;Variants!$E468&amp;IF(Variants!$F468=""," "," "&amp;Variants!$F468)&amp;" — "&amp;Variants!$H468)</f>
        <v>Vishab Chain Bracelet — Vishab  — white</v>
      </c>
      <c r="B467" s="21" t="str">
        <f aca="false">IFERROR(IF(Variants!$B468="","",VLOOKUP(Variants!$B468,Designs!$A$3:$AP$165,9,FALSE())&amp;" Handmade in Armenia."),"")</f>
        <v>Vishaps are ancient Armenian dragon-stones (vishapakar) found in the highlands, among the oldest carved monuments in the region. Handmade in Armenia.</v>
      </c>
      <c r="C467" s="18" t="n">
        <f aca="false">IF(Variants!$J468="","",Variants!$J468)</f>
        <v>44.2</v>
      </c>
      <c r="D467" s="21" t="n">
        <f aca="false">IF(Variants!$O468="","",Variants!$O468)</f>
        <v>0</v>
      </c>
      <c r="E467" s="21" t="str">
        <f aca="false">Variants!$A468</f>
        <v>KARNI-CHBRAC-VISHAB-WHITE</v>
      </c>
      <c r="F467" s="21" t="str">
        <f aca="false">IF(Variants!$E468="","",Variants!$E468&amp;", Armenian, handmade, enamel, "&amp;Variants!$D468)</f>
        <v>Vishab, Armenian, handmade, enamel, chain bracelet</v>
      </c>
      <c r="G467" s="21" t="str">
        <f aca="false">IFERROR(VLOOKUP(Variants!$B468,Designs!$A$3:$AP$165,12,FALSE())&amp;", enamel","")</f>
        <v>925 Silver Gold-Plated, enamel</v>
      </c>
      <c r="H467" s="21" t="str">
        <f aca="false">IF(Variants!$B468="","","I did")</f>
        <v>I did</v>
      </c>
      <c r="I467" s="21" t="str">
        <f aca="false">IF(Variants!$B468="","","Made to order")</f>
        <v>Made to order</v>
      </c>
      <c r="J467" s="21" t="str">
        <f aca="false">IF(Variants!$D468="","",Variants!$D468)</f>
        <v>chain bracelet</v>
      </c>
      <c r="K467" s="21" t="str">
        <f aca="false">IF(Variants!$Y468="","",Variants!$Y468)</f>
        <v/>
      </c>
      <c r="L467" s="21" t="str">
        <f aca="false">IF(Variants!$H468="","",Variants!$H468)</f>
        <v>white</v>
      </c>
      <c r="M467" s="21" t="str">
        <f aca="false">IF(Variants!$G468="","",Variants!$G468)</f>
        <v/>
      </c>
    </row>
    <row r="468" customFormat="false" ht="15.75" hidden="false" customHeight="true" outlineLevel="0" collapsed="false">
      <c r="A468" s="21" t="str">
        <f aca="false">IF(Variants!$B469="","",Variants!$C469&amp;" — "&amp;Variants!$E469&amp;IF(Variants!$F469=""," "," "&amp;Variants!$F469)&amp;" — "&amp;Variants!$H469)</f>
        <v>Vishab Chain Bracelet — Vishab  — bordeaux</v>
      </c>
      <c r="B468" s="21" t="str">
        <f aca="false">IFERROR(IF(Variants!$B469="","",VLOOKUP(Variants!$B469,Designs!$A$3:$AP$165,9,FALSE())&amp;" Handmade in Armenia."),"")</f>
        <v>Vishaps are ancient Armenian dragon-stones (vishapakar) found in the highlands, among the oldest carved monuments in the region. Handmade in Armenia.</v>
      </c>
      <c r="C468" s="18" t="n">
        <f aca="false">IF(Variants!$J469="","",Variants!$J469)</f>
        <v>44.2</v>
      </c>
      <c r="D468" s="21" t="n">
        <f aca="false">IF(Variants!$O469="","",Variants!$O469)</f>
        <v>0</v>
      </c>
      <c r="E468" s="21" t="str">
        <f aca="false">Variants!$A469</f>
        <v>KARNI-CHBRAC-VISHAB-BORDEAUX</v>
      </c>
      <c r="F468" s="21" t="str">
        <f aca="false">IF(Variants!$E469="","",Variants!$E469&amp;", Armenian, handmade, enamel, "&amp;Variants!$D469)</f>
        <v>Vishab, Armenian, handmade, enamel, chain bracelet</v>
      </c>
      <c r="G468" s="21" t="str">
        <f aca="false">IFERROR(VLOOKUP(Variants!$B469,Designs!$A$3:$AP$165,12,FALSE())&amp;", enamel","")</f>
        <v>925 Silver Gold-Plated, enamel</v>
      </c>
      <c r="H468" s="21" t="str">
        <f aca="false">IF(Variants!$B469="","","I did")</f>
        <v>I did</v>
      </c>
      <c r="I468" s="21" t="str">
        <f aca="false">IF(Variants!$B469="","","Made to order")</f>
        <v>Made to order</v>
      </c>
      <c r="J468" s="21" t="str">
        <f aca="false">IF(Variants!$D469="","",Variants!$D469)</f>
        <v>chain bracelet</v>
      </c>
      <c r="K468" s="21" t="str">
        <f aca="false">IF(Variants!$Y469="","",Variants!$Y469)</f>
        <v/>
      </c>
      <c r="L468" s="21" t="str">
        <f aca="false">IF(Variants!$H469="","",Variants!$H469)</f>
        <v>bordeaux</v>
      </c>
      <c r="M468" s="21" t="str">
        <f aca="false">IF(Variants!$G469="","",Variants!$G469)</f>
        <v/>
      </c>
    </row>
    <row r="469" customFormat="false" ht="15.75" hidden="false" customHeight="true" outlineLevel="0" collapsed="false">
      <c r="A469" s="21" t="str">
        <f aca="false">IF(Variants!$B470="","",Variants!$C470&amp;" — "&amp;Variants!$E470&amp;IF(Variants!$F470=""," "," "&amp;Variants!$F470)&amp;" — "&amp;Variants!$H470)</f>
        <v>Vishab Chain Bracelet — Vishab  — turquoise</v>
      </c>
      <c r="B469" s="21" t="str">
        <f aca="false">IFERROR(IF(Variants!$B470="","",VLOOKUP(Variants!$B470,Designs!$A$3:$AP$165,9,FALSE())&amp;" Handmade in Armenia."),"")</f>
        <v>Vishaps are ancient Armenian dragon-stones (vishapakar) found in the highlands, among the oldest carved monuments in the region. Handmade in Armenia.</v>
      </c>
      <c r="C469" s="18" t="n">
        <f aca="false">IF(Variants!$J470="","",Variants!$J470)</f>
        <v>44.2</v>
      </c>
      <c r="D469" s="21" t="n">
        <f aca="false">IF(Variants!$O470="","",Variants!$O470)</f>
        <v>0</v>
      </c>
      <c r="E469" s="21" t="str">
        <f aca="false">Variants!$A470</f>
        <v>KARNI-CHBRAC-VISHAB-TURQUOISE</v>
      </c>
      <c r="F469" s="21" t="str">
        <f aca="false">IF(Variants!$E470="","",Variants!$E470&amp;", Armenian, handmade, enamel, "&amp;Variants!$D470)</f>
        <v>Vishab, Armenian, handmade, enamel, chain bracelet</v>
      </c>
      <c r="G469" s="21" t="str">
        <f aca="false">IFERROR(VLOOKUP(Variants!$B470,Designs!$A$3:$AP$165,12,FALSE())&amp;", enamel","")</f>
        <v>925 Silver Gold-Plated, enamel</v>
      </c>
      <c r="H469" s="21" t="str">
        <f aca="false">IF(Variants!$B470="","","I did")</f>
        <v>I did</v>
      </c>
      <c r="I469" s="21" t="str">
        <f aca="false">IF(Variants!$B470="","","Made to order")</f>
        <v>Made to order</v>
      </c>
      <c r="J469" s="21" t="str">
        <f aca="false">IF(Variants!$D470="","",Variants!$D470)</f>
        <v>chain bracelet</v>
      </c>
      <c r="K469" s="21" t="str">
        <f aca="false">IF(Variants!$Y470="","",Variants!$Y470)</f>
        <v/>
      </c>
      <c r="L469" s="21" t="str">
        <f aca="false">IF(Variants!$H470="","",Variants!$H470)</f>
        <v>turquoise</v>
      </c>
      <c r="M469" s="21" t="str">
        <f aca="false">IF(Variants!$G470="","",Variants!$G470)</f>
        <v/>
      </c>
    </row>
    <row r="470" customFormat="false" ht="15.75" hidden="false" customHeight="true" outlineLevel="0" collapsed="false">
      <c r="A470" s="21" t="str">
        <f aca="false">IF(Variants!$B471="","",Variants!$C471&amp;" — "&amp;Variants!$E471&amp;IF(Variants!$F471=""," "," "&amp;Variants!$F471)&amp;" — "&amp;Variants!$H471)</f>
        <v>Vishab Chain Bracelet — Vishab  — green</v>
      </c>
      <c r="B470" s="21" t="str">
        <f aca="false">IFERROR(IF(Variants!$B471="","",VLOOKUP(Variants!$B471,Designs!$A$3:$AP$165,9,FALSE())&amp;" Handmade in Armenia."),"")</f>
        <v>Vishaps are ancient Armenian dragon-stones (vishapakar) found in the highlands, among the oldest carved monuments in the region. Handmade in Armenia.</v>
      </c>
      <c r="C470" s="18" t="n">
        <f aca="false">IF(Variants!$J471="","",Variants!$J471)</f>
        <v>44.2</v>
      </c>
      <c r="D470" s="21" t="n">
        <f aca="false">IF(Variants!$O471="","",Variants!$O471)</f>
        <v>0</v>
      </c>
      <c r="E470" s="21" t="str">
        <f aca="false">Variants!$A471</f>
        <v>KARNI-CHBRAC-VISHAB-GREEN</v>
      </c>
      <c r="F470" s="21" t="str">
        <f aca="false">IF(Variants!$E471="","",Variants!$E471&amp;", Armenian, handmade, enamel, "&amp;Variants!$D471)</f>
        <v>Vishab, Armenian, handmade, enamel, chain bracelet</v>
      </c>
      <c r="G470" s="21" t="str">
        <f aca="false">IFERROR(VLOOKUP(Variants!$B471,Designs!$A$3:$AP$165,12,FALSE())&amp;", enamel","")</f>
        <v>925 Silver Gold-Plated, enamel</v>
      </c>
      <c r="H470" s="21" t="str">
        <f aca="false">IF(Variants!$B471="","","I did")</f>
        <v>I did</v>
      </c>
      <c r="I470" s="21" t="str">
        <f aca="false">IF(Variants!$B471="","","Made to order")</f>
        <v>Made to order</v>
      </c>
      <c r="J470" s="21" t="str">
        <f aca="false">IF(Variants!$D471="","",Variants!$D471)</f>
        <v>chain bracelet</v>
      </c>
      <c r="K470" s="21" t="str">
        <f aca="false">IF(Variants!$Y471="","",Variants!$Y471)</f>
        <v/>
      </c>
      <c r="L470" s="21" t="str">
        <f aca="false">IF(Variants!$H471="","",Variants!$H471)</f>
        <v>green</v>
      </c>
      <c r="M470" s="21" t="str">
        <f aca="false">IF(Variants!$G471="","",Variants!$G471)</f>
        <v/>
      </c>
    </row>
    <row r="471" customFormat="false" ht="15.75" hidden="false" customHeight="true" outlineLevel="0" collapsed="false">
      <c r="A471" s="21" t="str">
        <f aca="false">IF(Variants!$B472="","",Variants!$C472&amp;" — "&amp;Variants!$E472&amp;IF(Variants!$F472=""," "," "&amp;Variants!$F472)&amp;" — "&amp;Variants!$H472)</f>
        <v>Արեւագորգի Վիշապ — Vishab Arevagorg  — blue</v>
      </c>
      <c r="B471" s="21" t="str">
        <f aca="false">IFERROR(IF(Variants!$B472="","",VLOOKUP(Variants!$B472,Designs!$A$3:$AP$165,9,FALSE())&amp;" Handmade in Armenia."),"")</f>
        <v>Combines the vishap (dragon) motif with the arevagorg (sun-carpet) — an Armenian solar ornament symbolising life and eternity. Handmade in Armenia.</v>
      </c>
      <c r="C471" s="18" t="n">
        <f aca="false">IF(Variants!$J472="","",Variants!$J472)</f>
        <v>44.2</v>
      </c>
      <c r="D471" s="21" t="n">
        <f aca="false">IF(Variants!$O472="","",Variants!$O472)</f>
        <v>0</v>
      </c>
      <c r="E471" s="21" t="str">
        <f aca="false">Variants!$A472</f>
        <v>KARNI-CHBRAC-VISHABAREVAGORG-BLUE</v>
      </c>
      <c r="F471" s="21" t="str">
        <f aca="false">IF(Variants!$E472="","",Variants!$E472&amp;", Armenian, handmade, enamel, "&amp;Variants!$D472)</f>
        <v>Vishab Arevagorg, Armenian, handmade, enamel, chain bracelet</v>
      </c>
      <c r="G471" s="21" t="str">
        <f aca="false">IFERROR(VLOOKUP(Variants!$B472,Designs!$A$3:$AP$165,12,FALSE())&amp;", enamel","")</f>
        <v>925 Silver Gold-Plated, enamel</v>
      </c>
      <c r="H471" s="21" t="str">
        <f aca="false">IF(Variants!$B472="","","I did")</f>
        <v>I did</v>
      </c>
      <c r="I471" s="21" t="str">
        <f aca="false">IF(Variants!$B472="","","Made to order")</f>
        <v>Made to order</v>
      </c>
      <c r="J471" s="21" t="str">
        <f aca="false">IF(Variants!$D472="","",Variants!$D472)</f>
        <v>chain bracelet</v>
      </c>
      <c r="K471" s="21" t="str">
        <f aca="false">IF(Variants!$Y472="","",Variants!$Y472)</f>
        <v/>
      </c>
      <c r="L471" s="21" t="str">
        <f aca="false">IF(Variants!$H472="","",Variants!$H472)</f>
        <v>blue</v>
      </c>
      <c r="M471" s="21" t="str">
        <f aca="false">IF(Variants!$G472="","",Variants!$G472)</f>
        <v/>
      </c>
    </row>
    <row r="472" customFormat="false" ht="15.75" hidden="false" customHeight="true" outlineLevel="0" collapsed="false">
      <c r="A472" s="21" t="str">
        <f aca="false">IF(Variants!$B473="","",Variants!$C473&amp;" — "&amp;Variants!$E473&amp;IF(Variants!$F473=""," "," "&amp;Variants!$F473)&amp;" — "&amp;Variants!$H473)</f>
        <v>Արեւագորգի Վիշապ — Vishab Arevagorg  — white</v>
      </c>
      <c r="B472" s="21" t="str">
        <f aca="false">IFERROR(IF(Variants!$B473="","",VLOOKUP(Variants!$B473,Designs!$A$3:$AP$165,9,FALSE())&amp;" Handmade in Armenia."),"")</f>
        <v>Combines the vishap (dragon) motif with the arevagorg (sun-carpet) — an Armenian solar ornament symbolising life and eternity. Handmade in Armenia.</v>
      </c>
      <c r="C472" s="18" t="n">
        <f aca="false">IF(Variants!$J473="","",Variants!$J473)</f>
        <v>44.2</v>
      </c>
      <c r="D472" s="21" t="n">
        <f aca="false">IF(Variants!$O473="","",Variants!$O473)</f>
        <v>0</v>
      </c>
      <c r="E472" s="21" t="str">
        <f aca="false">Variants!$A473</f>
        <v>KARNI-CHBRAC-VISHABAREVAGORG-WHITE</v>
      </c>
      <c r="F472" s="21" t="str">
        <f aca="false">IF(Variants!$E473="","",Variants!$E473&amp;", Armenian, handmade, enamel, "&amp;Variants!$D473)</f>
        <v>Vishab Arevagorg, Armenian, handmade, enamel, chain bracelet</v>
      </c>
      <c r="G472" s="21" t="str">
        <f aca="false">IFERROR(VLOOKUP(Variants!$B473,Designs!$A$3:$AP$165,12,FALSE())&amp;", enamel","")</f>
        <v>925 Silver Gold-Plated, enamel</v>
      </c>
      <c r="H472" s="21" t="str">
        <f aca="false">IF(Variants!$B473="","","I did")</f>
        <v>I did</v>
      </c>
      <c r="I472" s="21" t="str">
        <f aca="false">IF(Variants!$B473="","","Made to order")</f>
        <v>Made to order</v>
      </c>
      <c r="J472" s="21" t="str">
        <f aca="false">IF(Variants!$D473="","",Variants!$D473)</f>
        <v>chain bracelet</v>
      </c>
      <c r="K472" s="21" t="str">
        <f aca="false">IF(Variants!$Y473="","",Variants!$Y473)</f>
        <v/>
      </c>
      <c r="L472" s="21" t="str">
        <f aca="false">IF(Variants!$H473="","",Variants!$H473)</f>
        <v>white</v>
      </c>
      <c r="M472" s="21" t="str">
        <f aca="false">IF(Variants!$G473="","",Variants!$G473)</f>
        <v/>
      </c>
    </row>
    <row r="473" customFormat="false" ht="15.75" hidden="false" customHeight="true" outlineLevel="0" collapsed="false">
      <c r="A473" s="21" t="str">
        <f aca="false">IF(Variants!$B474="","",Variants!$C474&amp;" — "&amp;Variants!$E474&amp;IF(Variants!$F474=""," "," "&amp;Variants!$F474)&amp;" — "&amp;Variants!$H474)</f>
        <v>Արեւագորգի Վիշապ — Vishab Arevagorg  — bordeaux</v>
      </c>
      <c r="B473" s="21" t="str">
        <f aca="false">IFERROR(IF(Variants!$B474="","",VLOOKUP(Variants!$B474,Designs!$A$3:$AP$165,9,FALSE())&amp;" Handmade in Armenia."),"")</f>
        <v>Combines the vishap (dragon) motif with the arevagorg (sun-carpet) — an Armenian solar ornament symbolising life and eternity. Handmade in Armenia.</v>
      </c>
      <c r="C473" s="18" t="n">
        <f aca="false">IF(Variants!$J474="","",Variants!$J474)</f>
        <v>44.2</v>
      </c>
      <c r="D473" s="21" t="n">
        <f aca="false">IF(Variants!$O474="","",Variants!$O474)</f>
        <v>0</v>
      </c>
      <c r="E473" s="21" t="str">
        <f aca="false">Variants!$A474</f>
        <v>KARNI-CHBRAC-VISHABAREVAGORG-BORDEAUX</v>
      </c>
      <c r="F473" s="21" t="str">
        <f aca="false">IF(Variants!$E474="","",Variants!$E474&amp;", Armenian, handmade, enamel, "&amp;Variants!$D474)</f>
        <v>Vishab Arevagorg, Armenian, handmade, enamel, chain bracelet</v>
      </c>
      <c r="G473" s="21" t="str">
        <f aca="false">IFERROR(VLOOKUP(Variants!$B474,Designs!$A$3:$AP$165,12,FALSE())&amp;", enamel","")</f>
        <v>925 Silver Gold-Plated, enamel</v>
      </c>
      <c r="H473" s="21" t="str">
        <f aca="false">IF(Variants!$B474="","","I did")</f>
        <v>I did</v>
      </c>
      <c r="I473" s="21" t="str">
        <f aca="false">IF(Variants!$B474="","","Made to order")</f>
        <v>Made to order</v>
      </c>
      <c r="J473" s="21" t="str">
        <f aca="false">IF(Variants!$D474="","",Variants!$D474)</f>
        <v>chain bracelet</v>
      </c>
      <c r="K473" s="21" t="str">
        <f aca="false">IF(Variants!$Y474="","",Variants!$Y474)</f>
        <v/>
      </c>
      <c r="L473" s="21" t="str">
        <f aca="false">IF(Variants!$H474="","",Variants!$H474)</f>
        <v>bordeaux</v>
      </c>
      <c r="M473" s="21" t="str">
        <f aca="false">IF(Variants!$G474="","",Variants!$G474)</f>
        <v/>
      </c>
    </row>
    <row r="474" customFormat="false" ht="15.75" hidden="false" customHeight="true" outlineLevel="0" collapsed="false">
      <c r="A474" s="21" t="str">
        <f aca="false">IF(Variants!$B475="","",Variants!$C475&amp;" — "&amp;Variants!$E475&amp;IF(Variants!$F475=""," "," "&amp;Variants!$F475)&amp;" — "&amp;Variants!$H475)</f>
        <v>Արեւագորգի Վիշապ — Vishab Arevagorg  — turquoise</v>
      </c>
      <c r="B474" s="21" t="str">
        <f aca="false">IFERROR(IF(Variants!$B475="","",VLOOKUP(Variants!$B475,Designs!$A$3:$AP$165,9,FALSE())&amp;" Handmade in Armenia."),"")</f>
        <v>Combines the vishap (dragon) motif with the arevagorg (sun-carpet) — an Armenian solar ornament symbolising life and eternity. Handmade in Armenia.</v>
      </c>
      <c r="C474" s="18" t="n">
        <f aca="false">IF(Variants!$J475="","",Variants!$J475)</f>
        <v>44.2</v>
      </c>
      <c r="D474" s="21" t="n">
        <f aca="false">IF(Variants!$O475="","",Variants!$O475)</f>
        <v>0</v>
      </c>
      <c r="E474" s="21" t="str">
        <f aca="false">Variants!$A475</f>
        <v>KARNI-CHBRAC-VISHABAREVAGORG-TURQUOISE</v>
      </c>
      <c r="F474" s="21" t="str">
        <f aca="false">IF(Variants!$E475="","",Variants!$E475&amp;", Armenian, handmade, enamel, "&amp;Variants!$D475)</f>
        <v>Vishab Arevagorg, Armenian, handmade, enamel, chain bracelet</v>
      </c>
      <c r="G474" s="21" t="str">
        <f aca="false">IFERROR(VLOOKUP(Variants!$B475,Designs!$A$3:$AP$165,12,FALSE())&amp;", enamel","")</f>
        <v>925 Silver Gold-Plated, enamel</v>
      </c>
      <c r="H474" s="21" t="str">
        <f aca="false">IF(Variants!$B475="","","I did")</f>
        <v>I did</v>
      </c>
      <c r="I474" s="21" t="str">
        <f aca="false">IF(Variants!$B475="","","Made to order")</f>
        <v>Made to order</v>
      </c>
      <c r="J474" s="21" t="str">
        <f aca="false">IF(Variants!$D475="","",Variants!$D475)</f>
        <v>chain bracelet</v>
      </c>
      <c r="K474" s="21" t="str">
        <f aca="false">IF(Variants!$Y475="","",Variants!$Y475)</f>
        <v/>
      </c>
      <c r="L474" s="21" t="str">
        <f aca="false">IF(Variants!$H475="","",Variants!$H475)</f>
        <v>turquoise</v>
      </c>
      <c r="M474" s="21" t="str">
        <f aca="false">IF(Variants!$G475="","",Variants!$G475)</f>
        <v/>
      </c>
    </row>
    <row r="475" customFormat="false" ht="15.75" hidden="false" customHeight="true" outlineLevel="0" collapsed="false">
      <c r="A475" s="21" t="str">
        <f aca="false">IF(Variants!$B476="","",Variants!$C476&amp;" — "&amp;Variants!$E476&amp;IF(Variants!$F476=""," "," "&amp;Variants!$F476)&amp;" — "&amp;Variants!$H476)</f>
        <v>Արեւագորգի Վիշապ — Vishab Arevagorg  — green</v>
      </c>
      <c r="B475" s="21" t="str">
        <f aca="false">IFERROR(IF(Variants!$B476="","",VLOOKUP(Variants!$B476,Designs!$A$3:$AP$165,9,FALSE())&amp;" Handmade in Armenia."),"")</f>
        <v>Combines the vishap (dragon) motif with the arevagorg (sun-carpet) — an Armenian solar ornament symbolising life and eternity. Handmade in Armenia.</v>
      </c>
      <c r="C475" s="18" t="n">
        <f aca="false">IF(Variants!$J476="","",Variants!$J476)</f>
        <v>44.2</v>
      </c>
      <c r="D475" s="21" t="n">
        <f aca="false">IF(Variants!$O476="","",Variants!$O476)</f>
        <v>0</v>
      </c>
      <c r="E475" s="21" t="str">
        <f aca="false">Variants!$A476</f>
        <v>KARNI-CHBRAC-VISHABAREVAGORG-GREEN</v>
      </c>
      <c r="F475" s="21" t="str">
        <f aca="false">IF(Variants!$E476="","",Variants!$E476&amp;", Armenian, handmade, enamel, "&amp;Variants!$D476)</f>
        <v>Vishab Arevagorg, Armenian, handmade, enamel, chain bracelet</v>
      </c>
      <c r="G475" s="21" t="str">
        <f aca="false">IFERROR(VLOOKUP(Variants!$B476,Designs!$A$3:$AP$165,12,FALSE())&amp;", enamel","")</f>
        <v>925 Silver Gold-Plated, enamel</v>
      </c>
      <c r="H475" s="21" t="str">
        <f aca="false">IF(Variants!$B476="","","I did")</f>
        <v>I did</v>
      </c>
      <c r="I475" s="21" t="str">
        <f aca="false">IF(Variants!$B476="","","Made to order")</f>
        <v>Made to order</v>
      </c>
      <c r="J475" s="21" t="str">
        <f aca="false">IF(Variants!$D476="","",Variants!$D476)</f>
        <v>chain bracelet</v>
      </c>
      <c r="K475" s="21" t="str">
        <f aca="false">IF(Variants!$Y476="","",Variants!$Y476)</f>
        <v/>
      </c>
      <c r="L475" s="21" t="str">
        <f aca="false">IF(Variants!$H476="","",Variants!$H476)</f>
        <v>green</v>
      </c>
      <c r="M475" s="21" t="str">
        <f aca="false">IF(Variants!$G476="","",Variants!$G476)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26"/>
    <col collapsed="false" customWidth="true" hidden="false" outlineLevel="0" max="16" min="16" style="0" width="40"/>
  </cols>
  <sheetData>
    <row r="1" customFormat="false" ht="19.7" hidden="false" customHeight="false" outlineLevel="0" collapsed="false">
      <c r="A1" s="1" t="s">
        <v>964</v>
      </c>
    </row>
    <row r="2" customFormat="false" ht="15" hidden="false" customHeight="false" outlineLevel="0" collapsed="false">
      <c r="A2" s="2" t="s">
        <v>965</v>
      </c>
    </row>
    <row r="4" customFormat="false" ht="26.85" hidden="false" customHeight="false" outlineLevel="0" collapsed="false">
      <c r="A4" s="11" t="s">
        <v>63</v>
      </c>
      <c r="B4" s="11" t="s">
        <v>45</v>
      </c>
      <c r="C4" s="11" t="s">
        <v>966</v>
      </c>
      <c r="D4" s="11" t="s">
        <v>47</v>
      </c>
      <c r="E4" s="11" t="s">
        <v>54</v>
      </c>
      <c r="F4" s="11" t="s">
        <v>64</v>
      </c>
      <c r="G4" s="11" t="s">
        <v>967</v>
      </c>
      <c r="H4" s="11" t="s">
        <v>888</v>
      </c>
      <c r="J4" s="11" t="s">
        <v>968</v>
      </c>
      <c r="K4" s="11" t="s">
        <v>969</v>
      </c>
      <c r="M4" s="11" t="s">
        <v>970</v>
      </c>
      <c r="N4" s="11" t="s">
        <v>971</v>
      </c>
      <c r="O4" s="11" t="s">
        <v>972</v>
      </c>
      <c r="P4" s="11" t="s">
        <v>973</v>
      </c>
    </row>
    <row r="5" customFormat="false" ht="15" hidden="false" customHeight="false" outlineLevel="0" collapsed="false">
      <c r="A5" s="12" t="s">
        <v>87</v>
      </c>
      <c r="B5" s="12" t="s">
        <v>974</v>
      </c>
      <c r="C5" s="12" t="s">
        <v>975</v>
      </c>
      <c r="D5" s="12" t="s">
        <v>85</v>
      </c>
      <c r="E5" s="12" t="s">
        <v>86</v>
      </c>
      <c r="F5" s="12" t="s">
        <v>86</v>
      </c>
      <c r="G5" s="12" t="s">
        <v>895</v>
      </c>
      <c r="H5" s="12" t="s">
        <v>976</v>
      </c>
      <c r="J5" s="12" t="s">
        <v>977</v>
      </c>
      <c r="K5" s="13" t="n">
        <v>0.0026</v>
      </c>
      <c r="M5" s="12" t="s">
        <v>38</v>
      </c>
      <c r="N5" s="12" t="s">
        <v>978</v>
      </c>
      <c r="O5" s="12" t="s">
        <v>258</v>
      </c>
      <c r="P5" s="12" t="s">
        <v>979</v>
      </c>
    </row>
    <row r="6" customFormat="false" ht="23.85" hidden="false" customHeight="false" outlineLevel="0" collapsed="false">
      <c r="A6" s="12" t="s">
        <v>980</v>
      </c>
      <c r="B6" s="12" t="s">
        <v>83</v>
      </c>
      <c r="C6" s="12" t="s">
        <v>84</v>
      </c>
      <c r="D6" s="12" t="s">
        <v>981</v>
      </c>
      <c r="E6" s="12" t="s">
        <v>88</v>
      </c>
      <c r="F6" s="12" t="s">
        <v>88</v>
      </c>
      <c r="G6" s="12" t="s">
        <v>903</v>
      </c>
      <c r="H6" s="12" t="s">
        <v>896</v>
      </c>
      <c r="J6" s="12" t="s">
        <v>982</v>
      </c>
      <c r="K6" s="13" t="n">
        <v>0.0024</v>
      </c>
      <c r="M6" s="12" t="s">
        <v>348</v>
      </c>
      <c r="N6" s="12" t="s">
        <v>983</v>
      </c>
      <c r="O6" s="12" t="s">
        <v>984</v>
      </c>
      <c r="P6" s="12" t="s">
        <v>985</v>
      </c>
    </row>
    <row r="7" customFormat="false" ht="15" hidden="false" customHeight="false" outlineLevel="0" collapsed="false">
      <c r="A7" s="12" t="s">
        <v>64</v>
      </c>
      <c r="B7" s="12" t="s">
        <v>986</v>
      </c>
      <c r="C7" s="12" t="s">
        <v>987</v>
      </c>
      <c r="D7" s="12" t="s">
        <v>988</v>
      </c>
      <c r="E7" s="12" t="s">
        <v>989</v>
      </c>
      <c r="G7" s="12" t="s">
        <v>990</v>
      </c>
      <c r="H7" s="12" t="s">
        <v>900</v>
      </c>
      <c r="J7" s="12" t="s">
        <v>991</v>
      </c>
      <c r="K7" s="13" t="n">
        <v>0.205</v>
      </c>
    </row>
    <row r="8" customFormat="false" ht="15" hidden="false" customHeight="false" outlineLevel="0" collapsed="false">
      <c r="A8" s="12" t="s">
        <v>992</v>
      </c>
      <c r="B8" s="12" t="s">
        <v>993</v>
      </c>
      <c r="C8" s="12" t="s">
        <v>994</v>
      </c>
      <c r="D8" s="12" t="s">
        <v>995</v>
      </c>
      <c r="G8" s="12" t="s">
        <v>996</v>
      </c>
      <c r="H8" s="12" t="s">
        <v>997</v>
      </c>
      <c r="J8" s="12" t="s">
        <v>998</v>
      </c>
      <c r="K8" s="12" t="s">
        <v>999</v>
      </c>
    </row>
    <row r="9" customFormat="false" ht="15" hidden="false" customHeight="false" outlineLevel="0" collapsed="false">
      <c r="A9" s="12" t="s">
        <v>1000</v>
      </c>
      <c r="B9" s="12" t="s">
        <v>1001</v>
      </c>
      <c r="C9" s="12" t="s">
        <v>1002</v>
      </c>
      <c r="D9" s="12" t="s">
        <v>975</v>
      </c>
      <c r="G9" s="12" t="s">
        <v>1003</v>
      </c>
      <c r="H9" s="12" t="s">
        <v>1004</v>
      </c>
      <c r="J9" s="2" t="s">
        <v>1005</v>
      </c>
    </row>
    <row r="10" customFormat="false" ht="15" hidden="false" customHeight="false" outlineLevel="0" collapsed="false">
      <c r="A10" s="12" t="s">
        <v>1006</v>
      </c>
      <c r="B10" s="12" t="s">
        <v>1007</v>
      </c>
      <c r="C10" s="12" t="s">
        <v>1008</v>
      </c>
      <c r="G10" s="12" t="s">
        <v>1009</v>
      </c>
      <c r="H10" s="12" t="s">
        <v>1010</v>
      </c>
    </row>
    <row r="11" customFormat="false" ht="15" hidden="false" customHeight="false" outlineLevel="0" collapsed="false">
      <c r="B11" s="12" t="s">
        <v>989</v>
      </c>
      <c r="C11" s="12" t="s">
        <v>1011</v>
      </c>
      <c r="H11" s="12" t="s">
        <v>1012</v>
      </c>
    </row>
    <row r="12" customFormat="false" ht="15" hidden="false" customHeight="false" outlineLevel="0" collapsed="false">
      <c r="C12" s="12" t="s">
        <v>1013</v>
      </c>
      <c r="H12" s="12" t="s">
        <v>1014</v>
      </c>
    </row>
    <row r="13" customFormat="false" ht="15" hidden="false" customHeight="false" outlineLevel="0" collapsed="false">
      <c r="H13" s="12" t="s">
        <v>1015</v>
      </c>
    </row>
    <row r="14" customFormat="false" ht="15" hidden="false" customHeight="false" outlineLevel="0" collapsed="false">
      <c r="H14" s="12" t="s">
        <v>1016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2026-05-24T10:11:37Z</dcterms:created>
  <dc:creator>openpyxl</dc:creator>
  <dc:description/>
  <dc:language>en-US</dc:language>
  <cp:lastModifiedBy/>
  <dcterms:modified xsi:type="dcterms:W3CDTF">2026-05-24T10:11:39Z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